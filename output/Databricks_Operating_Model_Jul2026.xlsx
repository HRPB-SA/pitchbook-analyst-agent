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utput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#,##0;(#,##0)"/>
    <numFmt numFmtId="166" formatCode="0.0000"/>
    <numFmt numFmtId="167" formatCode="#,##0.0;(#,##0.0)"/>
    <numFmt numFmtId="168" formatCode="0.0"/>
    <numFmt numFmtId="169" formatCode="0.000"/>
    <numFmt numFmtId="170" formatCode="0.0&quot;x&quot;"/>
    <numFmt numFmtId="171" formatCode="0.00&quot;x&quot;"/>
  </numFmts>
  <fonts count="11">
    <font>
      <name val="Calibri"/>
      <family val="2"/>
      <color theme="1"/>
      <sz val="11"/>
      <scheme val="minor"/>
    </font>
    <font>
      <name val="Georgia"/>
      <b val="1"/>
      <color rgb="001F2A44"/>
      <sz val="14"/>
    </font>
    <font>
      <name val="Calibri"/>
      <i val="1"/>
      <color rgb="006B7280"/>
      <sz val="8"/>
    </font>
    <font>
      <name val="Calibri"/>
      <b val="1"/>
      <sz val="9"/>
    </font>
    <font>
      <name val="Calibri"/>
      <b val="1"/>
      <color rgb="008F3421"/>
      <sz val="11"/>
    </font>
    <font>
      <name val="Calibri"/>
      <b val="1"/>
      <color rgb="00FFFFFF"/>
      <sz val="9"/>
    </font>
    <font>
      <name val="Georgia"/>
      <b val="1"/>
      <color rgb="001F2A44"/>
      <sz val="11"/>
    </font>
    <font>
      <name val="Calibri"/>
      <sz val="9"/>
    </font>
    <font>
      <name val="Georgia"/>
      <b val="1"/>
      <color rgb="001F2A44"/>
      <sz val="24"/>
    </font>
    <font>
      <name val="Georgia"/>
      <i val="1"/>
      <color rgb="0035506E"/>
      <sz val="13"/>
    </font>
    <font>
      <name val="Calibri"/>
      <b val="1"/>
      <color rgb="001C5D46"/>
      <sz val="10"/>
    </font>
  </fonts>
  <fills count="6">
    <fill>
      <patternFill/>
    </fill>
    <fill>
      <patternFill patternType="gray125"/>
    </fill>
    <fill>
      <patternFill patternType="solid">
        <fgColor rgb="00FBF5F3"/>
      </patternFill>
    </fill>
    <fill>
      <patternFill patternType="solid">
        <fgColor rgb="001F2A44"/>
      </patternFill>
    </fill>
    <fill>
      <patternFill patternType="solid">
        <fgColor rgb="00F2F5F9"/>
      </patternFill>
    </fill>
    <fill>
      <patternFill patternType="solid">
        <fgColor rgb="00EAF2EE"/>
      </patternFill>
    </fill>
  </fills>
  <borders count="2">
    <border>
      <left/>
      <right/>
      <top/>
      <bottom/>
      <diagonal/>
    </border>
    <border>
      <bottom style="thin">
        <color rgb="00D5DBE4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/>
    </xf>
    <xf numFmtId="0" fontId="7" fillId="0" borderId="0" applyAlignment="1" pivotButton="0" quotePrefix="0" xfId="0">
      <alignment indent="1"/>
    </xf>
    <xf numFmtId="165" fontId="7" fillId="0" borderId="0" pivotButton="0" quotePrefix="0" xfId="0"/>
    <xf numFmtId="164" fontId="7" fillId="0" borderId="0" pivotButton="0" quotePrefix="0" xfId="0"/>
    <xf numFmtId="0" fontId="3" fillId="0" borderId="0" applyAlignment="1" pivotButton="0" quotePrefix="0" xfId="0">
      <alignment indent="1"/>
    </xf>
    <xf numFmtId="165" fontId="3" fillId="5" borderId="1" pivotButton="0" quotePrefix="0" xfId="0"/>
    <xf numFmtId="166" fontId="7" fillId="2" borderId="0" pivotButton="0" quotePrefix="0" xfId="0"/>
    <xf numFmtId="1" fontId="4" fillId="2" borderId="0" pivotButton="0" quotePrefix="0" xfId="0"/>
    <xf numFmtId="0" fontId="6" fillId="4" borderId="0" pivotButton="0" quotePrefix="0" xfId="0"/>
    <xf numFmtId="0" fontId="0" fillId="4" borderId="0" pivotButton="0" quotePrefix="0" xfId="0"/>
    <xf numFmtId="1" fontId="7" fillId="0" borderId="0" pivotButton="0" quotePrefix="0" xfId="0"/>
    <xf numFmtId="165" fontId="3" fillId="0" borderId="1" pivotButton="0" quotePrefix="0" xfId="0"/>
    <xf numFmtId="0" fontId="5" fillId="3" borderId="0" pivotButton="0" quotePrefix="0" xfId="0"/>
    <xf numFmtId="0" fontId="7" fillId="4" borderId="0" pivotButton="0" quotePrefix="0" xfId="0"/>
    <xf numFmtId="165" fontId="7" fillId="4" borderId="0" pivotButton="0" quotePrefix="0" xfId="0"/>
    <xf numFmtId="0" fontId="2" fillId="4" borderId="0" pivotButton="0" quotePrefix="0" xfId="0"/>
    <xf numFmtId="167" fontId="7" fillId="0" borderId="0" pivotButton="0" quotePrefix="0" xfId="0"/>
    <xf numFmtId="168" fontId="7" fillId="0" borderId="0" pivotButton="0" quotePrefix="0" xfId="0"/>
    <xf numFmtId="169" fontId="7" fillId="0" borderId="0" pivotButton="0" quotePrefix="0" xfId="0"/>
    <xf numFmtId="167" fontId="5" fillId="3" borderId="0" pivotButton="0" quotePrefix="0" xfId="0"/>
    <xf numFmtId="170" fontId="3" fillId="0" borderId="0" pivotButton="0" quotePrefix="0" xfId="0"/>
    <xf numFmtId="165" fontId="3" fillId="5" borderId="0" pivotButton="0" quotePrefix="0" xfId="0"/>
    <xf numFmtId="0" fontId="3" fillId="5" borderId="0" pivotButton="0" quotePrefix="0" xfId="0"/>
    <xf numFmtId="165" fontId="0" fillId="5" borderId="0" pivotButton="0" quotePrefix="0" xfId="0"/>
    <xf numFmtId="2" fontId="0" fillId="5" borderId="0" pivotButton="0" quotePrefix="0" xfId="0"/>
    <xf numFmtId="167" fontId="0" fillId="5" borderId="0" pivotButton="0" quotePrefix="0" xfId="0"/>
    <xf numFmtId="165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70" fontId="0" fillId="0" borderId="0" pivotButton="0" quotePrefix="0" xfId="0"/>
    <xf numFmtId="164" fontId="0" fillId="0" borderId="0" pivotButton="0" quotePrefix="0" xfId="0"/>
    <xf numFmtId="17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($M)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35506E"/>
            </a:solidFill>
            <a:ln xmlns:a="http://schemas.openxmlformats.org/drawingml/2006/main">
              <a:prstDash val="solid"/>
            </a:ln>
          </spPr>
          <cat>
            <numRef>
              <f>'Outputs'!$E$5:$K$5</f>
            </numRef>
          </cat>
          <val>
            <numRef>
              <f>'Outputs'!$E$6:$K$6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Margins (%)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solidFill>
                <a:srgbClr val="1F2A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'Outputs'!$E$5:$K$5</f>
            </numRef>
          </cat>
          <val>
            <numRef>
              <f>'Outputs'!$E$8:$K$8</f>
            </numRef>
          </val>
        </ser>
        <ser>
          <idx val="1"/>
          <order val="1"/>
          <spPr>
            <a:ln xmlns:a="http://schemas.openxmlformats.org/drawingml/2006/main">
              <a:solidFill>
                <a:srgbClr val="1C5D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'Outputs'!$E$5:$K$5</f>
            </numRef>
          </cat>
          <val>
            <numRef>
              <f>'Outputs'!$E$13:$K$13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19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4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E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44" customWidth="1" min="3" max="3"/>
    <col width="14" customWidth="1" min="4" max="4"/>
    <col width="30" customWidth="1" min="5" max="5"/>
    <col width="6" customWidth="1" min="6" max="6"/>
    <col width="30" customWidth="1" min="7" max="7"/>
    <col width="16" customWidth="1" min="8" max="8"/>
  </cols>
  <sheetData>
    <row r="4">
      <c r="C4" s="1" t="inlineStr">
        <is>
          <t>Databricks, Inc.</t>
        </is>
      </c>
    </row>
    <row r="5">
      <c r="C5" s="2" t="inlineStr">
        <is>
          <t>Three-Statement Operating Model</t>
        </is>
      </c>
    </row>
    <row r="6">
      <c r="C6" s="3" t="inlineStr">
        <is>
          <t>Companion to: Brick by Brick, an institutional deep dive. July 10, 2026; updated July 21, 2026.</t>
        </is>
      </c>
    </row>
    <row r="7">
      <c r="C7" s="3" t="inlineStr">
        <is>
          <t>All figures USD millions; fiscal years end January 31. FY2025A / FY2026A are estimates calibrated to disclosed run-rates; Databricks publishes no financial statements.</t>
        </is>
      </c>
    </row>
    <row r="10">
      <c r="C10" s="4" t="inlineStr">
        <is>
          <t>Table of Contents</t>
        </is>
      </c>
    </row>
    <row r="11">
      <c r="C11" s="5" t="inlineStr">
        <is>
          <t>Outputs</t>
        </is>
      </c>
      <c r="E11" s="6" t="inlineStr">
        <is>
          <t>Dashboard: summary statements, margins, charts</t>
        </is>
      </c>
    </row>
    <row r="12">
      <c r="C12" s="5" t="inlineStr">
        <is>
          <t>Inputs</t>
        </is>
      </c>
      <c r="E12" s="6" t="inlineStr">
        <is>
          <t>Driver switch (Best / Base / Worst), sourced assumptions, opening balance sheet</t>
        </is>
      </c>
    </row>
    <row r="13">
      <c r="C13" s="5" t="inlineStr">
        <is>
          <t>Model</t>
        </is>
      </c>
      <c r="E13" s="6" t="inlineStr">
        <is>
          <t>Income statement, cash flow, balance sheet + Schedules A-D</t>
        </is>
      </c>
    </row>
    <row r="14">
      <c r="C14" s="5" t="inlineStr">
        <is>
          <t>Valuation</t>
        </is>
      </c>
      <c r="E14" s="6" t="inlineStr">
        <is>
          <t>Sensitivity grid, per-point pricing, growth-adjusted comparison</t>
        </is>
      </c>
    </row>
    <row r="16">
      <c r="C16" s="4" t="inlineStr">
        <is>
          <t>Model Checks</t>
        </is>
      </c>
    </row>
    <row r="17">
      <c r="C17" s="6" t="inlineStr">
        <is>
          <t>Balance sheet balanced in every year?</t>
        </is>
      </c>
      <c r="E17" s="7">
        <f>IF(AND(MAX(Outputs!E17:K17)&lt;0.001,MIN(Outputs!E17:K17)&gt;-0.001),"OK","ERROR")</f>
        <v/>
      </c>
    </row>
    <row r="18">
      <c r="C18" s="6" t="inlineStr">
        <is>
          <t>Scenario in use (1 Best / 2 Base / 3 Worst)</t>
        </is>
      </c>
      <c r="E18" s="5">
        <f>Inputs!E5</f>
        <v/>
      </c>
    </row>
    <row r="19">
      <c r="C19" s="6" t="inlineStr">
        <is>
          <t>FCF positive in FY2025A/FY2026A (disclosed fact)?</t>
        </is>
      </c>
      <c r="E19" s="5">
        <f>IF(AND(Model!E45&gt;0,Model!F45&gt;0),"OK","REVIEW")</f>
        <v/>
      </c>
    </row>
    <row r="21">
      <c r="C21" s="3" t="inlineStr">
        <is>
          <t>Sourcing: company press releases and disclosures (Sep 2024 to Jun 2026); PitchBook deal records (entity 59199-40, retrieved Jul 21, 2026); SEC EDGAR (CIK 1587468); public cloud price lists. All non-disclosed lines are labeled estimates.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2">
      <c r="B2" s="8" t="inlineStr">
        <is>
          <t>Dashboard</t>
        </is>
      </c>
    </row>
    <row r="3">
      <c r="B3" s="3" t="inlineStr">
        <is>
          <t>All figures USD millions unless stated; scenario per Inputs!E5 Driver Switch.</t>
        </is>
      </c>
    </row>
    <row r="5">
      <c r="B5" s="3" t="inlineStr">
        <is>
          <t>All figures in USD millions unless stated</t>
        </is>
      </c>
      <c r="E5" s="9" t="inlineStr">
        <is>
          <t>FY2025A</t>
        </is>
      </c>
      <c r="F5" s="9" t="inlineStr">
        <is>
          <t>FY2026A</t>
        </is>
      </c>
      <c r="G5" s="9" t="inlineStr">
        <is>
          <t>FY2027E</t>
        </is>
      </c>
      <c r="H5" s="9" t="inlineStr">
        <is>
          <t>FY2028E</t>
        </is>
      </c>
      <c r="I5" s="9" t="inlineStr">
        <is>
          <t>FY2029E</t>
        </is>
      </c>
      <c r="J5" s="9" t="inlineStr">
        <is>
          <t>FY2030E</t>
        </is>
      </c>
      <c r="K5" s="9" t="inlineStr">
        <is>
          <t>FY2031E</t>
        </is>
      </c>
    </row>
    <row r="6">
      <c r="B6" s="10" t="inlineStr">
        <is>
          <t>Revenue</t>
        </is>
      </c>
      <c r="E6" s="11">
        <f>Model!E9</f>
        <v/>
      </c>
      <c r="F6" s="11">
        <f>Model!F9</f>
        <v/>
      </c>
      <c r="G6" s="11">
        <f>Model!G9</f>
        <v/>
      </c>
      <c r="H6" s="11">
        <f>Model!H9</f>
        <v/>
      </c>
      <c r="I6" s="11">
        <f>Model!I9</f>
        <v/>
      </c>
      <c r="J6" s="11">
        <f>Model!J9</f>
        <v/>
      </c>
      <c r="K6" s="11">
        <f>Model!K9</f>
        <v/>
      </c>
    </row>
    <row r="7">
      <c r="B7" s="10" t="inlineStr">
        <is>
          <t>Revenue growth</t>
        </is>
      </c>
      <c r="E7" s="12">
        <f>Model!E8</f>
        <v/>
      </c>
      <c r="F7" s="12">
        <f>Model!F8</f>
        <v/>
      </c>
      <c r="G7" s="12">
        <f>Model!G8</f>
        <v/>
      </c>
      <c r="H7" s="12">
        <f>Model!H8</f>
        <v/>
      </c>
      <c r="I7" s="12">
        <f>Model!I8</f>
        <v/>
      </c>
      <c r="J7" s="12">
        <f>Model!J8</f>
        <v/>
      </c>
      <c r="K7" s="12">
        <f>Model!K8</f>
        <v/>
      </c>
    </row>
    <row r="8">
      <c r="B8" s="10" t="inlineStr">
        <is>
          <t>Gross margin</t>
        </is>
      </c>
      <c r="E8" s="12">
        <f>Model!E10</f>
        <v/>
      </c>
      <c r="F8" s="12">
        <f>Model!F10</f>
        <v/>
      </c>
      <c r="G8" s="12">
        <f>Model!G10</f>
        <v/>
      </c>
      <c r="H8" s="12">
        <f>Model!H10</f>
        <v/>
      </c>
      <c r="I8" s="12">
        <f>Model!I10</f>
        <v/>
      </c>
      <c r="J8" s="12">
        <f>Model!J10</f>
        <v/>
      </c>
      <c r="K8" s="12">
        <f>Model!K10</f>
        <v/>
      </c>
    </row>
    <row r="9">
      <c r="B9" s="10" t="inlineStr">
        <is>
          <t>EBITDA</t>
        </is>
      </c>
      <c r="E9" s="11">
        <f>Model!E20</f>
        <v/>
      </c>
      <c r="F9" s="11">
        <f>Model!F20</f>
        <v/>
      </c>
      <c r="G9" s="11">
        <f>Model!G20</f>
        <v/>
      </c>
      <c r="H9" s="11">
        <f>Model!H20</f>
        <v/>
      </c>
      <c r="I9" s="11">
        <f>Model!I20</f>
        <v/>
      </c>
      <c r="J9" s="11">
        <f>Model!J20</f>
        <v/>
      </c>
      <c r="K9" s="11">
        <f>Model!K20</f>
        <v/>
      </c>
    </row>
    <row r="10">
      <c r="B10" s="10" t="inlineStr">
        <is>
          <t>EBIT</t>
        </is>
      </c>
      <c r="E10" s="11">
        <f>Model!E19</f>
        <v/>
      </c>
      <c r="F10" s="11">
        <f>Model!F19</f>
        <v/>
      </c>
      <c r="G10" s="11">
        <f>Model!G19</f>
        <v/>
      </c>
      <c r="H10" s="11">
        <f>Model!H19</f>
        <v/>
      </c>
      <c r="I10" s="11">
        <f>Model!I19</f>
        <v/>
      </c>
      <c r="J10" s="11">
        <f>Model!J19</f>
        <v/>
      </c>
      <c r="K10" s="11">
        <f>Model!K19</f>
        <v/>
      </c>
    </row>
    <row r="11">
      <c r="B11" s="10" t="inlineStr">
        <is>
          <t>Net income</t>
        </is>
      </c>
      <c r="E11" s="11">
        <f>Model!E26</f>
        <v/>
      </c>
      <c r="F11" s="11">
        <f>Model!F26</f>
        <v/>
      </c>
      <c r="G11" s="11">
        <f>Model!G26</f>
        <v/>
      </c>
      <c r="H11" s="11">
        <f>Model!H26</f>
        <v/>
      </c>
      <c r="I11" s="11">
        <f>Model!I26</f>
        <v/>
      </c>
      <c r="J11" s="11">
        <f>Model!J26</f>
        <v/>
      </c>
      <c r="K11" s="11">
        <f>Model!K26</f>
        <v/>
      </c>
    </row>
    <row r="12">
      <c r="B12" s="13" t="inlineStr">
        <is>
          <t>Free cash flow</t>
        </is>
      </c>
      <c r="E12" s="14">
        <f>Model!E45</f>
        <v/>
      </c>
      <c r="F12" s="14">
        <f>Model!F45</f>
        <v/>
      </c>
      <c r="G12" s="14">
        <f>Model!G45</f>
        <v/>
      </c>
      <c r="H12" s="14">
        <f>Model!H45</f>
        <v/>
      </c>
      <c r="I12" s="14">
        <f>Model!I45</f>
        <v/>
      </c>
      <c r="J12" s="14">
        <f>Model!J45</f>
        <v/>
      </c>
      <c r="K12" s="14">
        <f>Model!K45</f>
        <v/>
      </c>
    </row>
    <row r="13">
      <c r="B13" s="10" t="inlineStr">
        <is>
          <t>FCF margin</t>
        </is>
      </c>
      <c r="E13" s="12">
        <f>Model!E46</f>
        <v/>
      </c>
      <c r="F13" s="12">
        <f>Model!F46</f>
        <v/>
      </c>
      <c r="G13" s="12">
        <f>Model!G46</f>
        <v/>
      </c>
      <c r="H13" s="12">
        <f>Model!H46</f>
        <v/>
      </c>
      <c r="I13" s="12">
        <f>Model!I46</f>
        <v/>
      </c>
      <c r="J13" s="12">
        <f>Model!J46</f>
        <v/>
      </c>
      <c r="K13" s="12">
        <f>Model!K46</f>
        <v/>
      </c>
    </row>
    <row r="14">
      <c r="B14" s="10" t="inlineStr">
        <is>
          <t>Cash &amp; investments (closing)</t>
        </is>
      </c>
      <c r="E14" s="11">
        <f>Model!E49</f>
        <v/>
      </c>
      <c r="F14" s="11">
        <f>Model!F49</f>
        <v/>
      </c>
      <c r="G14" s="11">
        <f>Model!G49</f>
        <v/>
      </c>
      <c r="H14" s="11">
        <f>Model!H49</f>
        <v/>
      </c>
      <c r="I14" s="11">
        <f>Model!I49</f>
        <v/>
      </c>
      <c r="J14" s="11">
        <f>Model!J49</f>
        <v/>
      </c>
      <c r="K14" s="11">
        <f>Model!K49</f>
        <v/>
      </c>
    </row>
    <row r="15">
      <c r="B15" s="10" t="inlineStr">
        <is>
          <t>Debt (closing)</t>
        </is>
      </c>
      <c r="E15" s="11">
        <f>Model!E58</f>
        <v/>
      </c>
      <c r="F15" s="11">
        <f>Model!F58</f>
        <v/>
      </c>
      <c r="G15" s="11">
        <f>Model!G58</f>
        <v/>
      </c>
      <c r="H15" s="11">
        <f>Model!H58</f>
        <v/>
      </c>
      <c r="I15" s="11">
        <f>Model!I58</f>
        <v/>
      </c>
      <c r="J15" s="11">
        <f>Model!J58</f>
        <v/>
      </c>
      <c r="K15" s="11">
        <f>Model!K58</f>
        <v/>
      </c>
    </row>
    <row r="16">
      <c r="B16" s="10" t="inlineStr">
        <is>
          <t>Deferred revenue (closing)</t>
        </is>
      </c>
      <c r="E16" s="11">
        <f>Model!E56</f>
        <v/>
      </c>
      <c r="F16" s="11">
        <f>Model!F56</f>
        <v/>
      </c>
      <c r="G16" s="11">
        <f>Model!G56</f>
        <v/>
      </c>
      <c r="H16" s="11">
        <f>Model!H56</f>
        <v/>
      </c>
      <c r="I16" s="11">
        <f>Model!I56</f>
        <v/>
      </c>
      <c r="J16" s="11">
        <f>Model!J56</f>
        <v/>
      </c>
      <c r="K16" s="11">
        <f>Model!K56</f>
        <v/>
      </c>
    </row>
    <row r="17">
      <c r="B17" s="10" t="inlineStr">
        <is>
          <t>Balance sheet check (0 = balanced)</t>
        </is>
      </c>
      <c r="E17" s="15">
        <f>Model!E64</f>
        <v/>
      </c>
      <c r="F17" s="15">
        <f>Model!F64</f>
        <v/>
      </c>
      <c r="G17" s="15">
        <f>Model!G64</f>
        <v/>
      </c>
      <c r="H17" s="15">
        <f>Model!H64</f>
        <v/>
      </c>
      <c r="I17" s="15">
        <f>Model!I64</f>
        <v/>
      </c>
      <c r="J17" s="15">
        <f>Model!J64</f>
        <v/>
      </c>
      <c r="K17" s="15">
        <f>Model!K64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2" customWidth="1" min="12" max="12"/>
    <col width="70" customWidth="1" min="13" max="13"/>
  </cols>
  <sheetData>
    <row r="2">
      <c r="B2" s="8" t="inlineStr">
        <is>
          <t>Drivers and Assumptions</t>
        </is>
      </c>
    </row>
    <row r="3">
      <c r="B3" s="3" t="inlineStr">
        <is>
          <t>Every assumption carries its source in column M. Estimates are labeled; Databricks is private and discloses no audited financials.</t>
        </is>
      </c>
    </row>
    <row r="5">
      <c r="B5" s="5" t="inlineStr">
        <is>
          <t>Driver Switch  (1 = Best, 2 = Base, 3 = Worst)</t>
        </is>
      </c>
      <c r="E5" s="16" t="n">
        <v>2</v>
      </c>
      <c r="M5" s="3" t="inlineStr">
        <is>
          <t>Scenario flexes revenue growth and gross margin only; cost ratios below are held.</t>
        </is>
      </c>
    </row>
    <row r="7">
      <c r="B7" s="3" t="inlineStr">
        <is>
          <t>All figures in USD millions unless stated</t>
        </is>
      </c>
      <c r="E7" s="9" t="inlineStr">
        <is>
          <t>FY2025A</t>
        </is>
      </c>
      <c r="F7" s="9" t="inlineStr">
        <is>
          <t>FY2026A</t>
        </is>
      </c>
      <c r="G7" s="9" t="inlineStr">
        <is>
          <t>FY2027E</t>
        </is>
      </c>
      <c r="H7" s="9" t="inlineStr">
        <is>
          <t>FY2028E</t>
        </is>
      </c>
      <c r="I7" s="9" t="inlineStr">
        <is>
          <t>FY2029E</t>
        </is>
      </c>
      <c r="J7" s="9" t="inlineStr">
        <is>
          <t>FY2030E</t>
        </is>
      </c>
      <c r="K7" s="9" t="inlineStr">
        <is>
          <t>FY2031E</t>
        </is>
      </c>
    </row>
    <row r="8">
      <c r="B8" s="17" t="inlineStr">
        <is>
          <t>Revenue growth, year over year (historical years fixed)</t>
        </is>
      </c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</row>
    <row r="9">
      <c r="B9" s="10" t="inlineStr">
        <is>
          <t>Revenue growth - Best</t>
        </is>
      </c>
      <c r="E9" s="12" t="n">
        <v>0.59</v>
      </c>
      <c r="F9" s="12" t="n">
        <v>0.588</v>
      </c>
      <c r="G9" s="12" t="n">
        <v>0.85</v>
      </c>
      <c r="H9" s="12" t="n">
        <v>0.62</v>
      </c>
      <c r="I9" s="12" t="n">
        <v>0.45</v>
      </c>
      <c r="J9" s="12" t="n">
        <v>0.34</v>
      </c>
      <c r="K9" s="12" t="n">
        <v>0.27</v>
      </c>
    </row>
    <row r="10">
      <c r="B10" s="10" t="inlineStr">
        <is>
          <t>Revenue growth - Base</t>
        </is>
      </c>
      <c r="E10" s="12" t="n">
        <v>0.59</v>
      </c>
      <c r="F10" s="12" t="n">
        <v>0.588</v>
      </c>
      <c r="G10" s="12" t="n">
        <v>0.77</v>
      </c>
      <c r="H10" s="12" t="n">
        <v>0.57</v>
      </c>
      <c r="I10" s="12" t="n">
        <v>0.4</v>
      </c>
      <c r="J10" s="12" t="n">
        <v>0.3</v>
      </c>
      <c r="K10" s="12" t="n">
        <v>0.24</v>
      </c>
      <c r="M10" s="3" t="inlineStr">
        <is>
          <t>Calibrated to disclosed run-rate ladder: $4.0B/+50% Sep-25, $4.8B/+55% Dec-25, $5.4B/+65% Feb-26, $6.9B/+80% Jun-26 (company press releases; company disclosure Jun 16, 2026). Base decelerates gracefully; NRR &gt;140% alone sustains ~40%+ (company, Feb 9, 2026).</t>
        </is>
      </c>
    </row>
    <row r="11">
      <c r="B11" s="10" t="inlineStr">
        <is>
          <t>Revenue growth - Worst</t>
        </is>
      </c>
      <c r="E11" s="12" t="n">
        <v>0.59</v>
      </c>
      <c r="F11" s="12" t="n">
        <v>0.588</v>
      </c>
      <c r="G11" s="12" t="n">
        <v>0.55</v>
      </c>
      <c r="H11" s="12" t="n">
        <v>0.38</v>
      </c>
      <c r="I11" s="12" t="n">
        <v>0.26</v>
      </c>
      <c r="J11" s="12" t="n">
        <v>0.18</v>
      </c>
      <c r="K11" s="12" t="n">
        <v>0.14</v>
      </c>
    </row>
    <row r="13">
      <c r="B13" s="17" t="inlineStr">
        <is>
          <t>Gross margin</t>
        </is>
      </c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</row>
    <row r="14">
      <c r="B14" s="10" t="inlineStr">
        <is>
          <t>Gross margin - Best</t>
        </is>
      </c>
      <c r="E14" s="12" t="n">
        <v>0.8</v>
      </c>
      <c r="F14" s="12" t="n">
        <v>0.78</v>
      </c>
      <c r="G14" s="12" t="n">
        <v>0.745</v>
      </c>
      <c r="H14" s="12" t="n">
        <v>0.74</v>
      </c>
      <c r="I14" s="12" t="n">
        <v>0.745</v>
      </c>
      <c r="J14" s="12" t="n">
        <v>0.75</v>
      </c>
      <c r="K14" s="12" t="n">
        <v>0.755</v>
      </c>
    </row>
    <row r="15">
      <c r="B15" s="10" t="inlineStr">
        <is>
          <t>Gross margin - Base</t>
        </is>
      </c>
      <c r="E15" s="12" t="n">
        <v>0.8</v>
      </c>
      <c r="F15" s="12" t="n">
        <v>0.78</v>
      </c>
      <c r="G15" s="12" t="n">
        <v>0.735</v>
      </c>
      <c r="H15" s="12" t="n">
        <v>0.725</v>
      </c>
      <c r="I15" s="12" t="n">
        <v>0.73</v>
      </c>
      <c r="J15" s="12" t="n">
        <v>0.735</v>
      </c>
      <c r="K15" s="12" t="n">
        <v>0.74</v>
      </c>
      <c r="M15" s="3" t="inlineStr">
        <is>
          <t>74% at Jun-2026, down from &gt;80%, guided lower on agentic compute (company disclosure, Jun 16, 2026). Base holds above the 70% quality gate; Worst breaks it in FY2028E.</t>
        </is>
      </c>
    </row>
    <row r="16">
      <c r="B16" s="10" t="inlineStr">
        <is>
          <t>Gross margin - Worst</t>
        </is>
      </c>
      <c r="E16" s="12" t="n">
        <v>0.8</v>
      </c>
      <c r="F16" s="12" t="n">
        <v>0.78</v>
      </c>
      <c r="G16" s="12" t="n">
        <v>0.71</v>
      </c>
      <c r="H16" s="12" t="n">
        <v>0.695</v>
      </c>
      <c r="I16" s="12" t="n">
        <v>0.6899999999999999</v>
      </c>
      <c r="J16" s="12" t="n">
        <v>0.695</v>
      </c>
      <c r="K16" s="12" t="n">
        <v>0.7</v>
      </c>
    </row>
    <row r="18">
      <c r="B18" s="17" t="inlineStr">
        <is>
          <t>Operating cost ratios, % of revenue (single path)</t>
        </is>
      </c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</row>
    <row r="19">
      <c r="B19" s="10" t="inlineStr">
        <is>
          <t>R&amp;D (ex-SBC)</t>
        </is>
      </c>
      <c r="E19" s="12" t="n">
        <v>0.2</v>
      </c>
      <c r="F19" s="12" t="n">
        <v>0.19</v>
      </c>
      <c r="G19" s="12" t="n">
        <v>0.18</v>
      </c>
      <c r="H19" s="12" t="n">
        <v>0.175</v>
      </c>
      <c r="I19" s="12" t="n">
        <v>0.17</v>
      </c>
      <c r="J19" s="12" t="n">
        <v>0.165</v>
      </c>
      <c r="K19" s="12" t="n">
        <v>0.16</v>
      </c>
      <c r="M19" s="3" t="inlineStr">
        <is>
          <t>Estimate; benchmarked to public consumption-software comps at similar scale (no company disclosure).</t>
        </is>
      </c>
    </row>
    <row r="20">
      <c r="B20" s="10" t="inlineStr">
        <is>
          <t>Sales &amp; marketing (ex-SBC)</t>
        </is>
      </c>
      <c r="E20" s="12" t="n">
        <v>0.36</v>
      </c>
      <c r="F20" s="12" t="n">
        <v>0.33</v>
      </c>
      <c r="G20" s="12" t="n">
        <v>0.3</v>
      </c>
      <c r="H20" s="12" t="n">
        <v>0.28</v>
      </c>
      <c r="I20" s="12" t="n">
        <v>0.26</v>
      </c>
      <c r="J20" s="12" t="n">
        <v>0.245</v>
      </c>
      <c r="K20" s="12" t="n">
        <v>0.23</v>
      </c>
      <c r="M20" s="3" t="inlineStr">
        <is>
          <t>Estimate; consumption billing lowers S&amp;M intensity as expansion is product-driven (NRR &gt;140%, company, Feb 9, 2026).</t>
        </is>
      </c>
    </row>
    <row r="21">
      <c r="B21" s="10" t="inlineStr">
        <is>
          <t>General &amp; administrative (ex-SBC)</t>
        </is>
      </c>
      <c r="E21" s="12" t="n">
        <v>0.08</v>
      </c>
      <c r="F21" s="12" t="n">
        <v>0.075</v>
      </c>
      <c r="G21" s="12" t="n">
        <v>0.07000000000000001</v>
      </c>
      <c r="H21" s="12" t="n">
        <v>0.065</v>
      </c>
      <c r="I21" s="12" t="n">
        <v>0.06</v>
      </c>
      <c r="J21" s="12" t="n">
        <v>0.055</v>
      </c>
      <c r="K21" s="12" t="n">
        <v>0.05</v>
      </c>
      <c r="M21" s="3" t="inlineStr">
        <is>
          <t>Estimate; scale leverage typical of late-stage software.</t>
        </is>
      </c>
    </row>
    <row r="22">
      <c r="B22" s="10" t="inlineStr">
        <is>
          <t>Stock-based compensation</t>
        </is>
      </c>
      <c r="E22" s="12" t="n">
        <v>0.24</v>
      </c>
      <c r="F22" s="12" t="n">
        <v>0.22</v>
      </c>
      <c r="G22" s="12" t="n">
        <v>0.19</v>
      </c>
      <c r="H22" s="12" t="n">
        <v>0.17</v>
      </c>
      <c r="I22" s="12" t="n">
        <v>0.155</v>
      </c>
      <c r="J22" s="12" t="n">
        <v>0.14</v>
      </c>
      <c r="K22" s="12" t="n">
        <v>0.13</v>
      </c>
      <c r="M22" s="3" t="inlineStr">
        <is>
          <t>Estimate; company runs recurring employee tender programs (Series J use of proceeds, Dec 2024). Public comps at IPO ran 20%+ of revenue.</t>
        </is>
      </c>
    </row>
    <row r="23">
      <c r="B23" s="10" t="inlineStr">
        <is>
          <t>Depreciation &amp; amortization</t>
        </is>
      </c>
      <c r="E23" s="12" t="n">
        <v>0.02</v>
      </c>
      <c r="F23" s="12" t="n">
        <v>0.02</v>
      </c>
      <c r="G23" s="12" t="n">
        <v>0.02</v>
      </c>
      <c r="H23" s="12" t="n">
        <v>0.02</v>
      </c>
      <c r="I23" s="12" t="n">
        <v>0.02</v>
      </c>
      <c r="J23" s="12" t="n">
        <v>0.02</v>
      </c>
      <c r="K23" s="12" t="n">
        <v>0.02</v>
      </c>
      <c r="M23" s="3" t="inlineStr">
        <is>
          <t>Estimate; asset-light (compute rented from hyperscalers).</t>
        </is>
      </c>
    </row>
    <row r="24">
      <c r="B24" s="10" t="inlineStr">
        <is>
          <t>Capital expenditure</t>
        </is>
      </c>
      <c r="E24" s="12" t="n">
        <v>0.025</v>
      </c>
      <c r="F24" s="12" t="n">
        <v>0.025</v>
      </c>
      <c r="G24" s="12" t="n">
        <v>0.025</v>
      </c>
      <c r="H24" s="12" t="n">
        <v>0.025</v>
      </c>
      <c r="I24" s="12" t="n">
        <v>0.025</v>
      </c>
      <c r="J24" s="12" t="n">
        <v>0.025</v>
      </c>
      <c r="K24" s="12" t="n">
        <v>0.025</v>
      </c>
      <c r="M24" s="3" t="inlineStr">
        <is>
          <t>Estimate; asset-light model.</t>
        </is>
      </c>
    </row>
    <row r="26">
      <c r="B26" s="17" t="inlineStr">
        <is>
          <t>Working capital, balance sheet and other</t>
        </is>
      </c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</row>
    <row r="27">
      <c r="B27" s="10" t="inlineStr">
        <is>
          <t>Days sales outstanding (days)</t>
        </is>
      </c>
      <c r="E27" s="19" t="n">
        <v>80</v>
      </c>
      <c r="F27" s="19" t="n">
        <v>80</v>
      </c>
      <c r="G27" s="19" t="n">
        <v>80</v>
      </c>
      <c r="H27" s="19" t="n">
        <v>80</v>
      </c>
      <c r="I27" s="19" t="n">
        <v>80</v>
      </c>
      <c r="J27" s="19" t="n">
        <v>80</v>
      </c>
      <c r="K27" s="19" t="n">
        <v>80</v>
      </c>
      <c r="M27" s="3" t="inlineStr">
        <is>
          <t>Estimate; enterprise annual invoicing.</t>
        </is>
      </c>
    </row>
    <row r="28">
      <c r="B28" s="10" t="inlineStr">
        <is>
          <t>Deferred revenue (days of revenue)</t>
        </is>
      </c>
      <c r="E28" s="19" t="n">
        <v>100</v>
      </c>
      <c r="F28" s="19" t="n">
        <v>100</v>
      </c>
      <c r="G28" s="19" t="n">
        <v>100</v>
      </c>
      <c r="H28" s="19" t="n">
        <v>100</v>
      </c>
      <c r="I28" s="19" t="n">
        <v>100</v>
      </c>
      <c r="J28" s="19" t="n">
        <v>100</v>
      </c>
      <c r="K28" s="19" t="n">
        <v>100</v>
      </c>
      <c r="M28" s="3" t="inlineStr">
        <is>
          <t>Estimate; committed-use contracts are prepaid then drawn down (company pricing model).</t>
        </is>
      </c>
    </row>
    <row r="29">
      <c r="B29" s="10" t="inlineStr">
        <is>
          <t>Interest rate on debt</t>
        </is>
      </c>
      <c r="E29" s="12" t="n">
        <v>0.0675</v>
      </c>
      <c r="F29" s="12" t="n">
        <v>0.0675</v>
      </c>
      <c r="G29" s="12" t="n">
        <v>0.0675</v>
      </c>
      <c r="H29" s="12" t="n">
        <v>0.0675</v>
      </c>
      <c r="I29" s="12" t="n">
        <v>0.0675</v>
      </c>
      <c r="J29" s="12" t="n">
        <v>0.0675</v>
      </c>
      <c r="K29" s="12" t="n">
        <v>0.0675</v>
      </c>
      <c r="M29" s="3" t="inlineStr">
        <is>
          <t>Estimate; ~$9.3B private facilities led by major banks, Jan 2025 to Feb 2026 (PitchBook deal records).</t>
        </is>
      </c>
    </row>
    <row r="30">
      <c r="B30" s="10" t="inlineStr">
        <is>
          <t>Yield on cash</t>
        </is>
      </c>
      <c r="E30" s="12" t="n">
        <v>0.04</v>
      </c>
      <c r="F30" s="12" t="n">
        <v>0.04</v>
      </c>
      <c r="G30" s="12" t="n">
        <v>0.04</v>
      </c>
      <c r="H30" s="12" t="n">
        <v>0.04</v>
      </c>
      <c r="I30" s="12" t="n">
        <v>0.04</v>
      </c>
      <c r="J30" s="12" t="n">
        <v>0.04</v>
      </c>
      <c r="K30" s="12" t="n">
        <v>0.04</v>
      </c>
      <c r="M30" s="3" t="inlineStr">
        <is>
          <t>Estimate; short-duration treasury yields.</t>
        </is>
      </c>
    </row>
    <row r="31">
      <c r="B31" s="10" t="inlineStr">
        <is>
          <t>Effective tax rate (on positive EBT)</t>
        </is>
      </c>
      <c r="E31" s="12" t="n">
        <v>0</v>
      </c>
      <c r="F31" s="12" t="n">
        <v>0</v>
      </c>
      <c r="G31" s="12" t="n">
        <v>0</v>
      </c>
      <c r="H31" s="12" t="n">
        <v>0.08</v>
      </c>
      <c r="I31" s="12" t="n">
        <v>0.08</v>
      </c>
      <c r="J31" s="12" t="n">
        <v>0.18</v>
      </c>
      <c r="K31" s="12" t="n">
        <v>0.18</v>
      </c>
      <c r="M31" s="3" t="inlineStr">
        <is>
          <t>Estimate; NOL shield from accumulated losses, stepping up as it exhausts.</t>
        </is>
      </c>
    </row>
    <row r="33">
      <c r="B33" s="17" t="inlineStr">
        <is>
          <t>Financing events (announced; USD millions)</t>
        </is>
      </c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</row>
    <row r="34">
      <c r="B34" s="10" t="inlineStr">
        <is>
          <t>Equity issuance</t>
        </is>
      </c>
      <c r="E34" s="11" t="n">
        <v>10060</v>
      </c>
      <c r="F34" s="11" t="n">
        <v>5000</v>
      </c>
      <c r="G34" s="11" t="n">
        <v>1000</v>
      </c>
      <c r="H34" s="11" t="n">
        <v>0</v>
      </c>
      <c r="I34" s="11" t="n">
        <v>0</v>
      </c>
      <c r="J34" s="11" t="n">
        <v>0</v>
      </c>
      <c r="K34" s="11" t="n">
        <v>0</v>
      </c>
      <c r="M34" s="3" t="inlineStr">
        <is>
          <t>Series J $10.1B Dec-2024 ($62B post); Series K $1.0B Sep-2025 (&gt;$100B); Series L $5.0B equity across Dec-2025/Feb-2026 closes ($134B). Company press releases; PitchBook.</t>
        </is>
      </c>
    </row>
    <row r="35">
      <c r="B35" s="10" t="inlineStr">
        <is>
          <t>Debt drawn</t>
        </is>
      </c>
      <c r="E35" s="11" t="n">
        <v>5420</v>
      </c>
      <c r="F35" s="11" t="n">
        <v>1854</v>
      </c>
      <c r="G35" s="11" t="n">
        <v>2000</v>
      </c>
      <c r="H35" s="11" t="n">
        <v>0</v>
      </c>
      <c r="I35" s="11" t="n">
        <v>0</v>
      </c>
      <c r="J35" s="11" t="n">
        <v>0</v>
      </c>
      <c r="K35" s="11" t="n">
        <v>0</v>
      </c>
      <c r="M35" s="3" t="inlineStr">
        <is>
          <t>$5.25B facility Jan-2025; $1.8B addition + $54M refi Jan-2026; $2.0B Series L tranche Feb-2026; ~$170M Series J embedded (PitchBook deal records).</t>
        </is>
      </c>
    </row>
    <row r="36">
      <c r="B36" s="10" t="inlineStr">
        <is>
          <t>Employee liquidity / tender programs (est.)</t>
        </is>
      </c>
      <c r="E36" s="11" t="n">
        <v>-6000</v>
      </c>
      <c r="F36" s="11" t="n">
        <v>-2000</v>
      </c>
      <c r="G36" s="11" t="n">
        <v>-4000</v>
      </c>
      <c r="H36" s="11" t="n">
        <v>-1000</v>
      </c>
      <c r="I36" s="11" t="n">
        <v>-1000</v>
      </c>
      <c r="J36" s="11" t="n">
        <v>-1000</v>
      </c>
      <c r="K36" s="11" t="n">
        <v>-1000</v>
      </c>
      <c r="M36" s="3" t="inlineStr">
        <is>
          <t>Estimate; Series J and the reported next round are explicitly tied to employee liquidity (company statements, Dec 2024; press reports, Jun 2026).</t>
        </is>
      </c>
    </row>
    <row r="37">
      <c r="B37" s="10" t="inlineStr">
        <is>
          <t>Acquisitions &amp; strategic investments (est.)</t>
        </is>
      </c>
      <c r="E37" s="11" t="n">
        <v>-300</v>
      </c>
      <c r="F37" s="11" t="n">
        <v>-1200</v>
      </c>
      <c r="G37" s="11" t="n">
        <v>-1500</v>
      </c>
      <c r="H37" s="11" t="n">
        <v>-1000</v>
      </c>
      <c r="I37" s="11" t="n">
        <v>-1000</v>
      </c>
      <c r="J37" s="11" t="n">
        <v>-1000</v>
      </c>
      <c r="K37" s="11" t="n">
        <v>-1000</v>
      </c>
      <c r="M37" s="3" t="inlineStr">
        <is>
          <t>Estimate of cash portion; ~19 acquisitions to date incl. MosaicML 2023, Tabular 2024, Neon 2025, Panther announced Jun 16, 2026 (terms undisclosed).</t>
        </is>
      </c>
    </row>
    <row r="39">
      <c r="B39" s="17" t="inlineStr">
        <is>
          <t>Opening balance sheet, Feb 1, 2024 (estimated; no company disclosure)</t>
        </is>
      </c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</row>
    <row r="40">
      <c r="B40" s="10" t="inlineStr">
        <is>
          <t>Cash &amp; investments</t>
        </is>
      </c>
      <c r="E40" s="11" t="n">
        <v>1500</v>
      </c>
    </row>
    <row r="41">
      <c r="B41" s="10" t="inlineStr">
        <is>
          <t>Accounts receivable</t>
        </is>
      </c>
      <c r="E41" s="11" t="n">
        <v>400</v>
      </c>
    </row>
    <row r="42">
      <c r="B42" s="10" t="inlineStr">
        <is>
          <t>PP&amp;E, net</t>
        </is>
      </c>
      <c r="E42" s="11" t="n">
        <v>300</v>
      </c>
    </row>
    <row r="43">
      <c r="B43" s="10" t="inlineStr">
        <is>
          <t>Goodwill &amp; intangibles</t>
        </is>
      </c>
      <c r="E43" s="11" t="n">
        <v>2600</v>
      </c>
    </row>
    <row r="44">
      <c r="B44" s="10" t="inlineStr">
        <is>
          <t>Other assets</t>
        </is>
      </c>
      <c r="E44" s="11" t="n">
        <v>250</v>
      </c>
    </row>
    <row r="45">
      <c r="B45" s="10" t="inlineStr">
        <is>
          <t>Deferred revenue</t>
        </is>
      </c>
      <c r="E45" s="11" t="n">
        <v>700</v>
      </c>
    </row>
    <row r="46">
      <c r="B46" s="10" t="inlineStr">
        <is>
          <t>Other liabilities</t>
        </is>
      </c>
      <c r="E46" s="11" t="n">
        <v>250</v>
      </c>
    </row>
    <row r="47">
      <c r="B47" s="10" t="inlineStr">
        <is>
          <t>Debt</t>
        </is>
      </c>
      <c r="E47" s="11" t="n">
        <v>0</v>
      </c>
    </row>
    <row r="48">
      <c r="B48" s="10" t="inlineStr">
        <is>
          <t>Paid-in capital (incl. accumulated SBC)</t>
        </is>
      </c>
      <c r="E48" s="11" t="n">
        <v>6000</v>
      </c>
    </row>
    <row r="49">
      <c r="B49" s="10" t="inlineStr">
        <is>
          <t>Accumulated deficit</t>
        </is>
      </c>
      <c r="E49" s="11" t="n">
        <v>-1900</v>
      </c>
    </row>
    <row r="50">
      <c r="M50" s="3" t="inlineStr">
        <is>
          <t>Opening balances estimated from cumulative equity raised (~$4.2B pre-Series J, PitchBook), cumulative burn, and acquisition history. Labeled estimates throughout.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1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6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2" customWidth="1" min="12" max="12"/>
    <col width="66" customWidth="1" min="13" max="13"/>
  </cols>
  <sheetData>
    <row r="2">
      <c r="B2" s="8" t="inlineStr">
        <is>
          <t>Model: Income Statement, Cash Flow, Balance Sheet</t>
        </is>
      </c>
    </row>
    <row r="3">
      <c r="B3" s="3" t="inlineStr">
        <is>
          <t>FY ends January 31. FY2025A and FY2026A are estimates calibrated to disclosed run-rates (company does not publish financial statements).</t>
        </is>
      </c>
    </row>
    <row r="5">
      <c r="B5" s="3" t="inlineStr">
        <is>
          <t>All figures in USD millions unless stated</t>
        </is>
      </c>
      <c r="E5" s="9" t="inlineStr">
        <is>
          <t>FY2025A</t>
        </is>
      </c>
      <c r="F5" s="9" t="inlineStr">
        <is>
          <t>FY2026A</t>
        </is>
      </c>
      <c r="G5" s="9" t="inlineStr">
        <is>
          <t>FY2027E</t>
        </is>
      </c>
      <c r="H5" s="9" t="inlineStr">
        <is>
          <t>FY2028E</t>
        </is>
      </c>
      <c r="I5" s="9" t="inlineStr">
        <is>
          <t>FY2029E</t>
        </is>
      </c>
      <c r="J5" s="9" t="inlineStr">
        <is>
          <t>FY2030E</t>
        </is>
      </c>
      <c r="K5" s="9" t="inlineStr">
        <is>
          <t>FY2031E</t>
        </is>
      </c>
    </row>
    <row r="7">
      <c r="B7" s="17" t="inlineStr">
        <is>
          <t>INCOME STATEMENT</t>
        </is>
      </c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</row>
    <row r="8">
      <c r="B8" s="10" t="inlineStr">
        <is>
          <t>Revenue growth</t>
        </is>
      </c>
      <c r="E8" s="12">
        <f>CHOOSE(Inputs!$E$5,Inputs!E9,Inputs!E10,Inputs!E11)</f>
        <v/>
      </c>
      <c r="F8" s="12">
        <f>CHOOSE(Inputs!$E$5,Inputs!F9,Inputs!F10,Inputs!F11)</f>
        <v/>
      </c>
      <c r="G8" s="12">
        <f>CHOOSE(Inputs!$E$5,Inputs!G9,Inputs!G10,Inputs!G11)</f>
        <v/>
      </c>
      <c r="H8" s="12">
        <f>CHOOSE(Inputs!$E$5,Inputs!H9,Inputs!H10,Inputs!H11)</f>
        <v/>
      </c>
      <c r="I8" s="12">
        <f>CHOOSE(Inputs!$E$5,Inputs!I9,Inputs!I10,Inputs!I11)</f>
        <v/>
      </c>
      <c r="J8" s="12">
        <f>CHOOSE(Inputs!$E$5,Inputs!J9,Inputs!J10,Inputs!J11)</f>
        <v/>
      </c>
      <c r="K8" s="12">
        <f>CHOOSE(Inputs!$E$5,Inputs!K9,Inputs!K10,Inputs!K11)</f>
        <v/>
      </c>
      <c r="M8" s="3" t="inlineStr">
        <is>
          <t>Scenario via Driver Switch; see Inputs for calibration sources.</t>
        </is>
      </c>
    </row>
    <row r="9">
      <c r="B9" s="13" t="inlineStr">
        <is>
          <t>Revenue</t>
        </is>
      </c>
      <c r="E9" s="20" t="n">
        <v>2550</v>
      </c>
      <c r="F9" s="20" t="n">
        <v>4050</v>
      </c>
      <c r="G9" s="20">
        <f>F9*(1+G8)</f>
        <v/>
      </c>
      <c r="H9" s="20">
        <f>G9*(1+H8)</f>
        <v/>
      </c>
      <c r="I9" s="20">
        <f>H9*(1+I8)</f>
        <v/>
      </c>
      <c r="J9" s="20">
        <f>I9*(1+J8)</f>
        <v/>
      </c>
      <c r="K9" s="20">
        <f>J9*(1+K8)</f>
        <v/>
      </c>
      <c r="M9" s="3" t="inlineStr">
        <is>
          <t>FY25A/FY26A estimated from run-rate ladder: revenue approx. average of opening and closing annualized run-rate (company press releases, Sep 2024 to Feb 2026).</t>
        </is>
      </c>
    </row>
    <row r="10">
      <c r="B10" s="10" t="inlineStr">
        <is>
          <t>Gross margin %</t>
        </is>
      </c>
      <c r="E10" s="12">
        <f>CHOOSE(Inputs!$E$5,Inputs!E14,Inputs!E15,Inputs!E16)</f>
        <v/>
      </c>
      <c r="F10" s="12">
        <f>CHOOSE(Inputs!$E$5,Inputs!F14,Inputs!F15,Inputs!F16)</f>
        <v/>
      </c>
      <c r="G10" s="12">
        <f>CHOOSE(Inputs!$E$5,Inputs!G14,Inputs!G15,Inputs!G16)</f>
        <v/>
      </c>
      <c r="H10" s="12">
        <f>CHOOSE(Inputs!$E$5,Inputs!H14,Inputs!H15,Inputs!H16)</f>
        <v/>
      </c>
      <c r="I10" s="12">
        <f>CHOOSE(Inputs!$E$5,Inputs!I14,Inputs!I15,Inputs!I16)</f>
        <v/>
      </c>
      <c r="J10" s="12">
        <f>CHOOSE(Inputs!$E$5,Inputs!J14,Inputs!J15,Inputs!J16)</f>
        <v/>
      </c>
      <c r="K10" s="12">
        <f>CHOOSE(Inputs!$E$5,Inputs!K14,Inputs!K15,Inputs!K16)</f>
        <v/>
      </c>
      <c r="M10" s="3" t="inlineStr">
        <is>
          <t>74% Jun-2026, guided lower (company disclosure, Jun 16, 2026).</t>
        </is>
      </c>
    </row>
    <row r="11">
      <c r="B11" s="10" t="inlineStr">
        <is>
          <t>Cost of revenue</t>
        </is>
      </c>
      <c r="E11" s="11">
        <f>-E9*(1-E10)</f>
        <v/>
      </c>
      <c r="F11" s="11">
        <f>-F9*(1-F10)</f>
        <v/>
      </c>
      <c r="G11" s="11">
        <f>-G9*(1-G10)</f>
        <v/>
      </c>
      <c r="H11" s="11">
        <f>-H9*(1-H10)</f>
        <v/>
      </c>
      <c r="I11" s="11">
        <f>-I9*(1-I10)</f>
        <v/>
      </c>
      <c r="J11" s="11">
        <f>-J9*(1-J10)</f>
        <v/>
      </c>
      <c r="K11" s="11">
        <f>-K9*(1-K10)</f>
        <v/>
      </c>
    </row>
    <row r="12">
      <c r="B12" s="13" t="inlineStr">
        <is>
          <t>Gross profit</t>
        </is>
      </c>
      <c r="E12" s="20">
        <f>E9+E11</f>
        <v/>
      </c>
      <c r="F12" s="20">
        <f>F9+F11</f>
        <v/>
      </c>
      <c r="G12" s="20">
        <f>G9+G11</f>
        <v/>
      </c>
      <c r="H12" s="20">
        <f>H9+H11</f>
        <v/>
      </c>
      <c r="I12" s="20">
        <f>I9+I11</f>
        <v/>
      </c>
      <c r="J12" s="20">
        <f>J9+J11</f>
        <v/>
      </c>
      <c r="K12" s="20">
        <f>K9+K11</f>
        <v/>
      </c>
    </row>
    <row r="14">
      <c r="B14" s="10" t="inlineStr">
        <is>
          <t>R&amp;D (ex-SBC)</t>
        </is>
      </c>
      <c r="E14" s="11">
        <f>-E9*Inputs!E19</f>
        <v/>
      </c>
      <c r="F14" s="11">
        <f>-F9*Inputs!F19</f>
        <v/>
      </c>
      <c r="G14" s="11">
        <f>-G9*Inputs!G19</f>
        <v/>
      </c>
      <c r="H14" s="11">
        <f>-H9*Inputs!H19</f>
        <v/>
      </c>
      <c r="I14" s="11">
        <f>-I9*Inputs!I19</f>
        <v/>
      </c>
      <c r="J14" s="11">
        <f>-J9*Inputs!J19</f>
        <v/>
      </c>
      <c r="K14" s="11">
        <f>-K9*Inputs!K19</f>
        <v/>
      </c>
    </row>
    <row r="15">
      <c r="B15" s="10" t="inlineStr">
        <is>
          <t>Sales &amp; marketing (ex-SBC)</t>
        </is>
      </c>
      <c r="E15" s="11">
        <f>-E9*Inputs!E20</f>
        <v/>
      </c>
      <c r="F15" s="11">
        <f>-F9*Inputs!F20</f>
        <v/>
      </c>
      <c r="G15" s="11">
        <f>-G9*Inputs!G20</f>
        <v/>
      </c>
      <c r="H15" s="11">
        <f>-H9*Inputs!H20</f>
        <v/>
      </c>
      <c r="I15" s="11">
        <f>-I9*Inputs!I20</f>
        <v/>
      </c>
      <c r="J15" s="11">
        <f>-J9*Inputs!J20</f>
        <v/>
      </c>
      <c r="K15" s="11">
        <f>-K9*Inputs!K20</f>
        <v/>
      </c>
    </row>
    <row r="16">
      <c r="B16" s="10" t="inlineStr">
        <is>
          <t>General &amp; administrative (ex-SBC)</t>
        </is>
      </c>
      <c r="E16" s="11">
        <f>-E9*Inputs!E21</f>
        <v/>
      </c>
      <c r="F16" s="11">
        <f>-F9*Inputs!F21</f>
        <v/>
      </c>
      <c r="G16" s="11">
        <f>-G9*Inputs!G21</f>
        <v/>
      </c>
      <c r="H16" s="11">
        <f>-H9*Inputs!H21</f>
        <v/>
      </c>
      <c r="I16" s="11">
        <f>-I9*Inputs!I21</f>
        <v/>
      </c>
      <c r="J16" s="11">
        <f>-J9*Inputs!J21</f>
        <v/>
      </c>
      <c r="K16" s="11">
        <f>-K9*Inputs!K21</f>
        <v/>
      </c>
    </row>
    <row r="17">
      <c r="B17" s="10" t="inlineStr">
        <is>
          <t>Stock-based compensation</t>
        </is>
      </c>
      <c r="E17" s="11">
        <f>-E9*Inputs!E22</f>
        <v/>
      </c>
      <c r="F17" s="11">
        <f>-F9*Inputs!F22</f>
        <v/>
      </c>
      <c r="G17" s="11">
        <f>-G9*Inputs!G22</f>
        <v/>
      </c>
      <c r="H17" s="11">
        <f>-H9*Inputs!H22</f>
        <v/>
      </c>
      <c r="I17" s="11">
        <f>-I9*Inputs!I22</f>
        <v/>
      </c>
      <c r="J17" s="11">
        <f>-J9*Inputs!J22</f>
        <v/>
      </c>
      <c r="K17" s="11">
        <f>-K9*Inputs!K22</f>
        <v/>
      </c>
    </row>
    <row r="18">
      <c r="B18" s="10" t="inlineStr">
        <is>
          <t>Depreciation &amp; amortization</t>
        </is>
      </c>
      <c r="E18" s="11">
        <f>-E9*Inputs!E23</f>
        <v/>
      </c>
      <c r="F18" s="11">
        <f>-F9*Inputs!F23</f>
        <v/>
      </c>
      <c r="G18" s="11">
        <f>-G9*Inputs!G23</f>
        <v/>
      </c>
      <c r="H18" s="11">
        <f>-H9*Inputs!H23</f>
        <v/>
      </c>
      <c r="I18" s="11">
        <f>-I9*Inputs!I23</f>
        <v/>
      </c>
      <c r="J18" s="11">
        <f>-J9*Inputs!J23</f>
        <v/>
      </c>
      <c r="K18" s="11">
        <f>-K9*Inputs!K23</f>
        <v/>
      </c>
    </row>
    <row r="19">
      <c r="B19" s="13" t="inlineStr">
        <is>
          <t>EBIT (GAAP basis, est.)</t>
        </is>
      </c>
      <c r="E19" s="20">
        <f>E12+SUM(E14:E18)</f>
        <v/>
      </c>
      <c r="F19" s="20">
        <f>F12+SUM(F14:F18)</f>
        <v/>
      </c>
      <c r="G19" s="20">
        <f>G12+SUM(G14:G18)</f>
        <v/>
      </c>
      <c r="H19" s="20">
        <f>H12+SUM(H14:H18)</f>
        <v/>
      </c>
      <c r="I19" s="20">
        <f>I12+SUM(I14:I18)</f>
        <v/>
      </c>
      <c r="J19" s="20">
        <f>J12+SUM(J14:J18)</f>
        <v/>
      </c>
      <c r="K19" s="20">
        <f>K12+SUM(K14:K18)</f>
        <v/>
      </c>
    </row>
    <row r="20">
      <c r="B20" s="10" t="inlineStr">
        <is>
          <t>EBITDA</t>
        </is>
      </c>
      <c r="E20" s="11">
        <f>E19-E18</f>
        <v/>
      </c>
      <c r="F20" s="11">
        <f>F19-F18</f>
        <v/>
      </c>
      <c r="G20" s="11">
        <f>G19-G18</f>
        <v/>
      </c>
      <c r="H20" s="11">
        <f>H19-H18</f>
        <v/>
      </c>
      <c r="I20" s="11">
        <f>I19-I18</f>
        <v/>
      </c>
      <c r="J20" s="11">
        <f>J19-J18</f>
        <v/>
      </c>
      <c r="K20" s="11">
        <f>K19-K18</f>
        <v/>
      </c>
    </row>
    <row r="22">
      <c r="B22" s="10" t="inlineStr">
        <is>
          <t>Interest expense (on opening debt)</t>
        </is>
      </c>
      <c r="E22" s="11">
        <f>-Inputs!$E$47*Inputs!E29</f>
        <v/>
      </c>
      <c r="F22" s="11">
        <f>-E58*Inputs!F29</f>
        <v/>
      </c>
      <c r="G22" s="11">
        <f>-F58*Inputs!G29</f>
        <v/>
      </c>
      <c r="H22" s="11">
        <f>-G58*Inputs!H29</f>
        <v/>
      </c>
      <c r="I22" s="11">
        <f>-H58*Inputs!I29</f>
        <v/>
      </c>
      <c r="J22" s="11">
        <f>-I58*Inputs!J29</f>
        <v/>
      </c>
      <c r="K22" s="11">
        <f>-J58*Inputs!K29</f>
        <v/>
      </c>
      <c r="M22" s="3" t="inlineStr">
        <is>
          <t>Convention: interest on opening balances avoids circularity.</t>
        </is>
      </c>
    </row>
    <row r="23">
      <c r="B23" s="10" t="inlineStr">
        <is>
          <t>Interest income (on opening cash)</t>
        </is>
      </c>
      <c r="E23" s="11">
        <f>Inputs!$E$40*Inputs!E30</f>
        <v/>
      </c>
      <c r="F23" s="11">
        <f>E49*Inputs!F30</f>
        <v/>
      </c>
      <c r="G23" s="11">
        <f>F49*Inputs!G30</f>
        <v/>
      </c>
      <c r="H23" s="11">
        <f>G49*Inputs!H30</f>
        <v/>
      </c>
      <c r="I23" s="11">
        <f>H49*Inputs!I30</f>
        <v/>
      </c>
      <c r="J23" s="11">
        <f>I49*Inputs!J30</f>
        <v/>
      </c>
      <c r="K23" s="11">
        <f>J49*Inputs!K30</f>
        <v/>
      </c>
    </row>
    <row r="24">
      <c r="B24" s="13" t="inlineStr">
        <is>
          <t>Pre-tax income</t>
        </is>
      </c>
      <c r="E24" s="20">
        <f>E19+E22+E23</f>
        <v/>
      </c>
      <c r="F24" s="20">
        <f>F19+F22+F23</f>
        <v/>
      </c>
      <c r="G24" s="20">
        <f>G19+G22+G23</f>
        <v/>
      </c>
      <c r="H24" s="20">
        <f>H19+H22+H23</f>
        <v/>
      </c>
      <c r="I24" s="20">
        <f>I19+I22+I23</f>
        <v/>
      </c>
      <c r="J24" s="20">
        <f>J19+J22+J23</f>
        <v/>
      </c>
      <c r="K24" s="20">
        <f>K19+K22+K23</f>
        <v/>
      </c>
    </row>
    <row r="25">
      <c r="B25" s="10" t="inlineStr">
        <is>
          <t>Tax</t>
        </is>
      </c>
      <c r="E25" s="11">
        <f>-MAX(E24,0)*Inputs!E31</f>
        <v/>
      </c>
      <c r="F25" s="11">
        <f>-MAX(F24,0)*Inputs!F31</f>
        <v/>
      </c>
      <c r="G25" s="11">
        <f>-MAX(G24,0)*Inputs!G31</f>
        <v/>
      </c>
      <c r="H25" s="11">
        <f>-MAX(H24,0)*Inputs!H31</f>
        <v/>
      </c>
      <c r="I25" s="11">
        <f>-MAX(I24,0)*Inputs!I31</f>
        <v/>
      </c>
      <c r="J25" s="11">
        <f>-MAX(J24,0)*Inputs!J31</f>
        <v/>
      </c>
      <c r="K25" s="11">
        <f>-MAX(K24,0)*Inputs!K31</f>
        <v/>
      </c>
    </row>
    <row r="26">
      <c r="B26" s="13" t="inlineStr">
        <is>
          <t>Net income</t>
        </is>
      </c>
      <c r="E26" s="20">
        <f>E24+E25</f>
        <v/>
      </c>
      <c r="F26" s="20">
        <f>F24+F25</f>
        <v/>
      </c>
      <c r="G26" s="20">
        <f>G24+G25</f>
        <v/>
      </c>
      <c r="H26" s="20">
        <f>H24+H25</f>
        <v/>
      </c>
      <c r="I26" s="20">
        <f>I24+I25</f>
        <v/>
      </c>
      <c r="J26" s="20">
        <f>J24+J25</f>
        <v/>
      </c>
      <c r="K26" s="20">
        <f>K24+K25</f>
        <v/>
      </c>
    </row>
    <row r="28">
      <c r="B28" s="17" t="inlineStr">
        <is>
          <t>CASH FLOW STATEMENT</t>
        </is>
      </c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</row>
    <row r="29">
      <c r="B29" s="10" t="inlineStr">
        <is>
          <t>Net income</t>
        </is>
      </c>
      <c r="E29" s="11">
        <f>E26</f>
        <v/>
      </c>
      <c r="F29" s="11">
        <f>F26</f>
        <v/>
      </c>
      <c r="G29" s="11">
        <f>G26</f>
        <v/>
      </c>
      <c r="H29" s="11">
        <f>H26</f>
        <v/>
      </c>
      <c r="I29" s="11">
        <f>I26</f>
        <v/>
      </c>
      <c r="J29" s="11">
        <f>J26</f>
        <v/>
      </c>
      <c r="K29" s="11">
        <f>K26</f>
        <v/>
      </c>
    </row>
    <row r="30">
      <c r="B30" s="10" t="inlineStr">
        <is>
          <t>Add back: D&amp;A</t>
        </is>
      </c>
      <c r="E30" s="11">
        <f>-E18</f>
        <v/>
      </c>
      <c r="F30" s="11">
        <f>-F18</f>
        <v/>
      </c>
      <c r="G30" s="11">
        <f>-G18</f>
        <v/>
      </c>
      <c r="H30" s="11">
        <f>-H18</f>
        <v/>
      </c>
      <c r="I30" s="11">
        <f>-I18</f>
        <v/>
      </c>
      <c r="J30" s="11">
        <f>-J18</f>
        <v/>
      </c>
      <c r="K30" s="11">
        <f>-K18</f>
        <v/>
      </c>
    </row>
    <row r="31">
      <c r="B31" s="10" t="inlineStr">
        <is>
          <t>Add back: SBC</t>
        </is>
      </c>
      <c r="E31" s="11">
        <f>-E17</f>
        <v/>
      </c>
      <c r="F31" s="11">
        <f>-F17</f>
        <v/>
      </c>
      <c r="G31" s="11">
        <f>-G17</f>
        <v/>
      </c>
      <c r="H31" s="11">
        <f>-H17</f>
        <v/>
      </c>
      <c r="I31" s="11">
        <f>-I17</f>
        <v/>
      </c>
      <c r="J31" s="11">
        <f>-J17</f>
        <v/>
      </c>
      <c r="K31" s="11">
        <f>-K17</f>
        <v/>
      </c>
    </row>
    <row r="32">
      <c r="B32" s="10" t="inlineStr">
        <is>
          <t>Change in accounts receivable</t>
        </is>
      </c>
      <c r="E32" s="11">
        <f>-(E50-Inputs!$E$41)</f>
        <v/>
      </c>
      <c r="F32" s="11">
        <f>-(F50-E50)</f>
        <v/>
      </c>
      <c r="G32" s="11">
        <f>-(G50-F50)</f>
        <v/>
      </c>
      <c r="H32" s="11">
        <f>-(H50-G50)</f>
        <v/>
      </c>
      <c r="I32" s="11">
        <f>-(I50-H50)</f>
        <v/>
      </c>
      <c r="J32" s="11">
        <f>-(J50-I50)</f>
        <v/>
      </c>
      <c r="K32" s="11">
        <f>-(K50-J50)</f>
        <v/>
      </c>
    </row>
    <row r="33">
      <c r="B33" s="10" t="inlineStr">
        <is>
          <t>Change in deferred revenue</t>
        </is>
      </c>
      <c r="E33" s="11">
        <f>E56-Inputs!$E$45</f>
        <v/>
      </c>
      <c r="F33" s="11">
        <f>F56-E56</f>
        <v/>
      </c>
      <c r="G33" s="11">
        <f>G56-F56</f>
        <v/>
      </c>
      <c r="H33" s="11">
        <f>H56-G56</f>
        <v/>
      </c>
      <c r="I33" s="11">
        <f>I56-H56</f>
        <v/>
      </c>
      <c r="J33" s="11">
        <f>J56-I56</f>
        <v/>
      </c>
      <c r="K33" s="11">
        <f>K56-J56</f>
        <v/>
      </c>
    </row>
    <row r="34">
      <c r="B34" s="13" t="inlineStr">
        <is>
          <t>Cash from operations</t>
        </is>
      </c>
      <c r="E34" s="20">
        <f>SUM(E29:E33)</f>
        <v/>
      </c>
      <c r="F34" s="20">
        <f>SUM(F29:F33)</f>
        <v/>
      </c>
      <c r="G34" s="20">
        <f>SUM(G29:G33)</f>
        <v/>
      </c>
      <c r="H34" s="20">
        <f>SUM(H29:H33)</f>
        <v/>
      </c>
      <c r="I34" s="20">
        <f>SUM(I29:I33)</f>
        <v/>
      </c>
      <c r="J34" s="20">
        <f>SUM(J29:J33)</f>
        <v/>
      </c>
      <c r="K34" s="20">
        <f>SUM(K29:K33)</f>
        <v/>
      </c>
    </row>
    <row r="36">
      <c r="B36" s="10" t="inlineStr">
        <is>
          <t>Capital expenditure</t>
        </is>
      </c>
      <c r="E36" s="11">
        <f>-E9*Inputs!E24</f>
        <v/>
      </c>
      <c r="F36" s="11">
        <f>-F9*Inputs!F24</f>
        <v/>
      </c>
      <c r="G36" s="11">
        <f>-G9*Inputs!G24</f>
        <v/>
      </c>
      <c r="H36" s="11">
        <f>-H9*Inputs!H24</f>
        <v/>
      </c>
      <c r="I36" s="11">
        <f>-I9*Inputs!I24</f>
        <v/>
      </c>
      <c r="J36" s="11">
        <f>-J9*Inputs!J24</f>
        <v/>
      </c>
      <c r="K36" s="11">
        <f>-K9*Inputs!K24</f>
        <v/>
      </c>
    </row>
    <row r="37">
      <c r="B37" s="10" t="inlineStr">
        <is>
          <t>Acquisitions &amp; strategic investments (est.)</t>
        </is>
      </c>
      <c r="E37" s="11">
        <f>Inputs!E37</f>
        <v/>
      </c>
      <c r="F37" s="11">
        <f>Inputs!F37</f>
        <v/>
      </c>
      <c r="G37" s="11">
        <f>Inputs!G37</f>
        <v/>
      </c>
      <c r="H37" s="11">
        <f>Inputs!H37</f>
        <v/>
      </c>
      <c r="I37" s="11">
        <f>Inputs!I37</f>
        <v/>
      </c>
      <c r="J37" s="11">
        <f>Inputs!J37</f>
        <v/>
      </c>
      <c r="K37" s="11">
        <f>Inputs!K37</f>
        <v/>
      </c>
    </row>
    <row r="38">
      <c r="B38" s="13" t="inlineStr">
        <is>
          <t>Cash from investing</t>
        </is>
      </c>
      <c r="E38" s="20">
        <f>SUM(E36:E37)</f>
        <v/>
      </c>
      <c r="F38" s="20">
        <f>SUM(F36:F37)</f>
        <v/>
      </c>
      <c r="G38" s="20">
        <f>SUM(G36:G37)</f>
        <v/>
      </c>
      <c r="H38" s="20">
        <f>SUM(H36:H37)</f>
        <v/>
      </c>
      <c r="I38" s="20">
        <f>SUM(I36:I37)</f>
        <v/>
      </c>
      <c r="J38" s="20">
        <f>SUM(J36:J37)</f>
        <v/>
      </c>
      <c r="K38" s="20">
        <f>SUM(K36:K37)</f>
        <v/>
      </c>
    </row>
    <row r="40">
      <c r="B40" s="10" t="inlineStr">
        <is>
          <t>Equity issuance</t>
        </is>
      </c>
      <c r="E40" s="11">
        <f>Inputs!E34</f>
        <v/>
      </c>
      <c r="F40" s="11">
        <f>Inputs!F34</f>
        <v/>
      </c>
      <c r="G40" s="11">
        <f>Inputs!G34</f>
        <v/>
      </c>
      <c r="H40" s="11">
        <f>Inputs!H34</f>
        <v/>
      </c>
      <c r="I40" s="11">
        <f>Inputs!I34</f>
        <v/>
      </c>
      <c r="J40" s="11">
        <f>Inputs!J34</f>
        <v/>
      </c>
      <c r="K40" s="11">
        <f>Inputs!K34</f>
        <v/>
      </c>
    </row>
    <row r="41">
      <c r="B41" s="10" t="inlineStr">
        <is>
          <t>Debt drawn</t>
        </is>
      </c>
      <c r="E41" s="11">
        <f>Inputs!E35</f>
        <v/>
      </c>
      <c r="F41" s="11">
        <f>Inputs!F35</f>
        <v/>
      </c>
      <c r="G41" s="11">
        <f>Inputs!G35</f>
        <v/>
      </c>
      <c r="H41" s="11">
        <f>Inputs!H35</f>
        <v/>
      </c>
      <c r="I41" s="11">
        <f>Inputs!I35</f>
        <v/>
      </c>
      <c r="J41" s="11">
        <f>Inputs!J35</f>
        <v/>
      </c>
      <c r="K41" s="11">
        <f>Inputs!K35</f>
        <v/>
      </c>
    </row>
    <row r="42">
      <c r="B42" s="10" t="inlineStr">
        <is>
          <t>Employee liquidity / tenders (est.)</t>
        </is>
      </c>
      <c r="E42" s="11">
        <f>Inputs!E36</f>
        <v/>
      </c>
      <c r="F42" s="11">
        <f>Inputs!F36</f>
        <v/>
      </c>
      <c r="G42" s="11">
        <f>Inputs!G36</f>
        <v/>
      </c>
      <c r="H42" s="11">
        <f>Inputs!H36</f>
        <v/>
      </c>
      <c r="I42" s="11">
        <f>Inputs!I36</f>
        <v/>
      </c>
      <c r="J42" s="11">
        <f>Inputs!J36</f>
        <v/>
      </c>
      <c r="K42" s="11">
        <f>Inputs!K36</f>
        <v/>
      </c>
    </row>
    <row r="43">
      <c r="B43" s="13" t="inlineStr">
        <is>
          <t>Cash from financing</t>
        </is>
      </c>
      <c r="E43" s="20">
        <f>SUM(E40:E42)</f>
        <v/>
      </c>
      <c r="F43" s="20">
        <f>SUM(F40:F42)</f>
        <v/>
      </c>
      <c r="G43" s="20">
        <f>SUM(G40:G42)</f>
        <v/>
      </c>
      <c r="H43" s="20">
        <f>SUM(H40:H42)</f>
        <v/>
      </c>
      <c r="I43" s="20">
        <f>SUM(I40:I42)</f>
        <v/>
      </c>
      <c r="J43" s="20">
        <f>SUM(J40:J42)</f>
        <v/>
      </c>
      <c r="K43" s="20">
        <f>SUM(K40:K42)</f>
        <v/>
      </c>
    </row>
    <row r="44">
      <c r="B44" s="13" t="inlineStr">
        <is>
          <t>Change in cash</t>
        </is>
      </c>
      <c r="E44" s="20">
        <f>E34+E38+E43</f>
        <v/>
      </c>
      <c r="F44" s="20">
        <f>F34+F38+F43</f>
        <v/>
      </c>
      <c r="G44" s="20">
        <f>G34+G38+G43</f>
        <v/>
      </c>
      <c r="H44" s="20">
        <f>H34+H38+H43</f>
        <v/>
      </c>
      <c r="I44" s="20">
        <f>I34+I38+I43</f>
        <v/>
      </c>
      <c r="J44" s="20">
        <f>J34+J38+J43</f>
        <v/>
      </c>
      <c r="K44" s="20">
        <f>K34+K38+K43</f>
        <v/>
      </c>
    </row>
    <row r="45">
      <c r="B45" s="13" t="inlineStr">
        <is>
          <t>Free cash flow (CFO + capex)</t>
        </is>
      </c>
      <c r="E45" s="14">
        <f>E34+E36</f>
        <v/>
      </c>
      <c r="F45" s="14">
        <f>F34+F36</f>
        <v/>
      </c>
      <c r="G45" s="14">
        <f>G34+G36</f>
        <v/>
      </c>
      <c r="H45" s="14">
        <f>H34+H36</f>
        <v/>
      </c>
      <c r="I45" s="14">
        <f>I34+I36</f>
        <v/>
      </c>
      <c r="J45" s="14">
        <f>J34+J36</f>
        <v/>
      </c>
      <c r="K45" s="14">
        <f>K34+K36</f>
        <v/>
      </c>
      <c r="M45" s="3" t="inlineStr">
        <is>
          <t>Company confirms FCF positive on TTM and FY2025 bases without magnitude (Feb 9, 2026); level shown is a model output, not a disclosure.</t>
        </is>
      </c>
    </row>
    <row r="46">
      <c r="B46" s="10" t="inlineStr">
        <is>
          <t>FCF margin</t>
        </is>
      </c>
      <c r="E46" s="12">
        <f>E45/E9</f>
        <v/>
      </c>
      <c r="F46" s="12">
        <f>F45/F9</f>
        <v/>
      </c>
      <c r="G46" s="12">
        <f>G45/G9</f>
        <v/>
      </c>
      <c r="H46" s="12">
        <f>H45/H9</f>
        <v/>
      </c>
      <c r="I46" s="12">
        <f>I45/I9</f>
        <v/>
      </c>
      <c r="J46" s="12">
        <f>J45/J9</f>
        <v/>
      </c>
      <c r="K46" s="12">
        <f>K45/K9</f>
        <v/>
      </c>
    </row>
    <row r="48">
      <c r="B48" s="17" t="inlineStr">
        <is>
          <t>BALANCE SHEET (closing)</t>
        </is>
      </c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</row>
    <row r="49">
      <c r="B49" s="13" t="inlineStr">
        <is>
          <t>Cash &amp; investments</t>
        </is>
      </c>
      <c r="E49" s="20">
        <f>Inputs!$E$40+E44</f>
        <v/>
      </c>
      <c r="F49" s="20">
        <f>E49+F44</f>
        <v/>
      </c>
      <c r="G49" s="20">
        <f>F49+G44</f>
        <v/>
      </c>
      <c r="H49" s="20">
        <f>G49+H44</f>
        <v/>
      </c>
      <c r="I49" s="20">
        <f>H49+I44</f>
        <v/>
      </c>
      <c r="J49" s="20">
        <f>I49+J44</f>
        <v/>
      </c>
      <c r="K49" s="20">
        <f>J49+K44</f>
        <v/>
      </c>
    </row>
    <row r="50">
      <c r="B50" s="10" t="inlineStr">
        <is>
          <t>Accounts receivable</t>
        </is>
      </c>
      <c r="E50" s="11">
        <f>E9*Inputs!E27/365</f>
        <v/>
      </c>
      <c r="F50" s="11">
        <f>F9*Inputs!F27/365</f>
        <v/>
      </c>
      <c r="G50" s="11">
        <f>G9*Inputs!G27/365</f>
        <v/>
      </c>
      <c r="H50" s="11">
        <f>H9*Inputs!H27/365</f>
        <v/>
      </c>
      <c r="I50" s="11">
        <f>I9*Inputs!I27/365</f>
        <v/>
      </c>
      <c r="J50" s="11">
        <f>J9*Inputs!J27/365</f>
        <v/>
      </c>
      <c r="K50" s="11">
        <f>K9*Inputs!K27/365</f>
        <v/>
      </c>
    </row>
    <row r="51">
      <c r="B51" s="10" t="inlineStr">
        <is>
          <t>PP&amp;E, net</t>
        </is>
      </c>
      <c r="E51" s="11">
        <f>Inputs!$E$42-E36+E18</f>
        <v/>
      </c>
      <c r="F51" s="11">
        <f>E51-F36+F18</f>
        <v/>
      </c>
      <c r="G51" s="11">
        <f>F51-G36+G18</f>
        <v/>
      </c>
      <c r="H51" s="11">
        <f>G51-H36+H18</f>
        <v/>
      </c>
      <c r="I51" s="11">
        <f>H51-I36+I18</f>
        <v/>
      </c>
      <c r="J51" s="11">
        <f>I51-J36+J18</f>
        <v/>
      </c>
      <c r="K51" s="11">
        <f>J51-K36+K18</f>
        <v/>
      </c>
    </row>
    <row r="52">
      <c r="B52" s="10" t="inlineStr">
        <is>
          <t>Goodwill &amp; intangibles</t>
        </is>
      </c>
      <c r="E52" s="11">
        <f>Inputs!$E$43-E37</f>
        <v/>
      </c>
      <c r="F52" s="11">
        <f>E52-F37</f>
        <v/>
      </c>
      <c r="G52" s="11">
        <f>F52-G37</f>
        <v/>
      </c>
      <c r="H52" s="11">
        <f>G52-H37</f>
        <v/>
      </c>
      <c r="I52" s="11">
        <f>H52-I37</f>
        <v/>
      </c>
      <c r="J52" s="11">
        <f>I52-J37</f>
        <v/>
      </c>
      <c r="K52" s="11">
        <f>J52-K37</f>
        <v/>
      </c>
    </row>
    <row r="53">
      <c r="B53" s="10" t="inlineStr">
        <is>
          <t>Other assets</t>
        </is>
      </c>
      <c r="E53" s="11">
        <f>Inputs!$E$44</f>
        <v/>
      </c>
      <c r="F53" s="11">
        <f>Inputs!$E$44</f>
        <v/>
      </c>
      <c r="G53" s="11">
        <f>Inputs!$E$44</f>
        <v/>
      </c>
      <c r="H53" s="11">
        <f>Inputs!$E$44</f>
        <v/>
      </c>
      <c r="I53" s="11">
        <f>Inputs!$E$44</f>
        <v/>
      </c>
      <c r="J53" s="11">
        <f>Inputs!$E$44</f>
        <v/>
      </c>
      <c r="K53" s="11">
        <f>Inputs!$E$44</f>
        <v/>
      </c>
    </row>
    <row r="54">
      <c r="B54" s="13" t="inlineStr">
        <is>
          <t>Total assets</t>
        </is>
      </c>
      <c r="E54" s="20">
        <f>SUM(E49:E53)</f>
        <v/>
      </c>
      <c r="F54" s="20">
        <f>SUM(F49:F53)</f>
        <v/>
      </c>
      <c r="G54" s="20">
        <f>SUM(G49:G53)</f>
        <v/>
      </c>
      <c r="H54" s="20">
        <f>SUM(H49:H53)</f>
        <v/>
      </c>
      <c r="I54" s="20">
        <f>SUM(I49:I53)</f>
        <v/>
      </c>
      <c r="J54" s="20">
        <f>SUM(J49:J53)</f>
        <v/>
      </c>
      <c r="K54" s="20">
        <f>SUM(K49:K53)</f>
        <v/>
      </c>
    </row>
    <row r="56">
      <c r="B56" s="10" t="inlineStr">
        <is>
          <t>Deferred revenue</t>
        </is>
      </c>
      <c r="E56" s="11">
        <f>E9*Inputs!E28/365</f>
        <v/>
      </c>
      <c r="F56" s="11">
        <f>F9*Inputs!F28/365</f>
        <v/>
      </c>
      <c r="G56" s="11">
        <f>G9*Inputs!G28/365</f>
        <v/>
      </c>
      <c r="H56" s="11">
        <f>H9*Inputs!H28/365</f>
        <v/>
      </c>
      <c r="I56" s="11">
        <f>I9*Inputs!I28/365</f>
        <v/>
      </c>
      <c r="J56" s="11">
        <f>J9*Inputs!J28/365</f>
        <v/>
      </c>
      <c r="K56" s="11">
        <f>K9*Inputs!K28/365</f>
        <v/>
      </c>
    </row>
    <row r="57">
      <c r="B57" s="10" t="inlineStr">
        <is>
          <t>Other liabilities</t>
        </is>
      </c>
      <c r="E57" s="11">
        <f>Inputs!$E$46</f>
        <v/>
      </c>
      <c r="F57" s="11">
        <f>Inputs!$E$46</f>
        <v/>
      </c>
      <c r="G57" s="11">
        <f>Inputs!$E$46</f>
        <v/>
      </c>
      <c r="H57" s="11">
        <f>Inputs!$E$46</f>
        <v/>
      </c>
      <c r="I57" s="11">
        <f>Inputs!$E$46</f>
        <v/>
      </c>
      <c r="J57" s="11">
        <f>Inputs!$E$46</f>
        <v/>
      </c>
      <c r="K57" s="11">
        <f>Inputs!$E$46</f>
        <v/>
      </c>
    </row>
    <row r="58">
      <c r="B58" s="13" t="inlineStr">
        <is>
          <t>Debt</t>
        </is>
      </c>
      <c r="E58" s="20">
        <f>Inputs!$E$47+E41</f>
        <v/>
      </c>
      <c r="F58" s="20">
        <f>E58+F41</f>
        <v/>
      </c>
      <c r="G58" s="20">
        <f>F58+G41</f>
        <v/>
      </c>
      <c r="H58" s="20">
        <f>G58+H41</f>
        <v/>
      </c>
      <c r="I58" s="20">
        <f>H58+I41</f>
        <v/>
      </c>
      <c r="J58" s="20">
        <f>I58+J41</f>
        <v/>
      </c>
      <c r="K58" s="20">
        <f>J58+K41</f>
        <v/>
      </c>
      <c r="M58" s="3" t="inlineStr">
        <is>
          <t>~$9.3B by FY2027E: PitchBook deal records, Jan 2025 to Feb 2026.</t>
        </is>
      </c>
    </row>
    <row r="59">
      <c r="B59" s="13" t="inlineStr">
        <is>
          <t>Total liabilities</t>
        </is>
      </c>
      <c r="E59" s="20">
        <f>SUM(E56:E58)</f>
        <v/>
      </c>
      <c r="F59" s="20">
        <f>SUM(F56:F58)</f>
        <v/>
      </c>
      <c r="G59" s="20">
        <f>SUM(G56:G58)</f>
        <v/>
      </c>
      <c r="H59" s="20">
        <f>SUM(H56:H58)</f>
        <v/>
      </c>
      <c r="I59" s="20">
        <f>SUM(I56:I58)</f>
        <v/>
      </c>
      <c r="J59" s="20">
        <f>SUM(J56:J58)</f>
        <v/>
      </c>
      <c r="K59" s="20">
        <f>SUM(K56:K58)</f>
        <v/>
      </c>
    </row>
    <row r="61">
      <c r="B61" s="10" t="inlineStr">
        <is>
          <t>Paid-in capital (incl. SBC, net of tenders)</t>
        </is>
      </c>
      <c r="E61" s="11">
        <f>Inputs!$E$48+E40-E17+E42</f>
        <v/>
      </c>
      <c r="F61" s="11">
        <f>E61+F40-F17+F42</f>
        <v/>
      </c>
      <c r="G61" s="11">
        <f>F61+G40-G17+G42</f>
        <v/>
      </c>
      <c r="H61" s="11">
        <f>G61+H40-H17+H42</f>
        <v/>
      </c>
      <c r="I61" s="11">
        <f>H61+I40-I17+I42</f>
        <v/>
      </c>
      <c r="J61" s="11">
        <f>I61+J40-J17+J42</f>
        <v/>
      </c>
      <c r="K61" s="11">
        <f>J61+K40-K17+K42</f>
        <v/>
      </c>
    </row>
    <row r="62">
      <c r="B62" s="10" t="inlineStr">
        <is>
          <t>Retained earnings / (deficit)</t>
        </is>
      </c>
      <c r="E62" s="11">
        <f>Inputs!$E$49+E26</f>
        <v/>
      </c>
      <c r="F62" s="11">
        <f>E62+F26</f>
        <v/>
      </c>
      <c r="G62" s="11">
        <f>F62+G26</f>
        <v/>
      </c>
      <c r="H62" s="11">
        <f>G62+H26</f>
        <v/>
      </c>
      <c r="I62" s="11">
        <f>H62+I26</f>
        <v/>
      </c>
      <c r="J62" s="11">
        <f>I62+J26</f>
        <v/>
      </c>
      <c r="K62" s="11">
        <f>J62+K26</f>
        <v/>
      </c>
    </row>
    <row r="63">
      <c r="B63" s="13" t="inlineStr">
        <is>
          <t>Total equity</t>
        </is>
      </c>
      <c r="E63" s="20">
        <f>E61+E62</f>
        <v/>
      </c>
      <c r="F63" s="20">
        <f>F61+F62</f>
        <v/>
      </c>
      <c r="G63" s="20">
        <f>G61+G62</f>
        <v/>
      </c>
      <c r="H63" s="20">
        <f>H61+H62</f>
        <v/>
      </c>
      <c r="I63" s="20">
        <f>I61+I62</f>
        <v/>
      </c>
      <c r="J63" s="20">
        <f>J61+J62</f>
        <v/>
      </c>
      <c r="K63" s="20">
        <f>K61+K62</f>
        <v/>
      </c>
    </row>
    <row r="64">
      <c r="B64" s="10" t="inlineStr">
        <is>
          <t>Balance check (must be 0)</t>
        </is>
      </c>
      <c r="E64" s="15">
        <f>ROUND(E54-E59-E63,4)</f>
        <v/>
      </c>
      <c r="F64" s="15">
        <f>ROUND(F54-F59-F63,4)</f>
        <v/>
      </c>
      <c r="G64" s="15">
        <f>ROUND(G54-G59-G63,4)</f>
        <v/>
      </c>
      <c r="H64" s="15">
        <f>ROUND(H54-H59-H63,4)</f>
        <v/>
      </c>
      <c r="I64" s="15">
        <f>ROUND(I54-I59-I63,4)</f>
        <v/>
      </c>
      <c r="J64" s="15">
        <f>ROUND(J54-J59-J63,4)</f>
        <v/>
      </c>
      <c r="K64" s="15">
        <f>ROUND(K54-K59-K63,4)</f>
        <v/>
      </c>
    </row>
    <row r="66">
      <c r="B66" s="17" t="inlineStr">
        <is>
          <t>SCHEDULE A: Disclosed run-rate anchors (calibration, not formulas)</t>
        </is>
      </c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</row>
    <row r="67">
      <c r="B67" s="21" t="inlineStr">
        <is>
          <t>Point</t>
        </is>
      </c>
      <c r="E67" s="21" t="inlineStr">
        <is>
          <t>Annualized run-rate</t>
        </is>
      </c>
      <c r="G67" s="21" t="inlineStr">
        <is>
          <t>Source</t>
        </is>
      </c>
    </row>
    <row r="68">
      <c r="B68" s="6" t="inlineStr">
        <is>
          <t>Sep 2024 (derived)</t>
        </is>
      </c>
      <c r="E68" s="11" t="n">
        <v>2670</v>
      </c>
      <c r="G68" s="3" t="inlineStr">
        <is>
          <t>Implied: $4.0B Sep-25 / 1.50</t>
        </is>
      </c>
    </row>
    <row r="69">
      <c r="B69" s="22" t="inlineStr">
        <is>
          <t>Dec 2024 (derived)</t>
        </is>
      </c>
      <c r="E69" s="23" t="n">
        <v>3100</v>
      </c>
      <c r="G69" s="24" t="inlineStr">
        <is>
          <t>Implied: $4.8B Dec-25 / 1.55</t>
        </is>
      </c>
    </row>
    <row r="70">
      <c r="B70" s="6" t="inlineStr">
        <is>
          <t>Feb 2025 (derived)</t>
        </is>
      </c>
      <c r="E70" s="11" t="n">
        <v>3270</v>
      </c>
      <c r="G70" s="3" t="inlineStr">
        <is>
          <t>Implied: $5.4B Feb-26 / 1.65</t>
        </is>
      </c>
    </row>
    <row r="71">
      <c r="B71" s="22" t="inlineStr">
        <is>
          <t>Jun 2025 (derived)</t>
        </is>
      </c>
      <c r="E71" s="23" t="n">
        <v>3830</v>
      </c>
      <c r="G71" s="24" t="inlineStr">
        <is>
          <t>Implied: $6.9B Jun-26 / 1.80</t>
        </is>
      </c>
    </row>
    <row r="72">
      <c r="B72" s="6" t="inlineStr">
        <is>
          <t>Sep 2025 (disclosed)</t>
        </is>
      </c>
      <c r="E72" s="11" t="n">
        <v>4000</v>
      </c>
      <c r="G72" s="3" t="inlineStr">
        <is>
          <t>Company press release, Sep 8, 2025 (+50% YoY; AI line crossed $1.0B)</t>
        </is>
      </c>
    </row>
    <row r="73">
      <c r="B73" s="22" t="inlineStr">
        <is>
          <t>Dec 2025 (disclosed)</t>
        </is>
      </c>
      <c r="E73" s="23" t="n">
        <v>4800</v>
      </c>
      <c r="G73" s="24" t="inlineStr">
        <is>
          <t>Company press release, Dec 2025 (+55% YoY)</t>
        </is>
      </c>
    </row>
    <row r="74">
      <c r="B74" s="6" t="inlineStr">
        <is>
          <t>Feb 2026 (disclosed)</t>
        </is>
      </c>
      <c r="E74" s="11" t="n">
        <v>5400</v>
      </c>
      <c r="G74" s="3" t="inlineStr">
        <is>
          <t>Company press release, Feb 9, 2026 (+65% YoY; AI $1.4B)</t>
        </is>
      </c>
    </row>
    <row r="75">
      <c r="B75" s="22" t="inlineStr">
        <is>
          <t>Jun 2026 (disclosed)</t>
        </is>
      </c>
      <c r="E75" s="23" t="n">
        <v>6900</v>
      </c>
      <c r="G75" s="24" t="inlineStr">
        <is>
          <t>Company disclosure, Jun 16, 2026 (+80% YoY; AI $1.7B; DBSQL $1.5B)</t>
        </is>
      </c>
    </row>
    <row r="77">
      <c r="B77" s="17" t="inlineStr">
        <is>
          <t>SCHEDULE B: Customer cohort build (cross-check of modeled revenue)</t>
        </is>
      </c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</row>
    <row r="78">
      <c r="B78" s="3" t="inlineStr">
        <is>
          <t>All figures in USD millions unless stated</t>
        </is>
      </c>
      <c r="E78" s="9" t="inlineStr">
        <is>
          <t>FY2025A</t>
        </is>
      </c>
      <c r="F78" s="9" t="inlineStr">
        <is>
          <t>FY2026A</t>
        </is>
      </c>
      <c r="G78" s="9" t="inlineStr">
        <is>
          <t>FY2027E</t>
        </is>
      </c>
      <c r="H78" s="9" t="inlineStr">
        <is>
          <t>FY2028E</t>
        </is>
      </c>
      <c r="I78" s="9" t="inlineStr">
        <is>
          <t>FY2029E</t>
        </is>
      </c>
      <c r="J78" s="9" t="inlineStr">
        <is>
          <t>FY2030E</t>
        </is>
      </c>
      <c r="K78" s="9" t="inlineStr">
        <is>
          <t>FY2031E</t>
        </is>
      </c>
    </row>
    <row r="79">
      <c r="B79" s="10" t="inlineStr">
        <is>
          <t>Customers &gt;$10M / yr (count)</t>
        </is>
      </c>
      <c r="E79" s="19" t="n">
        <v>48</v>
      </c>
      <c r="F79" s="19" t="n">
        <v>70</v>
      </c>
      <c r="G79" s="19" t="n">
        <v>96</v>
      </c>
      <c r="H79" s="19" t="n">
        <v>124</v>
      </c>
      <c r="I79" s="19" t="n">
        <v>152</v>
      </c>
      <c r="J79" s="19" t="n">
        <v>179</v>
      </c>
      <c r="K79" s="19" t="n">
        <v>205</v>
      </c>
      <c r="M79" s="3" t="inlineStr">
        <is>
          <t>70+ disclosed Feb 9, 2026; other years estimated on tier-migration trend.</t>
        </is>
      </c>
    </row>
    <row r="80">
      <c r="B80" s="10" t="inlineStr">
        <is>
          <t>Average spend, &gt;$10M tier</t>
        </is>
      </c>
      <c r="E80" s="25" t="n">
        <v>27</v>
      </c>
      <c r="F80" s="25" t="n">
        <v>30</v>
      </c>
      <c r="G80" s="25" t="n">
        <v>30</v>
      </c>
      <c r="H80" s="25" t="n">
        <v>31</v>
      </c>
      <c r="I80" s="25" t="n">
        <v>32</v>
      </c>
      <c r="J80" s="25" t="n">
        <v>33</v>
      </c>
      <c r="K80" s="25" t="n">
        <v>34</v>
      </c>
      <c r="M80" s="3" t="inlineStr">
        <is>
          <t>Estimate; consumption expansion within the tier.</t>
        </is>
      </c>
    </row>
    <row r="81">
      <c r="B81" s="10" t="inlineStr">
        <is>
          <t>Customers $1-10M / yr (count)</t>
        </is>
      </c>
      <c r="E81" s="19" t="n">
        <v>520</v>
      </c>
      <c r="F81" s="19" t="n">
        <v>730</v>
      </c>
      <c r="G81" s="19" t="n">
        <v>985</v>
      </c>
      <c r="H81" s="19" t="n">
        <v>1280</v>
      </c>
      <c r="I81" s="19" t="n">
        <v>1600</v>
      </c>
      <c r="J81" s="19" t="n">
        <v>1920</v>
      </c>
      <c r="K81" s="19" t="n">
        <v>2240</v>
      </c>
      <c r="M81" s="3" t="inlineStr">
        <is>
          <t>800+ at &gt;$1M incl. the &gt;$10M tier, Feb 9, 2026; growth estimated.</t>
        </is>
      </c>
    </row>
    <row r="82">
      <c r="B82" s="10" t="inlineStr">
        <is>
          <t>Average spend, $1-10M tier</t>
        </is>
      </c>
      <c r="E82" s="25" t="n">
        <v>2.75</v>
      </c>
      <c r="F82" s="25" t="n">
        <v>2.95</v>
      </c>
      <c r="G82" s="25" t="n">
        <v>3.05</v>
      </c>
      <c r="H82" s="25" t="n">
        <v>3.15</v>
      </c>
      <c r="I82" s="25" t="n">
        <v>3.25</v>
      </c>
      <c r="J82" s="25" t="n">
        <v>3.35</v>
      </c>
      <c r="K82" s="25" t="n">
        <v>3.45</v>
      </c>
      <c r="M82" s="3" t="inlineStr">
        <is>
          <t>Estimate.</t>
        </is>
      </c>
    </row>
    <row r="83">
      <c r="B83" s="10" t="inlineStr">
        <is>
          <t>Long-tail organizations (thousands)</t>
        </is>
      </c>
      <c r="E83" s="26" t="n">
        <v>17</v>
      </c>
      <c r="F83" s="26" t="n">
        <v>20</v>
      </c>
      <c r="G83" s="26" t="n">
        <v>24</v>
      </c>
      <c r="H83" s="26" t="n">
        <v>28</v>
      </c>
      <c r="I83" s="26" t="n">
        <v>32</v>
      </c>
      <c r="J83" s="26" t="n">
        <v>36</v>
      </c>
      <c r="K83" s="26" t="n">
        <v>40</v>
      </c>
      <c r="M83" s="3" t="inlineStr">
        <is>
          <t>20,000+ organizations disclosed Feb 9, 2026.</t>
        </is>
      </c>
    </row>
    <row r="84">
      <c r="B84" s="10" t="inlineStr">
        <is>
          <t>Average spend, long tail</t>
        </is>
      </c>
      <c r="E84" s="27" t="n">
        <v>0.052</v>
      </c>
      <c r="F84" s="27" t="n">
        <v>0.058</v>
      </c>
      <c r="G84" s="27" t="n">
        <v>0.064</v>
      </c>
      <c r="H84" s="27" t="n">
        <v>0.07000000000000001</v>
      </c>
      <c r="I84" s="27" t="n">
        <v>0.075</v>
      </c>
      <c r="J84" s="27" t="n">
        <v>0.08</v>
      </c>
      <c r="K84" s="27" t="n">
        <v>0.08500000000000001</v>
      </c>
      <c r="M84" s="3" t="inlineStr">
        <is>
          <t>Estimate; self-serve and departmental deployments.</t>
        </is>
      </c>
    </row>
    <row r="85">
      <c r="B85" s="13" t="inlineStr">
        <is>
          <t>Implied revenue (cohort build)</t>
        </is>
      </c>
      <c r="E85" s="20">
        <f>E79*E80+E81*E82+E83*1000*E84</f>
        <v/>
      </c>
      <c r="F85" s="20">
        <f>F79*F80+F81*F82+F83*1000*F84</f>
        <v/>
      </c>
      <c r="G85" s="20">
        <f>G79*G80+G81*G82+G83*1000*G84</f>
        <v/>
      </c>
      <c r="H85" s="20">
        <f>H79*H80+H81*H82+H83*1000*H84</f>
        <v/>
      </c>
      <c r="I85" s="20">
        <f>I79*I80+I81*I82+I83*1000*I84</f>
        <v/>
      </c>
      <c r="J85" s="20">
        <f>J79*J80+J81*J82+J83*1000*J84</f>
        <v/>
      </c>
      <c r="K85" s="20">
        <f>K79*K80+K81*K82+K83*1000*K84</f>
        <v/>
      </c>
    </row>
    <row r="86">
      <c r="B86" s="10" t="inlineStr">
        <is>
          <t>vs modeled revenue (delta %)</t>
        </is>
      </c>
      <c r="E86" s="12">
        <f>E85/E9-1</f>
        <v/>
      </c>
      <c r="F86" s="12">
        <f>F85/F9-1</f>
        <v/>
      </c>
      <c r="G86" s="12">
        <f>G85/G9-1</f>
        <v/>
      </c>
      <c r="H86" s="12">
        <f>H85/H9-1</f>
        <v/>
      </c>
      <c r="I86" s="12">
        <f>I85/I9-1</f>
        <v/>
      </c>
      <c r="J86" s="12">
        <f>J85/J9-1</f>
        <v/>
      </c>
      <c r="K86" s="12">
        <f>K85/K9-1</f>
        <v/>
      </c>
      <c r="M86" s="3" t="inlineStr">
        <is>
          <t>Cross-check only; small residuals accepted. Cohorts are the economic engine, growth rates are the modeling driver.</t>
        </is>
      </c>
    </row>
    <row r="88">
      <c r="B88" s="17" t="inlineStr">
        <is>
          <t>SCHEDULE C: Revenue by product line</t>
        </is>
      </c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</row>
    <row r="89">
      <c r="B89" s="3" t="inlineStr">
        <is>
          <t>All figures in USD millions unless stated</t>
        </is>
      </c>
      <c r="E89" s="9" t="inlineStr">
        <is>
          <t>FY2025A</t>
        </is>
      </c>
      <c r="F89" s="9" t="inlineStr">
        <is>
          <t>FY2026A</t>
        </is>
      </c>
      <c r="G89" s="9" t="inlineStr">
        <is>
          <t>FY2027E</t>
        </is>
      </c>
      <c r="H89" s="9" t="inlineStr">
        <is>
          <t>FY2028E</t>
        </is>
      </c>
      <c r="I89" s="9" t="inlineStr">
        <is>
          <t>FY2029E</t>
        </is>
      </c>
      <c r="J89" s="9" t="inlineStr">
        <is>
          <t>FY2030E</t>
        </is>
      </c>
      <c r="K89" s="9" t="inlineStr">
        <is>
          <t>FY2031E</t>
        </is>
      </c>
    </row>
    <row r="90">
      <c r="B90" s="10" t="inlineStr">
        <is>
          <t>AI products, % of revenue</t>
        </is>
      </c>
      <c r="E90" s="12" t="n">
        <v>0.2</v>
      </c>
      <c r="F90" s="12" t="n">
        <v>0.245</v>
      </c>
      <c r="G90" s="12" t="n">
        <v>0.26</v>
      </c>
      <c r="H90" s="12" t="n">
        <v>0.27</v>
      </c>
      <c r="I90" s="12" t="n">
        <v>0.28</v>
      </c>
      <c r="J90" s="12" t="n">
        <v>0.29</v>
      </c>
      <c r="K90" s="12" t="n">
        <v>0.3</v>
      </c>
      <c r="M90" s="3" t="inlineStr">
        <is>
          <t>AI run-rate: $1.0B Sep-25, $1.4B Feb-26, $1.7B Jun-26 = ~25% of total (company). Forward mix estimated.</t>
        </is>
      </c>
    </row>
    <row r="91">
      <c r="B91" s="10" t="inlineStr">
        <is>
          <t>Databricks SQL, % of revenue</t>
        </is>
      </c>
      <c r="E91" s="12" t="n">
        <v>0.2</v>
      </c>
      <c r="F91" s="12" t="n">
        <v>0.215</v>
      </c>
      <c r="G91" s="12" t="n">
        <v>0.225</v>
      </c>
      <c r="H91" s="12" t="n">
        <v>0.235</v>
      </c>
      <c r="I91" s="12" t="n">
        <v>0.24</v>
      </c>
      <c r="J91" s="12" t="n">
        <v>0.24</v>
      </c>
      <c r="K91" s="12" t="n">
        <v>0.24</v>
      </c>
      <c r="M91" s="3" t="inlineStr">
        <is>
          <t>$1.5B run-rate Jun-2026, doubled YoY (company disclosure, Jun 16, 2026).</t>
        </is>
      </c>
    </row>
    <row r="92">
      <c r="B92" s="10" t="inlineStr">
        <is>
          <t>AI products ($M)</t>
        </is>
      </c>
      <c r="E92" s="11">
        <f>E9*E90</f>
        <v/>
      </c>
      <c r="F92" s="11">
        <f>F9*F90</f>
        <v/>
      </c>
      <c r="G92" s="11">
        <f>G9*G90</f>
        <v/>
      </c>
      <c r="H92" s="11">
        <f>H9*H90</f>
        <v/>
      </c>
      <c r="I92" s="11">
        <f>I9*I90</f>
        <v/>
      </c>
      <c r="J92" s="11">
        <f>J9*J90</f>
        <v/>
      </c>
      <c r="K92" s="11">
        <f>K9*K90</f>
        <v/>
      </c>
    </row>
    <row r="93">
      <c r="B93" s="10" t="inlineStr">
        <is>
          <t>Databricks SQL ($M)</t>
        </is>
      </c>
      <c r="E93" s="11">
        <f>E9*E91</f>
        <v/>
      </c>
      <c r="F93" s="11">
        <f>F9*F91</f>
        <v/>
      </c>
      <c r="G93" s="11">
        <f>G9*G91</f>
        <v/>
      </c>
      <c r="H93" s="11">
        <f>H9*H91</f>
        <v/>
      </c>
      <c r="I93" s="11">
        <f>I9*I91</f>
        <v/>
      </c>
      <c r="J93" s="11">
        <f>J9*J91</f>
        <v/>
      </c>
      <c r="K93" s="11">
        <f>K9*K91</f>
        <v/>
      </c>
    </row>
    <row r="94">
      <c r="B94" s="10" t="inlineStr">
        <is>
          <t>Core platform &amp; other ($M)</t>
        </is>
      </c>
      <c r="E94" s="11">
        <f>E9*(1-E90-E91)</f>
        <v/>
      </c>
      <c r="F94" s="11">
        <f>F9*(1-F90-F91)</f>
        <v/>
      </c>
      <c r="G94" s="11">
        <f>G9*(1-G90-G91)</f>
        <v/>
      </c>
      <c r="H94" s="11">
        <f>H9*(1-H90-H91)</f>
        <v/>
      </c>
      <c r="I94" s="11">
        <f>I9*(1-I90-I91)</f>
        <v/>
      </c>
      <c r="J94" s="11">
        <f>J9*(1-J90-J91)</f>
        <v/>
      </c>
      <c r="K94" s="11">
        <f>K9*(1-K90-K91)</f>
        <v/>
      </c>
    </row>
    <row r="96">
      <c r="B96" s="17" t="inlineStr">
        <is>
          <t>SCHEDULE D: Funding ladder (completed rounds; feeds nothing, context)</t>
        </is>
      </c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</row>
    <row r="97">
      <c r="B97" s="21" t="inlineStr">
        <is>
          <t>Round</t>
        </is>
      </c>
      <c r="E97" s="21" t="inlineStr">
        <is>
          <t>Size ($M)</t>
        </is>
      </c>
      <c r="G97" s="21" t="inlineStr">
        <is>
          <t>Post-money</t>
        </is>
      </c>
    </row>
    <row r="98">
      <c r="B98" s="6" t="inlineStr">
        <is>
          <t>Series A, Sep 2013</t>
        </is>
      </c>
      <c r="E98" s="11" t="n">
        <v>13.9</v>
      </c>
      <c r="G98" s="6" t="inlineStr"/>
    </row>
    <row r="99">
      <c r="B99" s="22" t="inlineStr">
        <is>
          <t>Series B, Jun 2014</t>
        </is>
      </c>
      <c r="E99" s="23" t="n">
        <v>33.4</v>
      </c>
      <c r="G99" s="22" t="inlineStr"/>
    </row>
    <row r="100">
      <c r="B100" s="6" t="inlineStr">
        <is>
          <t>Series C, Dec 2016</t>
        </is>
      </c>
      <c r="E100" s="11" t="n">
        <v>60</v>
      </c>
      <c r="G100" s="6" t="inlineStr"/>
    </row>
    <row r="101">
      <c r="B101" s="22" t="inlineStr">
        <is>
          <t>Series D, Sep 2018</t>
        </is>
      </c>
      <c r="E101" s="23" t="n">
        <v>140</v>
      </c>
      <c r="G101" s="22" t="inlineStr"/>
    </row>
    <row r="102">
      <c r="B102" s="6" t="inlineStr">
        <is>
          <t>Series E, Jan 2019</t>
        </is>
      </c>
      <c r="E102" s="11" t="n">
        <v>250</v>
      </c>
      <c r="G102" s="6" t="inlineStr"/>
    </row>
    <row r="103">
      <c r="B103" s="22" t="inlineStr">
        <is>
          <t>Series F, Oct 2019</t>
        </is>
      </c>
      <c r="E103" s="23" t="n">
        <v>400</v>
      </c>
      <c r="G103" s="22" t="inlineStr">
        <is>
          <t>$6.2B post</t>
        </is>
      </c>
    </row>
    <row r="104">
      <c r="B104" s="6" t="inlineStr">
        <is>
          <t>Series G, Feb 2021</t>
        </is>
      </c>
      <c r="E104" s="11" t="n">
        <v>1000</v>
      </c>
      <c r="G104" s="6" t="inlineStr">
        <is>
          <t>$28B post</t>
        </is>
      </c>
    </row>
    <row r="105">
      <c r="B105" s="22" t="inlineStr">
        <is>
          <t>Series H, Aug 2021</t>
        </is>
      </c>
      <c r="E105" s="23" t="n">
        <v>1600</v>
      </c>
      <c r="G105" s="22" t="inlineStr">
        <is>
          <t>$38B post</t>
        </is>
      </c>
    </row>
    <row r="106">
      <c r="B106" s="6" t="inlineStr">
        <is>
          <t>Series I, Nov 2023</t>
        </is>
      </c>
      <c r="E106" s="11" t="n">
        <v>684.6</v>
      </c>
      <c r="G106" s="6" t="inlineStr">
        <is>
          <t>$43B post</t>
        </is>
      </c>
    </row>
    <row r="107">
      <c r="B107" s="22" t="inlineStr">
        <is>
          <t>Series J, Dec 2024</t>
        </is>
      </c>
      <c r="E107" s="23" t="n">
        <v>10230</v>
      </c>
      <c r="G107" s="22" t="inlineStr">
        <is>
          <t>$62B post</t>
        </is>
      </c>
    </row>
    <row r="108">
      <c r="B108" s="6" t="inlineStr">
        <is>
          <t>Series K, Sep 2025</t>
        </is>
      </c>
      <c r="E108" s="11" t="n">
        <v>1000</v>
      </c>
      <c r="G108" s="6" t="inlineStr">
        <is>
          <t>&gt;$100B post</t>
        </is>
      </c>
    </row>
    <row r="109">
      <c r="B109" s="22" t="inlineStr">
        <is>
          <t>Series L, Dec 25 + Feb 26</t>
        </is>
      </c>
      <c r="E109" s="23" t="n">
        <v>7000</v>
      </c>
      <c r="G109" s="22" t="inlineStr">
        <is>
          <t>$134B post, both closes</t>
        </is>
      </c>
    </row>
    <row r="110">
      <c r="B110" s="3" t="inlineStr">
        <is>
          <t>Lifetime: ~$29.5B total = ~$20.2B equity + ~$9.3B debt (PitchBook 21-deal record, retrieved Jul 21, 2026). Announced $188B round (Coatue-led, signed Jul 16, 2026) unclosed; excluded everywhere.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40" customWidth="1" min="10" max="10"/>
  </cols>
  <sheetData>
    <row r="2">
      <c r="B2" s="8" t="inlineStr">
        <is>
          <t>Valuation</t>
        </is>
      </c>
    </row>
    <row r="3">
      <c r="B3" s="3" t="inlineStr">
        <is>
          <t>Anchored on the completed $134B mark (Feb 9, 2026). The announced $188B round (signed Jul 16, 2026, unclosed) is a reference, not an input. The quality-valuation correlation is embargoed; only the per-point spread is expressed.</t>
        </is>
      </c>
    </row>
    <row r="5">
      <c r="B5" s="4" t="inlineStr">
        <is>
          <t>Sensitivity: implied valuation ($B) = mid-2027E run-rate x multiple</t>
        </is>
      </c>
    </row>
    <row r="6">
      <c r="B6" s="21" t="inlineStr">
        <is>
          <t>Multiple \ Run-rate ($B)</t>
        </is>
      </c>
      <c r="C6" s="28" t="n">
        <v>9.5</v>
      </c>
      <c r="D6" s="28" t="n">
        <v>10.5</v>
      </c>
      <c r="E6" s="28" t="n">
        <v>11.5</v>
      </c>
      <c r="F6" s="28" t="n">
        <v>12.5</v>
      </c>
      <c r="G6" s="28" t="n">
        <v>13.5</v>
      </c>
    </row>
    <row r="7">
      <c r="B7" s="29" t="n">
        <v>20</v>
      </c>
      <c r="C7" s="11">
        <f>C$6*$B7</f>
        <v/>
      </c>
      <c r="D7" s="11">
        <f>D$6*$B7</f>
        <v/>
      </c>
      <c r="E7" s="11">
        <f>E$6*$B7</f>
        <v/>
      </c>
      <c r="F7" s="11">
        <f>F$6*$B7</f>
        <v/>
      </c>
      <c r="G7" s="11">
        <f>G$6*$B7</f>
        <v/>
      </c>
    </row>
    <row r="8">
      <c r="B8" s="29" t="n">
        <v>18</v>
      </c>
      <c r="C8" s="11">
        <f>C$6*$B8</f>
        <v/>
      </c>
      <c r="D8" s="11">
        <f>D$6*$B8</f>
        <v/>
      </c>
      <c r="E8" s="11">
        <f>E$6*$B8</f>
        <v/>
      </c>
      <c r="F8" s="11">
        <f>F$6*$B8</f>
        <v/>
      </c>
      <c r="G8" s="11">
        <f>G$6*$B8</f>
        <v/>
      </c>
    </row>
    <row r="9">
      <c r="B9" s="29" t="n">
        <v>16</v>
      </c>
      <c r="C9" s="11">
        <f>C$6*$B9</f>
        <v/>
      </c>
      <c r="D9" s="11">
        <f>D$6*$B9</f>
        <v/>
      </c>
      <c r="E9" s="30">
        <f>E$6*$B9</f>
        <v/>
      </c>
      <c r="F9" s="11">
        <f>F$6*$B9</f>
        <v/>
      </c>
      <c r="G9" s="11">
        <f>G$6*$B9</f>
        <v/>
      </c>
    </row>
    <row r="10">
      <c r="B10" s="29" t="n">
        <v>14</v>
      </c>
      <c r="C10" s="11">
        <f>C$6*$B10</f>
        <v/>
      </c>
      <c r="D10" s="11">
        <f>D$6*$B10</f>
        <v/>
      </c>
      <c r="E10" s="30">
        <f>E$6*$B10</f>
        <v/>
      </c>
      <c r="F10" s="11">
        <f>F$6*$B10</f>
        <v/>
      </c>
      <c r="G10" s="11">
        <f>G$6*$B10</f>
        <v/>
      </c>
    </row>
    <row r="11">
      <c r="B11" s="29" t="n">
        <v>12</v>
      </c>
      <c r="C11" s="11">
        <f>C$6*$B11</f>
        <v/>
      </c>
      <c r="D11" s="11">
        <f>D$6*$B11</f>
        <v/>
      </c>
      <c r="E11" s="11">
        <f>E$6*$B11</f>
        <v/>
      </c>
      <c r="F11" s="11">
        <f>F$6*$B11</f>
        <v/>
      </c>
      <c r="G11" s="11">
        <f>G$6*$B11</f>
        <v/>
      </c>
    </row>
    <row r="12">
      <c r="B12" s="29" t="n">
        <v>10</v>
      </c>
      <c r="C12" s="11">
        <f>C$6*$B12</f>
        <v/>
      </c>
      <c r="D12" s="11">
        <f>D$6*$B12</f>
        <v/>
      </c>
      <c r="E12" s="11">
        <f>E$6*$B12</f>
        <v/>
      </c>
      <c r="F12" s="11">
        <f>F$6*$B12</f>
        <v/>
      </c>
      <c r="G12" s="11">
        <f>G$6*$B12</f>
        <v/>
      </c>
    </row>
    <row r="13">
      <c r="B13" s="3" t="inlineStr">
        <is>
          <t>Green: base intersection (~$11.5B at 14-16x, a de-rate from today's 19.4x). Bear $115-130B; Bull $205B+.</t>
        </is>
      </c>
    </row>
    <row r="15">
      <c r="B15" s="4" t="inlineStr">
        <is>
          <t>Quality-adjusted pricing (per-point; the only cleared expression)</t>
        </is>
      </c>
    </row>
    <row r="16">
      <c r="B16" s="21" t="inlineStr">
        <is>
          <t>Company</t>
        </is>
      </c>
      <c r="C16" s="21" t="inlineStr">
        <is>
          <t>Mark ($B)</t>
        </is>
      </c>
      <c r="D16" s="21" t="inlineStr">
        <is>
          <t>AIBQ</t>
        </is>
      </c>
      <c r="E16" s="21" t="inlineStr">
        <is>
          <t>$B per point</t>
        </is>
      </c>
    </row>
    <row r="17">
      <c r="B17" s="31" t="inlineStr">
        <is>
          <t>Databricks</t>
        </is>
      </c>
      <c r="C17" s="32" t="n">
        <v>134</v>
      </c>
      <c r="D17" s="33" t="n">
        <v>8.81</v>
      </c>
      <c r="E17" s="34">
        <f>C17/D17</f>
        <v/>
      </c>
    </row>
    <row r="18">
      <c r="B18" s="6" t="inlineStr">
        <is>
          <t>Anthropic</t>
        </is>
      </c>
      <c r="C18" s="35" t="n">
        <v>965</v>
      </c>
      <c r="D18" s="36" t="n">
        <v>8.199999999999999</v>
      </c>
      <c r="E18" s="37">
        <f>C18/D18</f>
        <v/>
      </c>
    </row>
    <row r="19">
      <c r="B19" s="6" t="inlineStr">
        <is>
          <t>OpenAI</t>
        </is>
      </c>
      <c r="C19" s="35" t="n">
        <v>852</v>
      </c>
      <c r="D19" s="36" t="n">
        <v>4.53</v>
      </c>
      <c r="E19" s="37">
        <f>C19/D19</f>
        <v/>
      </c>
    </row>
    <row r="20">
      <c r="B20" s="6" t="inlineStr">
        <is>
          <t>xAI (implied, est.)</t>
        </is>
      </c>
      <c r="C20" s="35" t="n">
        <v>1550</v>
      </c>
      <c r="D20" s="36" t="n">
        <v>4.49</v>
      </c>
      <c r="E20" s="37">
        <f>C20/D20</f>
        <v/>
      </c>
    </row>
    <row r="21">
      <c r="B21" s="3" t="inlineStr">
        <is>
          <t>Marks per company announcements / PitchBook, Mar-Jul 2026; xAI slice inside listed SpaceX is an estimate. No correlation statistic is computed or derivable from this table.</t>
        </is>
      </c>
    </row>
    <row r="23">
      <c r="B23" s="4" t="inlineStr">
        <is>
          <t>Growth-adjusted comparison</t>
        </is>
      </c>
    </row>
    <row r="24">
      <c r="B24" s="21" t="inlineStr"/>
      <c r="C24" s="21" t="inlineStr">
        <is>
          <t>EV / mark ($B)</t>
        </is>
      </c>
      <c r="D24" s="21" t="inlineStr">
        <is>
          <t>Fwd revenue ($B)</t>
        </is>
      </c>
      <c r="E24" s="21" t="inlineStr">
        <is>
          <t>Multiple</t>
        </is>
      </c>
      <c r="F24" s="21" t="inlineStr">
        <is>
          <t>Growth</t>
        </is>
      </c>
      <c r="G24" s="21" t="inlineStr">
        <is>
          <t>x per growth pt</t>
        </is>
      </c>
    </row>
    <row r="25">
      <c r="B25" s="5" t="inlineStr">
        <is>
          <t>Databricks</t>
        </is>
      </c>
      <c r="C25" s="35" t="n">
        <v>134</v>
      </c>
      <c r="D25" s="37" t="n">
        <v>6.9</v>
      </c>
      <c r="E25" s="38">
        <f>C25/D25</f>
        <v/>
      </c>
      <c r="F25" s="39" t="n">
        <v>0.8</v>
      </c>
      <c r="G25" s="40">
        <f>E25/(F25*100)</f>
        <v/>
      </c>
    </row>
    <row r="26">
      <c r="B26" s="5" t="inlineStr">
        <is>
          <t>Snowflake</t>
        </is>
      </c>
      <c r="C26" s="35" t="n">
        <v>89</v>
      </c>
      <c r="D26" s="37" t="n">
        <v>5.84</v>
      </c>
      <c r="E26" s="38">
        <f>C26/D26</f>
        <v/>
      </c>
      <c r="F26" s="39" t="n">
        <v>0.31</v>
      </c>
      <c r="G26" s="40">
        <f>E26/(F26*100)</f>
        <v/>
      </c>
    </row>
    <row r="27">
      <c r="B27" s="3" t="inlineStr">
        <is>
          <t>Snowflake: FY27 product revenue guide raised May 27, 2026 (8-K); EV from market data less est. net cash, Jul 7, 2026. Growth-adjusted, the buyer pays ~half as much per point of growth for Databricks.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2026-07-21T17:09:14Z</dcterms:created>
  <dcterms:modified xmlns:dcterms="http://purl.org/dc/terms/" xmlns:xsi="http://www.w3.org/2001/XMLSchema-instance" xsi:type="dcterms:W3CDTF">2026-07-21T17:09:14Z</dcterms:modified>
</cp:coreProperties>
</file>