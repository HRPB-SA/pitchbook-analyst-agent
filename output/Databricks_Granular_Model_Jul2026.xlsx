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drawings/drawing3.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Dashboard" sheetId="2" state="visible" r:id="rId2"/>
    <sheet xmlns:r="http://schemas.openxmlformats.org/officeDocument/2006/relationships" name="Guide" sheetId="3" state="visible" r:id="rId3"/>
    <sheet xmlns:r="http://schemas.openxmlformats.org/officeDocument/2006/relationships" name="Assumptions" sheetId="4" state="visible" r:id="rId4"/>
    <sheet xmlns:r="http://schemas.openxmlformats.org/officeDocument/2006/relationships" name="Revenue" sheetId="5" state="visible" r:id="rId5"/>
    <sheet xmlns:r="http://schemas.openxmlformats.org/officeDocument/2006/relationships" name="Costs" sheetId="6" state="visible" r:id="rId6"/>
    <sheet xmlns:r="http://schemas.openxmlformats.org/officeDocument/2006/relationships" name="Financials" sheetId="7" state="visible" r:id="rId7"/>
    <sheet xmlns:r="http://schemas.openxmlformats.org/officeDocument/2006/relationships" name="KPIs" sheetId="8" state="visible" r:id="rId8"/>
  </sheets>
  <definedNames/>
  <calcPr calcId="124519" fullCalcOnLoad="1"/>
</workbook>
</file>

<file path=xl/styles.xml><?xml version="1.0" encoding="utf-8"?>
<styleSheet xmlns="http://schemas.openxmlformats.org/spreadsheetml/2006/main">
  <numFmts count="7">
    <numFmt numFmtId="164" formatCode="#,##0;(#,##0)"/>
    <numFmt numFmtId="165" formatCode="0.0%"/>
    <numFmt numFmtId="166" formatCode="#,##0.0;(#,##0.0)"/>
    <numFmt numFmtId="167" formatCode="#,##0.00;(#,##0.00)"/>
    <numFmt numFmtId="168" formatCode="$0.00"/>
    <numFmt numFmtId="169" formatCode="0.0000"/>
    <numFmt numFmtId="170" formatCode="0.0&quot;x&quot;"/>
  </numFmts>
  <fonts count="17">
    <font>
      <name val="Calibri"/>
      <family val="2"/>
      <color theme="1"/>
      <sz val="11"/>
      <scheme val="minor"/>
    </font>
    <font>
      <name val="Georgia"/>
      <b val="1"/>
      <color rgb="001F2A44"/>
      <sz val="15"/>
    </font>
    <font>
      <name val="Georgia"/>
      <i val="1"/>
      <color rgb="006B7280"/>
      <sz val="10"/>
    </font>
    <font>
      <name val="Calibri"/>
      <b val="1"/>
      <sz val="9"/>
    </font>
    <font>
      <name val="Calibri"/>
      <b val="1"/>
      <color rgb="008F3421"/>
      <sz val="12"/>
    </font>
    <font>
      <name val="Calibri"/>
      <i val="1"/>
      <color rgb="006B7280"/>
      <sz val="8"/>
    </font>
    <font>
      <name val="Calibri"/>
      <b val="1"/>
      <color rgb="00FFFFFF"/>
      <sz val="9"/>
    </font>
    <font>
      <name val="Georgia"/>
      <b val="1"/>
      <color rgb="001F2A44"/>
      <sz val="11"/>
    </font>
    <font>
      <name val="Calibri"/>
      <color rgb="00000000"/>
      <sz val="9"/>
    </font>
    <font>
      <name val="Calibri"/>
      <sz val="9"/>
    </font>
    <font>
      <name val="Calibri"/>
      <b val="1"/>
      <color rgb="001F2A44"/>
      <sz val="9"/>
    </font>
    <font>
      <name val="Calibri"/>
      <i val="1"/>
      <color rgb="00000000"/>
      <sz val="9"/>
    </font>
    <font>
      <name val="Calibri"/>
      <sz val="10"/>
    </font>
    <font>
      <name val="Georgia"/>
      <b val="1"/>
      <color rgb="001F2A44"/>
      <sz val="26"/>
    </font>
    <font>
      <name val="Georgia"/>
      <i val="1"/>
      <color rgb="0035506E"/>
      <sz val="14"/>
    </font>
    <font>
      <name val="Calibri"/>
      <b val="1"/>
      <color rgb="001C5D46"/>
      <sz val="10"/>
    </font>
    <font>
      <name val="Calibri"/>
      <b val="1"/>
      <color rgb="008F3421"/>
      <sz val="11"/>
    </font>
  </fonts>
  <fills count="6">
    <fill>
      <patternFill/>
    </fill>
    <fill>
      <patternFill patternType="gray125"/>
    </fill>
    <fill>
      <patternFill patternType="solid">
        <fgColor rgb="00FBF5F3"/>
      </patternFill>
    </fill>
    <fill>
      <patternFill patternType="solid">
        <fgColor rgb="001F2A44"/>
      </patternFill>
    </fill>
    <fill>
      <patternFill patternType="solid">
        <fgColor rgb="00F2F5F9"/>
      </patternFill>
    </fill>
    <fill>
      <patternFill patternType="solid">
        <fgColor rgb="00EAF2EE"/>
      </patternFill>
    </fill>
  </fills>
  <borders count="2">
    <border>
      <left/>
      <right/>
      <top/>
      <bottom/>
      <diagonal/>
    </border>
    <border>
      <bottom style="thin">
        <color rgb="00D5DBE4"/>
      </bottom>
    </border>
  </borders>
  <cellStyleXfs count="1">
    <xf numFmtId="0" fontId="0" fillId="0" borderId="0"/>
  </cellStyleXfs>
  <cellXfs count="44">
    <xf numFmtId="0" fontId="0" fillId="0" borderId="0" pivotButton="0" quotePrefix="0" xfId="0"/>
    <xf numFmtId="0" fontId="13" fillId="0" borderId="0" pivotButton="0" quotePrefix="0" xfId="0"/>
    <xf numFmtId="0" fontId="14" fillId="0" borderId="0" pivotButton="0" quotePrefix="0" xfId="0"/>
    <xf numFmtId="0" fontId="5" fillId="0" borderId="0" pivotButton="0" quotePrefix="0" xfId="0"/>
    <xf numFmtId="0" fontId="7" fillId="0" borderId="0" pivotButton="0" quotePrefix="0" xfId="0"/>
    <xf numFmtId="0" fontId="3" fillId="0" borderId="0" pivotButton="0" quotePrefix="0" xfId="0"/>
    <xf numFmtId="0" fontId="9" fillId="0" borderId="0" pivotButton="0" quotePrefix="0" xfId="0"/>
    <xf numFmtId="0" fontId="15" fillId="0" borderId="0" pivotButton="0" quotePrefix="0" xfId="0"/>
    <xf numFmtId="0" fontId="5" fillId="0" borderId="0" applyAlignment="1" pivotButton="0" quotePrefix="0" xfId="0">
      <alignment vertical="top" wrapText="1"/>
    </xf>
    <xf numFmtId="0" fontId="1" fillId="0" borderId="0" pivotButton="0" quotePrefix="0" xfId="0"/>
    <xf numFmtId="0" fontId="2" fillId="0" borderId="0" pivotButton="0" quotePrefix="0" xfId="0"/>
    <xf numFmtId="0" fontId="16" fillId="0" borderId="0" pivotButton="0" quotePrefix="0" xfId="0"/>
    <xf numFmtId="0" fontId="7" fillId="4" borderId="0" pivotButton="0" quotePrefix="0" xfId="0"/>
    <xf numFmtId="0" fontId="0" fillId="4" borderId="0" pivotButton="0" quotePrefix="0" xfId="0"/>
    <xf numFmtId="0" fontId="6" fillId="0" borderId="0" pivotButton="0" quotePrefix="0" xfId="0"/>
    <xf numFmtId="0" fontId="6" fillId="3" borderId="0" applyAlignment="1" pivotButton="0" quotePrefix="0" xfId="0">
      <alignment horizontal="center"/>
    </xf>
    <xf numFmtId="0" fontId="3" fillId="0" borderId="0" applyAlignment="1" pivotButton="0" quotePrefix="0" xfId="0">
      <alignment indent="1"/>
    </xf>
    <xf numFmtId="164" fontId="3" fillId="0" borderId="0" pivotButton="0" quotePrefix="0" xfId="0"/>
    <xf numFmtId="0" fontId="9" fillId="0" borderId="0" applyAlignment="1" pivotButton="0" quotePrefix="0" xfId="0">
      <alignment indent="1"/>
    </xf>
    <xf numFmtId="165" fontId="9" fillId="0" borderId="0" pivotButton="0" quotePrefix="0" xfId="0"/>
    <xf numFmtId="164" fontId="9" fillId="0" borderId="0" pivotButton="0" quotePrefix="0" xfId="0"/>
    <xf numFmtId="164" fontId="3" fillId="5" borderId="0" pivotButton="0" quotePrefix="0" xfId="0"/>
    <xf numFmtId="165" fontId="3" fillId="0" borderId="0" pivotButton="0" quotePrefix="0" xfId="0"/>
    <xf numFmtId="0" fontId="9" fillId="0" borderId="0" applyAlignment="1" pivotButton="0" quotePrefix="0" xfId="0">
      <alignment horizontal="right"/>
    </xf>
    <xf numFmtId="164" fontId="3" fillId="0" borderId="1" pivotButton="0" quotePrefix="0" xfId="0"/>
    <xf numFmtId="165" fontId="5" fillId="0" borderId="0" pivotButton="0" quotePrefix="0" xfId="0"/>
    <xf numFmtId="0" fontId="12" fillId="0" borderId="0" applyAlignment="1" pivotButton="0" quotePrefix="0" xfId="0">
      <alignment vertical="top" wrapText="1"/>
    </xf>
    <xf numFmtId="1" fontId="4" fillId="2" borderId="0" applyAlignment="1" pivotButton="0" quotePrefix="0" xfId="0">
      <alignment horizontal="center"/>
    </xf>
    <xf numFmtId="0" fontId="0" fillId="3" borderId="0" pivotButton="0" quotePrefix="0" xfId="0"/>
    <xf numFmtId="0" fontId="8" fillId="0" borderId="0" applyAlignment="1" pivotButton="0" quotePrefix="0" xfId="0">
      <alignment indent="1"/>
    </xf>
    <xf numFmtId="9" fontId="9" fillId="0" borderId="0" pivotButton="0" quotePrefix="0" xfId="0"/>
    <xf numFmtId="1" fontId="9" fillId="0" borderId="0" pivotButton="0" quotePrefix="0" xfId="0"/>
    <xf numFmtId="166" fontId="9" fillId="0" borderId="0" pivotButton="0" quotePrefix="0" xfId="0"/>
    <xf numFmtId="167" fontId="9" fillId="0" borderId="0" pivotButton="0" quotePrefix="0" xfId="0"/>
    <xf numFmtId="168" fontId="9" fillId="0" borderId="0" pivotButton="0" quotePrefix="0" xfId="0"/>
    <xf numFmtId="0" fontId="10" fillId="0" borderId="0" applyAlignment="1" pivotButton="0" quotePrefix="0" xfId="0">
      <alignment indent="1"/>
    </xf>
    <xf numFmtId="164" fontId="3" fillId="5" borderId="1" pivotButton="0" quotePrefix="0" xfId="0"/>
    <xf numFmtId="0" fontId="8" fillId="0" borderId="0" applyAlignment="1" pivotButton="0" quotePrefix="0" xfId="0">
      <alignment indent="2"/>
    </xf>
    <xf numFmtId="0" fontId="11" fillId="0" borderId="0" applyAlignment="1" pivotButton="0" quotePrefix="0" xfId="0">
      <alignment indent="1"/>
    </xf>
    <xf numFmtId="165" fontId="3" fillId="0" borderId="1" pivotButton="0" quotePrefix="0" xfId="0"/>
    <xf numFmtId="0" fontId="11" fillId="0" borderId="0" applyAlignment="1" pivotButton="0" quotePrefix="0" xfId="0">
      <alignment indent="2"/>
    </xf>
    <xf numFmtId="169" fontId="9" fillId="2" borderId="0" pivotButton="0" quotePrefix="0" xfId="0"/>
    <xf numFmtId="165" fontId="3" fillId="5" borderId="1" pivotButton="0" quotePrefix="0" xfId="0"/>
    <xf numFmtId="17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Revenue by product line (USD M)</a:t>
            </a:r>
          </a:p>
        </rich>
      </tx>
    </title>
    <plotArea>
      <barChart>
        <barDir val="col"/>
        <grouping val="stacked"/>
        <ser>
          <idx val="0"/>
          <order val="0"/>
          <tx>
            <v>Core</v>
          </tx>
          <spPr>
            <a:solidFill xmlns:a="http://schemas.openxmlformats.org/drawingml/2006/main">
              <a:srgbClr val="1F2A44"/>
            </a:solidFill>
            <a:ln xmlns:a="http://schemas.openxmlformats.org/drawingml/2006/main">
              <a:prstDash val="solid"/>
            </a:ln>
          </spPr>
          <cat>
            <numRef>
              <f>'Revenue'!$D$5:$N$5</f>
            </numRef>
          </cat>
          <val>
            <numRef>
              <f>'Revenue'!$D$7:$N$7</f>
            </numRef>
          </val>
        </ser>
        <ser>
          <idx val="1"/>
          <order val="1"/>
          <tx>
            <v>SQL</v>
          </tx>
          <spPr>
            <a:solidFill xmlns:a="http://schemas.openxmlformats.org/drawingml/2006/main">
              <a:srgbClr val="35506E"/>
            </a:solidFill>
            <a:ln xmlns:a="http://schemas.openxmlformats.org/drawingml/2006/main">
              <a:prstDash val="solid"/>
            </a:ln>
          </spPr>
          <cat>
            <numRef>
              <f>'Revenue'!$D$5:$N$5</f>
            </numRef>
          </cat>
          <val>
            <numRef>
              <f>'Revenue'!$D$8:$N$8</f>
            </numRef>
          </val>
        </ser>
        <ser>
          <idx val="2"/>
          <order val="2"/>
          <tx>
            <v>AI</v>
          </tx>
          <spPr>
            <a:solidFill xmlns:a="http://schemas.openxmlformats.org/drawingml/2006/main">
              <a:srgbClr val="1C5D46"/>
            </a:solidFill>
            <a:ln xmlns:a="http://schemas.openxmlformats.org/drawingml/2006/main">
              <a:prstDash val="solid"/>
            </a:ln>
          </spPr>
          <cat>
            <numRef>
              <f>'Revenue'!$D$5:$N$5</f>
            </numRef>
          </cat>
          <val>
            <numRef>
              <f>'Revenue'!$D$9:$N$9</f>
            </numRef>
          </val>
        </ser>
        <ser>
          <idx val="3"/>
          <order val="3"/>
          <tx>
            <v>Lakebase</v>
          </tx>
          <spPr>
            <a:solidFill xmlns:a="http://schemas.openxmlformats.org/drawingml/2006/main">
              <a:srgbClr val="9A7B25"/>
            </a:solidFill>
            <a:ln xmlns:a="http://schemas.openxmlformats.org/drawingml/2006/main">
              <a:prstDash val="solid"/>
            </a:ln>
          </spPr>
          <cat>
            <numRef>
              <f>'Revenue'!$D$5:$N$5</f>
            </numRef>
          </cat>
          <val>
            <numRef>
              <f>'Revenue'!$D$10:$N$10</f>
            </numRef>
          </val>
        </ser>
        <ser>
          <idx val="4"/>
          <order val="4"/>
          <tx>
            <v>Platform</v>
          </tx>
          <spPr>
            <a:solidFill xmlns:a="http://schemas.openxmlformats.org/drawingml/2006/main">
              <a:srgbClr val="6B7280"/>
            </a:solidFill>
            <a:ln xmlns:a="http://schemas.openxmlformats.org/drawingml/2006/main">
              <a:prstDash val="solid"/>
            </a:ln>
          </spPr>
          <cat>
            <numRef>
              <f>'Revenue'!$D$5:$N$5</f>
            </numRef>
          </cat>
          <val>
            <numRef>
              <f>'Revenue'!$D$11:$N$11</f>
            </numRef>
          </val>
        </ser>
        <gapWidth val="150"/>
        <overlap val="10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b"/>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Margin path (%)</a:t>
            </a:r>
          </a:p>
        </rich>
      </tx>
    </title>
    <plotArea>
      <lineChart>
        <grouping val="standard"/>
        <ser>
          <idx val="0"/>
          <order val="0"/>
          <tx>
            <v>Gross margin</v>
          </tx>
          <spPr>
            <a:ln xmlns:a="http://schemas.openxmlformats.org/drawingml/2006/main" w="22000">
              <a:solidFill>
                <a:srgbClr val="1F2A44"/>
              </a:solidFill>
              <a:prstDash val="solid"/>
            </a:ln>
          </spPr>
          <marker>
            <symbol val="none"/>
            <spPr>
              <a:ln xmlns:a="http://schemas.openxmlformats.org/drawingml/2006/main">
                <a:prstDash val="solid"/>
              </a:ln>
            </spPr>
          </marker>
          <cat>
            <numRef>
              <f>'Dashboard'!$D$32:$N$32</f>
            </numRef>
          </cat>
          <val>
            <numRef>
              <f>'Dashboard'!$D$33:$N$33</f>
            </numRef>
          </val>
        </ser>
        <ser>
          <idx val="1"/>
          <order val="1"/>
          <tx>
            <v>Operating margin</v>
          </tx>
          <spPr>
            <a:ln xmlns:a="http://schemas.openxmlformats.org/drawingml/2006/main" w="22000">
              <a:solidFill>
                <a:srgbClr val="1C5D46"/>
              </a:solidFill>
              <a:prstDash val="solid"/>
            </a:ln>
          </spPr>
          <marker>
            <symbol val="none"/>
            <spPr>
              <a:ln xmlns:a="http://schemas.openxmlformats.org/drawingml/2006/main">
                <a:prstDash val="solid"/>
              </a:ln>
            </spPr>
          </marker>
          <cat>
            <numRef>
              <f>'Dashboard'!$D$32:$N$32</f>
            </numRef>
          </cat>
          <val>
            <numRef>
              <f>'Dashboard'!$D$34:$N$34</f>
            </numRef>
          </val>
        </ser>
        <ser>
          <idx val="2"/>
          <order val="2"/>
          <tx>
            <v>FCF margin</v>
          </tx>
          <spPr>
            <a:ln xmlns:a="http://schemas.openxmlformats.org/drawingml/2006/main" w="22000">
              <a:solidFill>
                <a:srgbClr val="35506E"/>
              </a:solidFill>
              <a:prstDash val="solid"/>
            </a:ln>
          </spPr>
          <marker>
            <symbol val="none"/>
            <spPr>
              <a:ln xmlns:a="http://schemas.openxmlformats.org/drawingml/2006/main">
                <a:prstDash val="solid"/>
              </a:ln>
            </spPr>
          </marker>
          <cat>
            <numRef>
              <f>'Dashboard'!$D$32:$N$32</f>
            </numRef>
          </cat>
          <val>
            <numRef>
              <f>'Dashboard'!$D$35:$N$35</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b"/>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Where revenue comes from: product lines (USD M)</a:t>
            </a:r>
          </a:p>
        </rich>
      </tx>
    </title>
    <plotArea>
      <barChart>
        <barDir val="col"/>
        <grouping val="stacked"/>
        <ser>
          <idx val="0"/>
          <order val="0"/>
          <spPr>
            <a:solidFill xmlns:a="http://schemas.openxmlformats.org/drawingml/2006/main">
              <a:srgbClr val="1F2A44"/>
            </a:solidFill>
            <a:ln xmlns:a="http://schemas.openxmlformats.org/drawingml/2006/main">
              <a:prstDash val="solid"/>
            </a:ln>
          </spPr>
          <cat>
            <numRef>
              <f>'Revenue'!$D$5:$N$5</f>
            </numRef>
          </cat>
          <val>
            <numRef>
              <f>'Revenue'!$D$7:$N$7</f>
            </numRef>
          </val>
        </ser>
        <ser>
          <idx val="1"/>
          <order val="1"/>
          <spPr>
            <a:solidFill xmlns:a="http://schemas.openxmlformats.org/drawingml/2006/main">
              <a:srgbClr val="35506E"/>
            </a:solidFill>
            <a:ln xmlns:a="http://schemas.openxmlformats.org/drawingml/2006/main">
              <a:prstDash val="solid"/>
            </a:ln>
          </spPr>
          <cat>
            <numRef>
              <f>'Revenue'!$D$5:$N$5</f>
            </numRef>
          </cat>
          <val>
            <numRef>
              <f>'Revenue'!$D$8:$N$8</f>
            </numRef>
          </val>
        </ser>
        <ser>
          <idx val="2"/>
          <order val="2"/>
          <spPr>
            <a:solidFill xmlns:a="http://schemas.openxmlformats.org/drawingml/2006/main">
              <a:srgbClr val="1C5D46"/>
            </a:solidFill>
            <a:ln xmlns:a="http://schemas.openxmlformats.org/drawingml/2006/main">
              <a:prstDash val="solid"/>
            </a:ln>
          </spPr>
          <cat>
            <numRef>
              <f>'Revenue'!$D$5:$N$5</f>
            </numRef>
          </cat>
          <val>
            <numRef>
              <f>'Revenue'!$D$9:$N$9</f>
            </numRef>
          </val>
        </ser>
        <ser>
          <idx val="3"/>
          <order val="3"/>
          <spPr>
            <a:solidFill xmlns:a="http://schemas.openxmlformats.org/drawingml/2006/main">
              <a:srgbClr val="9A7B25"/>
            </a:solidFill>
            <a:ln xmlns:a="http://schemas.openxmlformats.org/drawingml/2006/main">
              <a:prstDash val="solid"/>
            </a:ln>
          </spPr>
          <cat>
            <numRef>
              <f>'Revenue'!$D$5:$N$5</f>
            </numRef>
          </cat>
          <val>
            <numRef>
              <f>'Revenue'!$D$10:$N$10</f>
            </numRef>
          </val>
        </ser>
        <ser>
          <idx val="4"/>
          <order val="4"/>
          <spPr>
            <a:solidFill xmlns:a="http://schemas.openxmlformats.org/drawingml/2006/main">
              <a:srgbClr val="6B7280"/>
            </a:solidFill>
            <a:ln xmlns:a="http://schemas.openxmlformats.org/drawingml/2006/main">
              <a:prstDash val="solid"/>
            </a:ln>
          </spPr>
          <cat>
            <numRef>
              <f>'Revenue'!$D$5:$N$5</f>
            </numRef>
          </cat>
          <val>
            <numRef>
              <f>'Revenue'!$D$11:$N$11</f>
            </numRef>
          </val>
        </ser>
        <gapWidth val="150"/>
        <overlap val="10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b"/>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Where cost of revenue goes: components (USD M)</a:t>
            </a:r>
          </a:p>
        </rich>
      </tx>
    </title>
    <plotArea>
      <barChart>
        <barDir val="col"/>
        <grouping val="stacked"/>
        <ser>
          <idx val="0"/>
          <order val="0"/>
          <spPr>
            <a:solidFill xmlns:a="http://schemas.openxmlformats.org/drawingml/2006/main">
              <a:srgbClr val="35506E"/>
            </a:solidFill>
            <a:ln xmlns:a="http://schemas.openxmlformats.org/drawingml/2006/main">
              <a:prstDash val="solid"/>
            </a:ln>
          </spPr>
          <cat>
            <numRef>
              <f>'Costs'!$D$5:$N$5</f>
            </numRef>
          </cat>
          <val>
            <numRef>
              <f>'Costs'!$D$8:$N$8</f>
            </numRef>
          </val>
        </ser>
        <ser>
          <idx val="1"/>
          <order val="1"/>
          <spPr>
            <a:solidFill xmlns:a="http://schemas.openxmlformats.org/drawingml/2006/main">
              <a:srgbClr val="1C5D46"/>
            </a:solidFill>
            <a:ln xmlns:a="http://schemas.openxmlformats.org/drawingml/2006/main">
              <a:prstDash val="solid"/>
            </a:ln>
          </spPr>
          <cat>
            <numRef>
              <f>'Costs'!$D$5:$N$5</f>
            </numRef>
          </cat>
          <val>
            <numRef>
              <f>'Costs'!$D$9:$N$9</f>
            </numRef>
          </val>
        </ser>
        <ser>
          <idx val="2"/>
          <order val="2"/>
          <spPr>
            <a:solidFill xmlns:a="http://schemas.openxmlformats.org/drawingml/2006/main">
              <a:srgbClr val="9A7B25"/>
            </a:solidFill>
            <a:ln xmlns:a="http://schemas.openxmlformats.org/drawingml/2006/main">
              <a:prstDash val="solid"/>
            </a:ln>
          </spPr>
          <cat>
            <numRef>
              <f>'Costs'!$D$5:$N$5</f>
            </numRef>
          </cat>
          <val>
            <numRef>
              <f>'Costs'!$D$10:$N$10</f>
            </numRef>
          </val>
        </ser>
        <ser>
          <idx val="3"/>
          <order val="3"/>
          <spPr>
            <a:solidFill xmlns:a="http://schemas.openxmlformats.org/drawingml/2006/main">
              <a:srgbClr val="6B7280"/>
            </a:solidFill>
            <a:ln xmlns:a="http://schemas.openxmlformats.org/drawingml/2006/main">
              <a:prstDash val="solid"/>
            </a:ln>
          </spPr>
          <cat>
            <numRef>
              <f>'Costs'!$D$5:$N$5</f>
            </numRef>
          </cat>
          <val>
            <numRef>
              <f>'Costs'!$D$11:$N$11</f>
            </numRef>
          </val>
        </ser>
        <gapWidth val="150"/>
        <overlap val="10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s>
</file>

<file path=xl/drawings/_rels/drawing3.xml.rels><Relationships xmlns="http://schemas.openxmlformats.org/package/2006/relationships"><Relationship Type="http://schemas.openxmlformats.org/officeDocument/2006/relationships/chart" Target="/xl/charts/chart4.xml" Id="rId1"/></Relationships>
</file>

<file path=xl/drawings/drawing1.xml><?xml version="1.0" encoding="utf-8"?>
<wsDr xmlns="http://schemas.openxmlformats.org/drawingml/2006/spreadsheetDrawing">
  <oneCellAnchor>
    <from>
      <col>1</col>
      <colOff>0</colOff>
      <row>36</row>
      <rowOff>0</rowOff>
    </from>
    <ext cx="6120000" cy="2951999"/>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36</row>
      <rowOff>0</rowOff>
    </from>
    <ext cx="6120000" cy="2951999"/>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2.xml><?xml version="1.0" encoding="utf-8"?>
<wsDr xmlns="http://schemas.openxmlformats.org/drawingml/2006/spreadsheetDrawing">
  <oneCellAnchor>
    <from>
      <col>1</col>
      <colOff>0</colOff>
      <row>33</row>
      <rowOff>0</rowOff>
    </from>
    <ext cx="720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1</col>
      <colOff>0</colOff>
      <row>42</row>
      <rowOff>0</rowOff>
    </from>
    <ext cx="720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_rels/sheet6.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sheetPr>
  <dimension ref="C4:E23"/>
  <sheetViews>
    <sheetView showGridLines="0" workbookViewId="0">
      <selection activeCell="A1" sqref="A1"/>
    </sheetView>
  </sheetViews>
  <sheetFormatPr baseColWidth="8" defaultRowHeight="15"/>
  <cols>
    <col width="3" customWidth="1" min="1" max="1"/>
    <col width="4" customWidth="1" min="2" max="2"/>
    <col width="46" customWidth="1" min="3" max="3"/>
    <col width="16" customWidth="1" min="4" max="4"/>
    <col width="34" customWidth="1" min="5" max="5"/>
  </cols>
  <sheetData>
    <row r="4">
      <c r="C4" s="1" t="inlineStr">
        <is>
          <t>Databricks, Inc.</t>
        </is>
      </c>
    </row>
    <row r="5">
      <c r="C5" s="2" t="inlineStr">
        <is>
          <t>Granular Bottom-Up Operating Model</t>
        </is>
      </c>
    </row>
    <row r="6">
      <c r="C6" s="3" t="inlineStr">
        <is>
          <t>FY2022A to FY2032E   |   revenue and costs built from the ground up   |   USD millions, fiscal year ends January 31</t>
        </is>
      </c>
    </row>
    <row r="7">
      <c r="C7" s="3" t="inlineStr">
        <is>
          <t>Prepared by Harrison Rolfes, Senior Research Director. July 21, 2026. Companion to Brick by Brick.</t>
        </is>
      </c>
    </row>
    <row r="10">
      <c r="C10" s="4" t="inlineStr">
        <is>
          <t>Contents</t>
        </is>
      </c>
    </row>
    <row r="11">
      <c r="C11" s="5" t="inlineStr">
        <is>
          <t>Guide</t>
        </is>
      </c>
      <c r="E11" s="6" t="inlineStr">
        <is>
          <t>Plain-English map of how revenue and costs are built</t>
        </is>
      </c>
    </row>
    <row r="12">
      <c r="C12" s="5" t="inlineStr">
        <is>
          <t>Assumptions</t>
        </is>
      </c>
      <c r="E12" s="6" t="inlineStr">
        <is>
          <t>Every driver, sourced; the one orange scenario switch; blue input cells</t>
        </is>
      </c>
    </row>
    <row r="13">
      <c r="C13" s="5" t="inlineStr">
        <is>
          <t>Revenue</t>
        </is>
      </c>
      <c r="E13" s="6" t="inlineStr">
        <is>
          <t>Product-line build, plus customer-tier and DBU-consumption cross-checks</t>
        </is>
      </c>
    </row>
    <row r="14">
      <c r="C14" s="5" t="inlineStr">
        <is>
          <t>Costs</t>
        </is>
      </c>
      <c r="E14" s="6" t="inlineStr">
        <is>
          <t>Cost of revenue by component (margin is an output); opex decomposed; headcount bridge</t>
        </is>
      </c>
    </row>
    <row r="15">
      <c r="C15" s="5" t="inlineStr">
        <is>
          <t>Financials</t>
        </is>
      </c>
      <c r="E15" s="6" t="inlineStr">
        <is>
          <t>Income statement, cash flow, balance sheet, balance check</t>
        </is>
      </c>
    </row>
    <row r="16">
      <c r="C16" s="5" t="inlineStr">
        <is>
          <t>KPIs</t>
        </is>
      </c>
      <c r="E16" s="6" t="inlineStr">
        <is>
          <t>Growth, margins, Rule of 40, revenue per head, capital efficiency</t>
        </is>
      </c>
    </row>
    <row r="18">
      <c r="C18" s="4" t="inlineStr">
        <is>
          <t>Model checks</t>
        </is>
      </c>
    </row>
    <row r="19">
      <c r="C19" s="6" t="inlineStr">
        <is>
          <t>Balance sheet balanced every year?</t>
        </is>
      </c>
      <c r="D19" s="7">
        <f>IF(AND(MAX(Financials!D56:N56)&lt;0.001,MIN(Financials!D56:N56)&gt;-0.001),"OK","ERROR")</f>
        <v/>
      </c>
    </row>
    <row r="20">
      <c r="C20" s="6" t="inlineStr">
        <is>
          <t>Revenue ties to product-line sum?</t>
        </is>
      </c>
      <c r="D20" s="7">
        <f>IF(ABS(Revenue!N12-SUM(Revenue!N7:Revenue!N11))&lt;0.01,"OK","ERROR")</f>
        <v/>
      </c>
    </row>
    <row r="21">
      <c r="C21" s="6" t="inlineStr">
        <is>
          <t>Scenario in use (1 Best / 2 Base / 3 Worst)</t>
        </is>
      </c>
      <c r="D21" s="5">
        <f>Assumptions!D5</f>
        <v/>
      </c>
    </row>
    <row r="23" ht="58" customHeight="1">
      <c r="C23" s="8" t="inlineStr">
        <is>
          <t>Sources: company press releases and disclosures (2021 to Jun 2026); PitchBook deal records (entity 59199-40, retrieved Jul 21, 2026); SEC EDGAR (CIK 1587468); public cloud price lists. Not investment advice; private-company figures are estimates unless disclosed.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2:N35"/>
  <sheetViews>
    <sheetView showGridLines="0" workbookViewId="0">
      <selection activeCell="A1" sqref="A1"/>
    </sheetView>
  </sheetViews>
  <sheetFormatPr baseColWidth="8" defaultRowHeight="15"/>
  <cols>
    <col width="2" customWidth="1" min="1" max="1"/>
    <col width="34" customWidth="1" min="2" max="2"/>
    <col width="13" customWidth="1" min="3" max="3"/>
    <col width="13" customWidth="1" min="4" max="4"/>
    <col width="13" customWidth="1" min="5" max="5"/>
    <col width="3" customWidth="1" min="6" max="6"/>
    <col width="13" customWidth="1" min="7" max="7"/>
    <col width="13" customWidth="1" min="8" max="8"/>
    <col width="13" customWidth="1" min="9" max="9"/>
    <col width="13" customWidth="1" min="10" max="10"/>
  </cols>
  <sheetData>
    <row r="2">
      <c r="B2" s="9" t="inlineStr">
        <is>
          <t>Databricks   |   Model Dashboard</t>
        </is>
      </c>
    </row>
    <row r="3">
      <c r="B3" s="10" t="inlineStr">
        <is>
          <t>One-page read-through of the granular model. Base case unless the scenario switch is changed. USD millions unless stated. Every figure is a live link.</t>
        </is>
      </c>
    </row>
    <row r="5">
      <c r="B5" s="5" t="inlineStr">
        <is>
          <t>Scenario in use</t>
        </is>
      </c>
      <c r="C5" s="11">
        <f>CHOOSE(Assumptions!D5,"Best","Base","Worst")</f>
        <v/>
      </c>
      <c r="D5" s="3" t="inlineStr">
        <is>
          <t>(change on the Assumptions tab, cell D5)</t>
        </is>
      </c>
    </row>
    <row r="7">
      <c r="B7" s="12" t="inlineStr">
        <is>
          <t>Headline metrics</t>
        </is>
      </c>
      <c r="C7" s="13" t="n"/>
      <c r="D7" s="13" t="n"/>
      <c r="E7" s="13" t="n"/>
    </row>
    <row r="8">
      <c r="B8" s="14" t="inlineStr"/>
      <c r="C8" s="15" t="inlineStr">
        <is>
          <t>FY2026A</t>
        </is>
      </c>
      <c r="D8" s="15" t="inlineStr">
        <is>
          <t>FY2027E</t>
        </is>
      </c>
      <c r="E8" s="15" t="inlineStr">
        <is>
          <t>FY2032E</t>
        </is>
      </c>
    </row>
    <row r="9">
      <c r="B9" s="16" t="inlineStr">
        <is>
          <t>Revenue</t>
        </is>
      </c>
      <c r="C9" s="17">
        <f>Financials!H7</f>
        <v/>
      </c>
      <c r="D9" s="17">
        <f>Financials!I7</f>
        <v/>
      </c>
      <c r="E9" s="17">
        <f>Financials!N7</f>
        <v/>
      </c>
    </row>
    <row r="10">
      <c r="B10" s="18" t="inlineStr">
        <is>
          <t>Revenue growth (YoY)</t>
        </is>
      </c>
      <c r="C10" s="19">
        <f>Financials!H7/Financials!G7-1</f>
        <v/>
      </c>
      <c r="D10" s="19">
        <f>Financials!I7/Financials!H7-1</f>
        <v/>
      </c>
      <c r="E10" s="19">
        <f>Financials!N7/Financials!M7-1</f>
        <v/>
      </c>
    </row>
    <row r="11">
      <c r="B11" s="18" t="inlineStr">
        <is>
          <t>Gross margin</t>
        </is>
      </c>
      <c r="C11" s="19">
        <f>Financials!H9/Financials!H7</f>
        <v/>
      </c>
      <c r="D11" s="19">
        <f>Financials!I9/Financials!I7</f>
        <v/>
      </c>
      <c r="E11" s="19">
        <f>Financials!N9/Financials!N7</f>
        <v/>
      </c>
    </row>
    <row r="12">
      <c r="B12" s="18" t="inlineStr">
        <is>
          <t>Operating (EBIT) margin</t>
        </is>
      </c>
      <c r="C12" s="19">
        <f>Financials!H16/Financials!H7</f>
        <v/>
      </c>
      <c r="D12" s="19">
        <f>Financials!I16/Financials!I7</f>
        <v/>
      </c>
      <c r="E12" s="19">
        <f>Financials!N16/Financials!N7</f>
        <v/>
      </c>
    </row>
    <row r="13">
      <c r="B13" s="18" t="inlineStr">
        <is>
          <t>Net income (GAAP est.)</t>
        </is>
      </c>
      <c r="C13" s="20">
        <f>Financials!H22</f>
        <v/>
      </c>
      <c r="D13" s="20">
        <f>Financials!I22</f>
        <v/>
      </c>
      <c r="E13" s="20">
        <f>Financials!N22</f>
        <v/>
      </c>
    </row>
    <row r="14">
      <c r="B14" s="16" t="inlineStr">
        <is>
          <t>Free cash flow</t>
        </is>
      </c>
      <c r="C14" s="21">
        <f>Financials!H39</f>
        <v/>
      </c>
      <c r="D14" s="21">
        <f>Financials!I39</f>
        <v/>
      </c>
      <c r="E14" s="21">
        <f>Financials!N39</f>
        <v/>
      </c>
    </row>
    <row r="15">
      <c r="B15" s="18" t="inlineStr">
        <is>
          <t>FCF margin</t>
        </is>
      </c>
      <c r="C15" s="19">
        <f>Financials!H39/Financials!H7</f>
        <v/>
      </c>
      <c r="D15" s="19">
        <f>Financials!I39/Financials!I7</f>
        <v/>
      </c>
      <c r="E15" s="19">
        <f>Financials!N39/Financials!N7</f>
        <v/>
      </c>
    </row>
    <row r="16">
      <c r="B16" s="16" t="inlineStr">
        <is>
          <t>Rule of 40 (growth + FCF margin)</t>
        </is>
      </c>
      <c r="C16" s="22">
        <f>(Financials!H7/Financials!G7-1)+Financials!H39/Financials!H7</f>
        <v/>
      </c>
      <c r="D16" s="22">
        <f>(Financials!I7/Financials!H7-1)+Financials!I39/Financials!I7</f>
        <v/>
      </c>
      <c r="E16" s="22">
        <f>(Financials!N7/Financials!M7-1)+Financials!N39/Financials!N7</f>
        <v/>
      </c>
    </row>
    <row r="17">
      <c r="B17" s="18" t="inlineStr">
        <is>
          <t>Implied headcount (year end)</t>
        </is>
      </c>
      <c r="C17" s="20">
        <f>Costs!H39</f>
        <v/>
      </c>
      <c r="D17" s="20">
        <f>Costs!I39</f>
        <v/>
      </c>
      <c r="E17" s="20">
        <f>Costs!N39</f>
        <v/>
      </c>
    </row>
    <row r="18">
      <c r="B18" s="18" t="inlineStr">
        <is>
          <t>Revenue per head (USD 000)</t>
        </is>
      </c>
      <c r="C18" s="20">
        <f>Costs!H7*1000/Costs!H39</f>
        <v/>
      </c>
      <c r="D18" s="20">
        <f>Costs!I7*1000/Costs!I39</f>
        <v/>
      </c>
      <c r="E18" s="20">
        <f>Costs!N7*1000/Costs!N39</f>
        <v/>
      </c>
    </row>
    <row r="19">
      <c r="B19" s="18" t="inlineStr">
        <is>
          <t>Customers &gt;$1M / yr</t>
        </is>
      </c>
      <c r="C19" s="20">
        <f>Assumptions!H62+Assumptions!H64</f>
        <v/>
      </c>
      <c r="D19" s="20">
        <f>Assumptions!I62+Assumptions!I64</f>
        <v/>
      </c>
      <c r="E19" s="20">
        <f>Assumptions!N62+Assumptions!N64</f>
        <v/>
      </c>
      <c r="G19" s="3" t="inlineStr">
        <is>
          <t>300+ Sep-2023, 500+ Dec-2024, 800+ Feb-2026 (company).</t>
        </is>
      </c>
    </row>
    <row r="20">
      <c r="B20" s="18" t="inlineStr">
        <is>
          <t>Cash and investments (close)</t>
        </is>
      </c>
      <c r="C20" s="20">
        <f>Financials!H43</f>
        <v/>
      </c>
      <c r="D20" s="20">
        <f>Financials!I43</f>
        <v/>
      </c>
      <c r="E20" s="20">
        <f>Financials!N43</f>
        <v/>
      </c>
    </row>
    <row r="21">
      <c r="B21" s="18" t="inlineStr">
        <is>
          <t>Debt (close)</t>
        </is>
      </c>
      <c r="C21" s="20">
        <f>Financials!H51</f>
        <v/>
      </c>
      <c r="D21" s="20">
        <f>Financials!I51</f>
        <v/>
      </c>
      <c r="E21" s="20">
        <f>Financials!N51</f>
        <v/>
      </c>
    </row>
    <row r="23">
      <c r="B23" s="12" t="inlineStr">
        <is>
          <t>Where revenue comes from (product line)</t>
        </is>
      </c>
      <c r="C23" s="13" t="n"/>
      <c r="D23" s="13" t="n"/>
      <c r="E23" s="13" t="n"/>
    </row>
    <row r="24">
      <c r="C24" s="15" t="inlineStr">
        <is>
          <t>FY2026A $ / %</t>
        </is>
      </c>
      <c r="D24" s="15" t="inlineStr">
        <is>
          <t>FY2027E $ / %</t>
        </is>
      </c>
      <c r="E24" s="15" t="inlineStr">
        <is>
          <t>FY2032E $ / %</t>
        </is>
      </c>
    </row>
    <row r="25">
      <c r="B25" s="18" t="inlineStr">
        <is>
          <t xml:space="preserve">  Core</t>
        </is>
      </c>
      <c r="C25" s="23">
        <f>TEXT(Revenue!H7,"#,##0")&amp;"  ("&amp;TEXT(Revenue!H7/Revenue!H12,"0%")&amp;")"</f>
        <v/>
      </c>
      <c r="D25" s="23">
        <f>TEXT(Revenue!I7,"#,##0")&amp;"  ("&amp;TEXT(Revenue!I7/Revenue!I12,"0%")&amp;")"</f>
        <v/>
      </c>
      <c r="E25" s="23">
        <f>TEXT(Revenue!N7,"#,##0")&amp;"  ("&amp;TEXT(Revenue!N7/Revenue!N12,"0%")&amp;")"</f>
        <v/>
      </c>
    </row>
    <row r="26">
      <c r="B26" s="18" t="inlineStr">
        <is>
          <t xml:space="preserve">  SQL</t>
        </is>
      </c>
      <c r="C26" s="23">
        <f>TEXT(Revenue!H8,"#,##0")&amp;"  ("&amp;TEXT(Revenue!H8/Revenue!H12,"0%")&amp;")"</f>
        <v/>
      </c>
      <c r="D26" s="23">
        <f>TEXT(Revenue!I8,"#,##0")&amp;"  ("&amp;TEXT(Revenue!I8/Revenue!I12,"0%")&amp;")"</f>
        <v/>
      </c>
      <c r="E26" s="23">
        <f>TEXT(Revenue!N8,"#,##0")&amp;"  ("&amp;TEXT(Revenue!N8/Revenue!N12,"0%")&amp;")"</f>
        <v/>
      </c>
    </row>
    <row r="27">
      <c r="B27" s="18" t="inlineStr">
        <is>
          <t xml:space="preserve">  AI</t>
        </is>
      </c>
      <c r="C27" s="23">
        <f>TEXT(Revenue!H9,"#,##0")&amp;"  ("&amp;TEXT(Revenue!H9/Revenue!H12,"0%")&amp;")"</f>
        <v/>
      </c>
      <c r="D27" s="23">
        <f>TEXT(Revenue!I9,"#,##0")&amp;"  ("&amp;TEXT(Revenue!I9/Revenue!I12,"0%")&amp;")"</f>
        <v/>
      </c>
      <c r="E27" s="23">
        <f>TEXT(Revenue!N9,"#,##0")&amp;"  ("&amp;TEXT(Revenue!N9/Revenue!N12,"0%")&amp;")"</f>
        <v/>
      </c>
    </row>
    <row r="28">
      <c r="B28" s="18" t="inlineStr">
        <is>
          <t xml:space="preserve">  Lakebase</t>
        </is>
      </c>
      <c r="C28" s="23">
        <f>TEXT(Revenue!H10,"#,##0")&amp;"  ("&amp;TEXT(Revenue!H10/Revenue!H12,"0%")&amp;")"</f>
        <v/>
      </c>
      <c r="D28" s="23">
        <f>TEXT(Revenue!I10,"#,##0")&amp;"  ("&amp;TEXT(Revenue!I10/Revenue!I12,"0%")&amp;")"</f>
        <v/>
      </c>
      <c r="E28" s="23">
        <f>TEXT(Revenue!N10,"#,##0")&amp;"  ("&amp;TEXT(Revenue!N10/Revenue!N12,"0%")&amp;")"</f>
        <v/>
      </c>
    </row>
    <row r="29">
      <c r="B29" s="18" t="inlineStr">
        <is>
          <t xml:space="preserve">  Platform</t>
        </is>
      </c>
      <c r="C29" s="23">
        <f>TEXT(Revenue!H11,"#,##0")&amp;"  ("&amp;TEXT(Revenue!H11/Revenue!H12,"0%")&amp;")"</f>
        <v/>
      </c>
      <c r="D29" s="23">
        <f>TEXT(Revenue!I11,"#,##0")&amp;"  ("&amp;TEXT(Revenue!I11/Revenue!I12,"0%")&amp;")"</f>
        <v/>
      </c>
      <c r="E29" s="23">
        <f>TEXT(Revenue!N11,"#,##0")&amp;"  ("&amp;TEXT(Revenue!N11/Revenue!N12,"0%")&amp;")"</f>
        <v/>
      </c>
    </row>
    <row r="30">
      <c r="B30" s="5" t="inlineStr">
        <is>
          <t>Total revenue</t>
        </is>
      </c>
      <c r="C30" s="24">
        <f>Revenue!H12</f>
        <v/>
      </c>
      <c r="D30" s="24">
        <f>Revenue!I12</f>
        <v/>
      </c>
      <c r="E30" s="24">
        <f>Revenue!N12</f>
        <v/>
      </c>
    </row>
    <row r="32">
      <c r="B32" s="3" t="inlineStr">
        <is>
          <t>Margin path (for chart)</t>
        </is>
      </c>
      <c r="D32" s="3" t="inlineStr">
        <is>
          <t>FY2022A</t>
        </is>
      </c>
      <c r="E32" s="3" t="inlineStr">
        <is>
          <t>FY2023A</t>
        </is>
      </c>
      <c r="F32" s="3" t="inlineStr">
        <is>
          <t>FY2024A</t>
        </is>
      </c>
      <c r="G32" s="3" t="inlineStr">
        <is>
          <t>FY2025A</t>
        </is>
      </c>
      <c r="H32" s="3" t="inlineStr">
        <is>
          <t>FY2026A</t>
        </is>
      </c>
      <c r="I32" s="3" t="inlineStr">
        <is>
          <t>FY2027E</t>
        </is>
      </c>
      <c r="J32" s="3" t="inlineStr">
        <is>
          <t>FY2028E</t>
        </is>
      </c>
      <c r="K32" s="3" t="inlineStr">
        <is>
          <t>FY2029E</t>
        </is>
      </c>
      <c r="L32" s="3" t="inlineStr">
        <is>
          <t>FY2030E</t>
        </is>
      </c>
      <c r="M32" s="3" t="inlineStr">
        <is>
          <t>FY2031E</t>
        </is>
      </c>
      <c r="N32" s="3" t="inlineStr">
        <is>
          <t>FY2032E</t>
        </is>
      </c>
    </row>
    <row r="33">
      <c r="B33" s="3" t="inlineStr">
        <is>
          <t>Gross margin</t>
        </is>
      </c>
      <c r="D33" s="25">
        <f>Financials!D9/Financials!D7</f>
        <v/>
      </c>
      <c r="E33" s="25">
        <f>Financials!E9/Financials!E7</f>
        <v/>
      </c>
      <c r="F33" s="25">
        <f>Financials!F9/Financials!F7</f>
        <v/>
      </c>
      <c r="G33" s="25">
        <f>Financials!G9/Financials!G7</f>
        <v/>
      </c>
      <c r="H33" s="25">
        <f>Financials!H9/Financials!H7</f>
        <v/>
      </c>
      <c r="I33" s="25">
        <f>Financials!I9/Financials!I7</f>
        <v/>
      </c>
      <c r="J33" s="25">
        <f>Financials!J9/Financials!J7</f>
        <v/>
      </c>
      <c r="K33" s="25">
        <f>Financials!K9/Financials!K7</f>
        <v/>
      </c>
      <c r="L33" s="25">
        <f>Financials!L9/Financials!L7</f>
        <v/>
      </c>
      <c r="M33" s="25">
        <f>Financials!M9/Financials!M7</f>
        <v/>
      </c>
      <c r="N33" s="25">
        <f>Financials!N9/Financials!N7</f>
        <v/>
      </c>
    </row>
    <row r="34">
      <c r="B34" s="3" t="inlineStr">
        <is>
          <t>Operating margin</t>
        </is>
      </c>
      <c r="D34" s="25">
        <f>Financials!D16/Financials!D7</f>
        <v/>
      </c>
      <c r="E34" s="25">
        <f>Financials!E16/Financials!E7</f>
        <v/>
      </c>
      <c r="F34" s="25">
        <f>Financials!F16/Financials!F7</f>
        <v/>
      </c>
      <c r="G34" s="25">
        <f>Financials!G16/Financials!G7</f>
        <v/>
      </c>
      <c r="H34" s="25">
        <f>Financials!H16/Financials!H7</f>
        <v/>
      </c>
      <c r="I34" s="25">
        <f>Financials!I16/Financials!I7</f>
        <v/>
      </c>
      <c r="J34" s="25">
        <f>Financials!J16/Financials!J7</f>
        <v/>
      </c>
      <c r="K34" s="25">
        <f>Financials!K16/Financials!K7</f>
        <v/>
      </c>
      <c r="L34" s="25">
        <f>Financials!L16/Financials!L7</f>
        <v/>
      </c>
      <c r="M34" s="25">
        <f>Financials!M16/Financials!M7</f>
        <v/>
      </c>
      <c r="N34" s="25">
        <f>Financials!N16/Financials!N7</f>
        <v/>
      </c>
    </row>
    <row r="35">
      <c r="B35" s="3" t="inlineStr">
        <is>
          <t>FCF margin</t>
        </is>
      </c>
      <c r="D35" s="25">
        <f>Financials!D39/Financials!D7</f>
        <v/>
      </c>
      <c r="E35" s="25">
        <f>Financials!E39/Financials!E7</f>
        <v/>
      </c>
      <c r="F35" s="25">
        <f>Financials!F39/Financials!F7</f>
        <v/>
      </c>
      <c r="G35" s="25">
        <f>Financials!G39/Financials!G7</f>
        <v/>
      </c>
      <c r="H35" s="25">
        <f>Financials!H39/Financials!H7</f>
        <v/>
      </c>
      <c r="I35" s="25">
        <f>Financials!I39/Financials!I7</f>
        <v/>
      </c>
      <c r="J35" s="25">
        <f>Financials!J39/Financials!J7</f>
        <v/>
      </c>
      <c r="K35" s="25">
        <f>Financials!K39/Financials!K7</f>
        <v/>
      </c>
      <c r="L35" s="25">
        <f>Financials!L39/Financials!L7</f>
        <v/>
      </c>
      <c r="M35" s="25">
        <f>Financials!M39/Financials!M7</f>
        <v/>
      </c>
      <c r="N35" s="25">
        <f>Financials!N39/Financials!N7</f>
        <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B2:B19"/>
  <sheetViews>
    <sheetView showGridLines="0" workbookViewId="0">
      <selection activeCell="A1" sqref="A1"/>
    </sheetView>
  </sheetViews>
  <sheetFormatPr baseColWidth="8" defaultRowHeight="15"/>
  <cols>
    <col width="3" customWidth="1" min="1" max="1"/>
    <col width="100" customWidth="1" min="2" max="2"/>
  </cols>
  <sheetData>
    <row r="2">
      <c r="B2" s="9" t="inlineStr">
        <is>
          <t>How this model is built</t>
        </is>
      </c>
    </row>
    <row r="5">
      <c r="B5" s="4" t="inlineStr">
        <is>
          <t>The one-line logic</t>
        </is>
      </c>
    </row>
    <row r="6" ht="46" customHeight="1">
      <c r="B6" s="26" t="inlineStr">
        <is>
          <t>Revenue is built bottom-up from five product lines and summed. Costs are built bottom-up from their components, so gross margin and operating margin fall out as results, not inputs. The three statements then assemble from those two builds and balance to zero every year.</t>
        </is>
      </c>
    </row>
    <row r="7">
      <c r="B7" s="4" t="inlineStr">
        <is>
          <t>Where revenue comes from (Revenue tab)</t>
        </is>
      </c>
    </row>
    <row r="8" ht="46" customHeight="1">
      <c r="B8" s="26" t="inlineStr">
        <is>
          <t>1. Product line (primary): Data engineering / core compute, Databricks SQL, AI products (Mosaic AI), Lakebase, and Platform / other. Each is anchored to disclosed run-rates through FY2027E, then grows at a scenario-driven rate. The five sum to total revenue.</t>
        </is>
      </c>
    </row>
    <row r="9" ht="46" customHeight="1">
      <c r="B9" s="26" t="inlineStr">
        <is>
          <t>2. Customer tier (cross-check): the same total split across customers above $10M a year, $1-10M, and the long tail. The top two tiers are anchored to disclosed counts (300+ above $1M in 2023, 800+ by 2026); the long-tail average spend is the implied residual.</t>
        </is>
      </c>
    </row>
    <row r="10" ht="46" customHeight="1">
      <c r="B10" s="26" t="inlineStr">
        <is>
          <t>3. Consumption (cross-check): revenue divided by the blended price per DBU gives implied platform usage. This is the consumption identity the whole business runs on: revenue = DBUs consumed x price.</t>
        </is>
      </c>
    </row>
    <row r="11">
      <c r="B11" s="4" t="inlineStr">
        <is>
          <t>Where costs come from (Costs tab)</t>
        </is>
      </c>
    </row>
    <row r="12" ht="46" customHeight="1">
      <c r="B12" s="26" t="inlineStr">
        <is>
          <t>Cost of revenue = cloud and serverless compute (the hyperscaler bill) + third-party AI model costs + support and delivery + amortization of acquired technology. Gross margin is whatever those leave behind. This is why margin compresses as AI and serverless grow, exactly as the company guided in June 2026.</t>
        </is>
      </c>
    </row>
    <row r="13" ht="46" customHeight="1">
      <c r="B13" s="26" t="inlineStr">
        <is>
          <t>Operating expense = R&amp;D + Sales and marketing + G&amp;A + stock comp + depreciation, each set as a percent of revenue and then decomposed into people, programs and facilities. The personnel dollars imply a headcount, shown as a bridge, so the cost base ties back to a believable number of employees.</t>
        </is>
      </c>
    </row>
    <row r="14">
      <c r="B14" s="4" t="inlineStr">
        <is>
          <t>How to use it</t>
        </is>
      </c>
    </row>
    <row r="15" ht="46" customHeight="1">
      <c r="B15" s="26" t="inlineStr">
        <is>
          <t>Change the one orange cell (Assumptions!D5): 1 = Best, 2 = Base, 3 = Worst. It flexes each product line's forecast growth. Every blue cell on the Assumptions tab is an input you can change; everything else is a formula. The balance check on the Financials tab stays at zero.</t>
        </is>
      </c>
    </row>
    <row r="16">
      <c r="B16" s="4" t="inlineStr">
        <is>
          <t>What is fact and what is estimate</t>
        </is>
      </c>
    </row>
    <row r="17" ht="46" customHeight="1">
      <c r="B17" s="26" t="inlineStr">
        <is>
          <t>Revenue run-rates, customer counts, gross-margin direction, funding rounds and free-cash-flow positivity are company disclosures or PitchBook records, dated in the source column. Everything else (cost ratios, headcount, opening balance sheet, product mix) is a labeled estimate calibrated to those anchors. Databricks is private and files no audited statements. The unclosed $188B round (July 2026) is excluded.</t>
        </is>
      </c>
    </row>
    <row r="18">
      <c r="B18" s="4" t="inlineStr">
        <is>
          <t>Reconciliation</t>
        </is>
      </c>
    </row>
    <row r="19" ht="46" customHeight="1">
      <c r="B19" s="26" t="inlineStr">
        <is>
          <t>The operating-margin path is calibrated to match the validated companion model (Brick by Brick, July 2026) from FY2025 on: this is the same business, seen bottom-up. It extends back to FY2022 and out to FY2032 to cover the full window requested.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2:P93"/>
  <sheetViews>
    <sheetView showGridLines="0" workbookViewId="0">
      <selection activeCell="A1" sqref="A1"/>
    </sheetView>
  </sheetViews>
  <sheetFormatPr baseColWidth="8" defaultRowHeight="15"/>
  <cols>
    <col width="2" customWidth="1" min="1" max="1"/>
    <col width="46" customWidth="1" min="2" max="2"/>
    <col width="3"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2" customWidth="1" min="15" max="15"/>
    <col width="74" customWidth="1" min="16" max="16"/>
  </cols>
  <sheetData>
    <row r="2">
      <c r="B2" s="9" t="inlineStr">
        <is>
          <t>Assumptions and Drivers</t>
        </is>
      </c>
    </row>
    <row r="3">
      <c r="B3" s="10" t="inlineStr">
        <is>
          <t>Every driver carries its source in the far-right column. Estimates are labeled; Databricks is private and publishes no audited financials. Blue cells are the only inputs.</t>
        </is>
      </c>
    </row>
    <row r="5">
      <c r="B5" s="5" t="inlineStr">
        <is>
          <t>DRIVER SWITCH   1 = Best   2 = Base   3 = Worst</t>
        </is>
      </c>
      <c r="D5" s="27" t="n">
        <v>2</v>
      </c>
      <c r="P5" s="3" t="inlineStr">
        <is>
          <t>Flexes the forecast growth of each product line (FY2028E onward). Historical years and all cost ratios are held across scenarios.</t>
        </is>
      </c>
    </row>
    <row r="7">
      <c r="B7" s="28" t="n"/>
      <c r="D7" s="15" t="inlineStr">
        <is>
          <t>FY2022A</t>
        </is>
      </c>
      <c r="E7" s="15" t="inlineStr">
        <is>
          <t>FY2023A</t>
        </is>
      </c>
      <c r="F7" s="15" t="inlineStr">
        <is>
          <t>FY2024A</t>
        </is>
      </c>
      <c r="G7" s="15" t="inlineStr">
        <is>
          <t>FY2025A</t>
        </is>
      </c>
      <c r="H7" s="15" t="inlineStr">
        <is>
          <t>FY2026A</t>
        </is>
      </c>
      <c r="I7" s="15" t="inlineStr">
        <is>
          <t>FY2027E</t>
        </is>
      </c>
      <c r="J7" s="15" t="inlineStr">
        <is>
          <t>FY2028E</t>
        </is>
      </c>
      <c r="K7" s="15" t="inlineStr">
        <is>
          <t>FY2029E</t>
        </is>
      </c>
      <c r="L7" s="15" t="inlineStr">
        <is>
          <t>FY2030E</t>
        </is>
      </c>
      <c r="M7" s="15" t="inlineStr">
        <is>
          <t>FY2031E</t>
        </is>
      </c>
      <c r="N7" s="15" t="inlineStr">
        <is>
          <t>FY2032E</t>
        </is>
      </c>
    </row>
    <row r="8">
      <c r="B8" s="12" t="inlineStr">
        <is>
          <t>1. Revenue by product line, historical anchors (USD M, FY2022A to FY2027E fixed)</t>
        </is>
      </c>
      <c r="C8" s="13" t="n"/>
      <c r="D8" s="13" t="n"/>
      <c r="E8" s="13" t="n"/>
      <c r="F8" s="13" t="n"/>
      <c r="G8" s="13" t="n"/>
      <c r="H8" s="13" t="n"/>
      <c r="I8" s="13" t="n"/>
      <c r="J8" s="13" t="n"/>
      <c r="K8" s="13" t="n"/>
      <c r="L8" s="13" t="n"/>
      <c r="M8" s="13" t="n"/>
      <c r="N8" s="13" t="n"/>
    </row>
    <row r="9">
      <c r="B9" s="29" t="inlineStr">
        <is>
          <t xml:space="preserve">  Data engineering and core compute (Jobs, ETL, Lakeflow, streaming)</t>
        </is>
      </c>
      <c r="D9" s="20" t="n">
        <v>720</v>
      </c>
      <c r="E9" s="20" t="n">
        <v>1090</v>
      </c>
      <c r="F9" s="20" t="n">
        <v>1230</v>
      </c>
      <c r="G9" s="20" t="n">
        <v>1730</v>
      </c>
      <c r="H9" s="20" t="n">
        <v>2450</v>
      </c>
      <c r="I9" s="20" t="n">
        <v>3750</v>
      </c>
      <c r="J9" s="20" t="n"/>
      <c r="K9" s="20" t="n"/>
      <c r="L9" s="20" t="n"/>
      <c r="M9" s="20" t="n"/>
      <c r="N9" s="20" t="n"/>
      <c r="P9" s="3" t="inlineStr">
        <is>
          <t>Historic majority of consumption (Jobs/ETL). Residual of total less other lines; total calibrated to disclosed run-rate ladder.</t>
        </is>
      </c>
    </row>
    <row r="10">
      <c r="B10" s="29" t="inlineStr">
        <is>
          <t xml:space="preserve">  Databricks SQL (data warehousing)</t>
        </is>
      </c>
      <c r="D10" s="20" t="n">
        <v>70</v>
      </c>
      <c r="E10" s="20" t="n">
        <v>190</v>
      </c>
      <c r="F10" s="20" t="n">
        <v>300</v>
      </c>
      <c r="G10" s="20" t="n">
        <v>480</v>
      </c>
      <c r="H10" s="20" t="n">
        <v>830</v>
      </c>
      <c r="I10" s="20" t="n">
        <v>1500</v>
      </c>
      <c r="J10" s="20" t="n"/>
      <c r="K10" s="20" t="n"/>
      <c r="L10" s="20" t="n"/>
      <c r="M10" s="20" t="n"/>
      <c r="N10" s="20" t="n"/>
      <c r="P10" s="3" t="inlineStr">
        <is>
          <t>Databricks SQL run-rate $1.5B Jun-2026, doubled YoY (company disclosure, Jun 16, 2026); ramped back from launch (Nov 2020).</t>
        </is>
      </c>
    </row>
    <row r="11">
      <c r="B11" s="29" t="inlineStr">
        <is>
          <t xml:space="preserve">  AI products (Mosaic AI: training, serving, Agent Bricks, tokens)</t>
        </is>
      </c>
      <c r="D11" s="20" t="n">
        <v>0</v>
      </c>
      <c r="E11" s="20" t="n">
        <v>0</v>
      </c>
      <c r="F11" s="20" t="n">
        <v>40</v>
      </c>
      <c r="G11" s="20" t="n">
        <v>280</v>
      </c>
      <c r="H11" s="20" t="n">
        <v>620</v>
      </c>
      <c r="I11" s="20" t="n">
        <v>1600</v>
      </c>
      <c r="J11" s="20" t="n"/>
      <c r="K11" s="20" t="n"/>
      <c r="L11" s="20" t="n"/>
      <c r="M11" s="20" t="n"/>
      <c r="N11" s="20" t="n"/>
      <c r="P11" s="3" t="inlineStr">
        <is>
          <t>AI run-rate $1.0B Sep-2025, $1.4B Feb-2026, $1.7B Jun-2026 (company). MosaicML acquired 2023 seeds the line.</t>
        </is>
      </c>
    </row>
    <row r="12">
      <c r="B12" s="29" t="inlineStr">
        <is>
          <t xml:space="preserve">  Lakebase (managed Postgres OLTP)</t>
        </is>
      </c>
      <c r="D12" s="20" t="n">
        <v>0</v>
      </c>
      <c r="E12" s="20" t="n">
        <v>0</v>
      </c>
      <c r="F12" s="20" t="n">
        <v>0</v>
      </c>
      <c r="G12" s="20" t="n">
        <v>0</v>
      </c>
      <c r="H12" s="20" t="n">
        <v>40</v>
      </c>
      <c r="I12" s="20" t="n">
        <v>130</v>
      </c>
      <c r="J12" s="20" t="n"/>
      <c r="K12" s="20" t="n"/>
      <c r="L12" s="20" t="n"/>
      <c r="M12" s="20" t="n"/>
      <c r="N12" s="20" t="n"/>
      <c r="P12" s="3" t="inlineStr">
        <is>
          <t>GA early 2026 off the Neon acquisition (May 2025); company: thousands of customers in 6 months, ~2x DBSQL's early pace.</t>
        </is>
      </c>
    </row>
    <row r="13">
      <c r="B13" s="29" t="inlineStr">
        <is>
          <t xml:space="preserve">  Platform and other (governance premium, security lakehouse, marketplace)</t>
        </is>
      </c>
      <c r="D13" s="20" t="n">
        <v>10</v>
      </c>
      <c r="E13" s="20" t="n">
        <v>20</v>
      </c>
      <c r="F13" s="20" t="n">
        <v>30</v>
      </c>
      <c r="G13" s="20" t="n">
        <v>60</v>
      </c>
      <c r="H13" s="20" t="n">
        <v>110</v>
      </c>
      <c r="I13" s="20" t="n">
        <v>220</v>
      </c>
      <c r="J13" s="20" t="n"/>
      <c r="K13" s="20" t="n"/>
      <c r="L13" s="20" t="n"/>
      <c r="M13" s="20" t="n"/>
      <c r="N13" s="20" t="n"/>
      <c r="P13" s="3" t="inlineStr">
        <is>
          <t>Governance premium, security lakehouse (Panther, announced Jun-2026), marketplace-adjacent. Estimate.</t>
        </is>
      </c>
    </row>
    <row r="15">
      <c r="B15" s="12" t="inlineStr">
        <is>
          <t>2. Product-line forecast growth, FY2028E to FY2032E (Best / Base / Worst)</t>
        </is>
      </c>
      <c r="C15" s="13" t="n"/>
      <c r="D15" s="13" t="n"/>
      <c r="E15" s="13" t="n"/>
      <c r="F15" s="13" t="n"/>
      <c r="G15" s="13" t="n"/>
      <c r="H15" s="13" t="n"/>
      <c r="I15" s="13" t="n"/>
      <c r="J15" s="13" t="n"/>
      <c r="K15" s="13" t="n"/>
      <c r="L15" s="13" t="n"/>
      <c r="M15" s="13" t="n"/>
      <c r="N15" s="13" t="n"/>
    </row>
    <row r="16">
      <c r="B16" s="29" t="inlineStr">
        <is>
          <t xml:space="preserve">  Core growth - Best</t>
        </is>
      </c>
      <c r="D16" s="19" t="n"/>
      <c r="E16" s="19" t="n"/>
      <c r="F16" s="19" t="n"/>
      <c r="G16" s="19" t="n"/>
      <c r="H16" s="19" t="n"/>
      <c r="I16" s="19" t="n"/>
      <c r="J16" s="19" t="n">
        <v>0.38</v>
      </c>
      <c r="K16" s="19" t="n">
        <v>0.31</v>
      </c>
      <c r="L16" s="19" t="n">
        <v>0.26</v>
      </c>
      <c r="M16" s="19" t="n">
        <v>0.22</v>
      </c>
      <c r="N16" s="19" t="n">
        <v>0.19</v>
      </c>
    </row>
    <row r="17">
      <c r="B17" s="29" t="inlineStr">
        <is>
          <t xml:space="preserve">  Core growth - Base</t>
        </is>
      </c>
      <c r="D17" s="19" t="n"/>
      <c r="E17" s="19" t="n"/>
      <c r="F17" s="19" t="n"/>
      <c r="G17" s="19" t="n"/>
      <c r="H17" s="19" t="n"/>
      <c r="I17" s="19" t="n"/>
      <c r="J17" s="19" t="n">
        <v>0.32</v>
      </c>
      <c r="K17" s="19" t="n">
        <v>0.25</v>
      </c>
      <c r="L17" s="19" t="n">
        <v>0.2</v>
      </c>
      <c r="M17" s="19" t="n">
        <v>0.16</v>
      </c>
      <c r="N17" s="19" t="n">
        <v>0.13</v>
      </c>
      <c r="P17" s="3" t="inlineStr">
        <is>
          <t>Base path; graceful deceleration. AI and Lakebase fastest; Core matures.</t>
        </is>
      </c>
    </row>
    <row r="18">
      <c r="B18" s="29" t="inlineStr">
        <is>
          <t xml:space="preserve">  Core growth - Worst</t>
        </is>
      </c>
      <c r="D18" s="19" t="n"/>
      <c r="E18" s="19" t="n"/>
      <c r="F18" s="19" t="n"/>
      <c r="G18" s="19" t="n"/>
      <c r="H18" s="19" t="n"/>
      <c r="I18" s="19" t="n"/>
      <c r="J18" s="19" t="n">
        <v>0.24</v>
      </c>
      <c r="K18" s="19" t="n">
        <v>0.17</v>
      </c>
      <c r="L18" s="19" t="n">
        <v>0.12</v>
      </c>
      <c r="M18" s="19" t="n">
        <v>0.08</v>
      </c>
      <c r="N18" s="19" t="n">
        <v>0.05</v>
      </c>
    </row>
    <row r="19">
      <c r="B19" s="29" t="inlineStr">
        <is>
          <t xml:space="preserve">  SQL growth - Best</t>
        </is>
      </c>
      <c r="D19" s="19" t="n"/>
      <c r="E19" s="19" t="n"/>
      <c r="F19" s="19" t="n"/>
      <c r="G19" s="19" t="n"/>
      <c r="H19" s="19" t="n"/>
      <c r="I19" s="19" t="n"/>
      <c r="J19" s="19" t="n">
        <v>0.51</v>
      </c>
      <c r="K19" s="19" t="n">
        <v>0.42</v>
      </c>
      <c r="L19" s="19" t="n">
        <v>0.34</v>
      </c>
      <c r="M19" s="19" t="n">
        <v>0.28</v>
      </c>
      <c r="N19" s="19" t="n">
        <v>0.24</v>
      </c>
    </row>
    <row r="20">
      <c r="B20" s="29" t="inlineStr">
        <is>
          <t xml:space="preserve">  SQL growth - Base</t>
        </is>
      </c>
      <c r="D20" s="19" t="n"/>
      <c r="E20" s="19" t="n"/>
      <c r="F20" s="19" t="n"/>
      <c r="G20" s="19" t="n"/>
      <c r="H20" s="19" t="n"/>
      <c r="I20" s="19" t="n"/>
      <c r="J20" s="19" t="n">
        <v>0.45</v>
      </c>
      <c r="K20" s="19" t="n">
        <v>0.36</v>
      </c>
      <c r="L20" s="19" t="n">
        <v>0.28</v>
      </c>
      <c r="M20" s="19" t="n">
        <v>0.22</v>
      </c>
      <c r="N20" s="19" t="n">
        <v>0.18</v>
      </c>
      <c r="P20" s="3" t="inlineStr">
        <is>
          <t>Base path; graceful deceleration. AI and Lakebase fastest; Core matures.</t>
        </is>
      </c>
    </row>
    <row r="21">
      <c r="B21" s="29" t="inlineStr">
        <is>
          <t xml:space="preserve">  SQL growth - Worst</t>
        </is>
      </c>
      <c r="D21" s="19" t="n"/>
      <c r="E21" s="19" t="n"/>
      <c r="F21" s="19" t="n"/>
      <c r="G21" s="19" t="n"/>
      <c r="H21" s="19" t="n"/>
      <c r="I21" s="19" t="n"/>
      <c r="J21" s="19" t="n">
        <v>0.37</v>
      </c>
      <c r="K21" s="19" t="n">
        <v>0.28</v>
      </c>
      <c r="L21" s="19" t="n">
        <v>0.2</v>
      </c>
      <c r="M21" s="19" t="n">
        <v>0.14</v>
      </c>
      <c r="N21" s="19" t="n">
        <v>0.1</v>
      </c>
    </row>
    <row r="22">
      <c r="B22" s="29" t="inlineStr">
        <is>
          <t xml:space="preserve">  AI growth - Best</t>
        </is>
      </c>
      <c r="D22" s="19" t="n"/>
      <c r="E22" s="19" t="n"/>
      <c r="F22" s="19" t="n"/>
      <c r="G22" s="19" t="n"/>
      <c r="H22" s="19" t="n"/>
      <c r="I22" s="19" t="n"/>
      <c r="J22" s="19" t="n">
        <v>0.71</v>
      </c>
      <c r="K22" s="19" t="n">
        <v>0.5600000000000001</v>
      </c>
      <c r="L22" s="19" t="n">
        <v>0.44</v>
      </c>
      <c r="M22" s="19" t="n">
        <v>0.36</v>
      </c>
      <c r="N22" s="19" t="n">
        <v>0.3</v>
      </c>
    </row>
    <row r="23">
      <c r="B23" s="29" t="inlineStr">
        <is>
          <t xml:space="preserve">  AI growth - Base</t>
        </is>
      </c>
      <c r="D23" s="19" t="n"/>
      <c r="E23" s="19" t="n"/>
      <c r="F23" s="19" t="n"/>
      <c r="G23" s="19" t="n"/>
      <c r="H23" s="19" t="n"/>
      <c r="I23" s="19" t="n"/>
      <c r="J23" s="19" t="n">
        <v>0.65</v>
      </c>
      <c r="K23" s="19" t="n">
        <v>0.5</v>
      </c>
      <c r="L23" s="19" t="n">
        <v>0.38</v>
      </c>
      <c r="M23" s="19" t="n">
        <v>0.3</v>
      </c>
      <c r="N23" s="19" t="n">
        <v>0.24</v>
      </c>
      <c r="P23" s="3" t="inlineStr">
        <is>
          <t>Base path; graceful deceleration. AI and Lakebase fastest; Core matures.</t>
        </is>
      </c>
    </row>
    <row r="24">
      <c r="B24" s="29" t="inlineStr">
        <is>
          <t xml:space="preserve">  AI growth - Worst</t>
        </is>
      </c>
      <c r="D24" s="19" t="n"/>
      <c r="E24" s="19" t="n"/>
      <c r="F24" s="19" t="n"/>
      <c r="G24" s="19" t="n"/>
      <c r="H24" s="19" t="n"/>
      <c r="I24" s="19" t="n"/>
      <c r="J24" s="19" t="n">
        <v>0.57</v>
      </c>
      <c r="K24" s="19" t="n">
        <v>0.42</v>
      </c>
      <c r="L24" s="19" t="n">
        <v>0.3</v>
      </c>
      <c r="M24" s="19" t="n">
        <v>0.22</v>
      </c>
      <c r="N24" s="19" t="n">
        <v>0.16</v>
      </c>
    </row>
    <row r="25">
      <c r="B25" s="29" t="inlineStr">
        <is>
          <t xml:space="preserve">  Lakebase growth - Best</t>
        </is>
      </c>
      <c r="D25" s="19" t="n"/>
      <c r="E25" s="19" t="n"/>
      <c r="F25" s="19" t="n"/>
      <c r="G25" s="19" t="n"/>
      <c r="H25" s="19" t="n"/>
      <c r="I25" s="19" t="n"/>
      <c r="J25" s="19" t="n">
        <v>1.46</v>
      </c>
      <c r="K25" s="19" t="n">
        <v>0.96</v>
      </c>
      <c r="L25" s="19" t="n">
        <v>0.71</v>
      </c>
      <c r="M25" s="19" t="n">
        <v>0.51</v>
      </c>
      <c r="N25" s="19" t="n">
        <v>0.39</v>
      </c>
    </row>
    <row r="26">
      <c r="B26" s="29" t="inlineStr">
        <is>
          <t xml:space="preserve">  Lakebase growth - Base</t>
        </is>
      </c>
      <c r="D26" s="19" t="n"/>
      <c r="E26" s="19" t="n"/>
      <c r="F26" s="19" t="n"/>
      <c r="G26" s="19" t="n"/>
      <c r="H26" s="19" t="n"/>
      <c r="I26" s="19" t="n"/>
      <c r="J26" s="19" t="n">
        <v>1.4</v>
      </c>
      <c r="K26" s="19" t="n">
        <v>0.9</v>
      </c>
      <c r="L26" s="19" t="n">
        <v>0.65</v>
      </c>
      <c r="M26" s="19" t="n">
        <v>0.45</v>
      </c>
      <c r="N26" s="19" t="n">
        <v>0.33</v>
      </c>
      <c r="P26" s="3" t="inlineStr">
        <is>
          <t>Base path; graceful deceleration. AI and Lakebase fastest; Core matures.</t>
        </is>
      </c>
    </row>
    <row r="27">
      <c r="B27" s="29" t="inlineStr">
        <is>
          <t xml:space="preserve">  Lakebase growth - Worst</t>
        </is>
      </c>
      <c r="D27" s="19" t="n"/>
      <c r="E27" s="19" t="n"/>
      <c r="F27" s="19" t="n"/>
      <c r="G27" s="19" t="n"/>
      <c r="H27" s="19" t="n"/>
      <c r="I27" s="19" t="n"/>
      <c r="J27" s="19" t="n">
        <v>1.32</v>
      </c>
      <c r="K27" s="19" t="n">
        <v>0.82</v>
      </c>
      <c r="L27" s="19" t="n">
        <v>0.57</v>
      </c>
      <c r="M27" s="19" t="n">
        <v>0.37</v>
      </c>
      <c r="N27" s="19" t="n">
        <v>0.25</v>
      </c>
    </row>
    <row r="28">
      <c r="B28" s="29" t="inlineStr">
        <is>
          <t xml:space="preserve">  Platform growth - Best</t>
        </is>
      </c>
      <c r="D28" s="19" t="n"/>
      <c r="E28" s="19" t="n"/>
      <c r="F28" s="19" t="n"/>
      <c r="G28" s="19" t="n"/>
      <c r="H28" s="19" t="n"/>
      <c r="I28" s="19" t="n"/>
      <c r="J28" s="19" t="n">
        <v>0.5600000000000001</v>
      </c>
      <c r="K28" s="19" t="n">
        <v>0.48</v>
      </c>
      <c r="L28" s="19" t="n">
        <v>0.4</v>
      </c>
      <c r="M28" s="19" t="n">
        <v>0.33</v>
      </c>
      <c r="N28" s="19" t="n">
        <v>0.28</v>
      </c>
    </row>
    <row r="29">
      <c r="B29" s="29" t="inlineStr">
        <is>
          <t xml:space="preserve">  Platform growth - Base</t>
        </is>
      </c>
      <c r="D29" s="19" t="n"/>
      <c r="E29" s="19" t="n"/>
      <c r="F29" s="19" t="n"/>
      <c r="G29" s="19" t="n"/>
      <c r="H29" s="19" t="n"/>
      <c r="I29" s="19" t="n"/>
      <c r="J29" s="19" t="n">
        <v>0.5</v>
      </c>
      <c r="K29" s="19" t="n">
        <v>0.42</v>
      </c>
      <c r="L29" s="19" t="n">
        <v>0.34</v>
      </c>
      <c r="M29" s="19" t="n">
        <v>0.27</v>
      </c>
      <c r="N29" s="19" t="n">
        <v>0.22</v>
      </c>
      <c r="P29" s="3" t="inlineStr">
        <is>
          <t>Base path; graceful deceleration. AI and Lakebase fastest; Core matures.</t>
        </is>
      </c>
    </row>
    <row r="30">
      <c r="B30" s="29" t="inlineStr">
        <is>
          <t xml:space="preserve">  Platform growth - Worst</t>
        </is>
      </c>
      <c r="D30" s="19" t="n"/>
      <c r="E30" s="19" t="n"/>
      <c r="F30" s="19" t="n"/>
      <c r="G30" s="19" t="n"/>
      <c r="H30" s="19" t="n"/>
      <c r="I30" s="19" t="n"/>
      <c r="J30" s="19" t="n">
        <v>0.42</v>
      </c>
      <c r="K30" s="19" t="n">
        <v>0.34</v>
      </c>
      <c r="L30" s="19" t="n">
        <v>0.26</v>
      </c>
      <c r="M30" s="19" t="n">
        <v>0.19</v>
      </c>
      <c r="N30" s="19" t="n">
        <v>0.14</v>
      </c>
    </row>
    <row r="32">
      <c r="B32" s="12" t="inlineStr">
        <is>
          <t>3. Cost of revenue components (gross margin is an OUTPUT)</t>
        </is>
      </c>
      <c r="C32" s="13" t="n"/>
      <c r="D32" s="13" t="n"/>
      <c r="E32" s="13" t="n"/>
      <c r="F32" s="13" t="n"/>
      <c r="G32" s="13" t="n"/>
      <c r="H32" s="13" t="n"/>
      <c r="I32" s="13" t="n"/>
      <c r="J32" s="13" t="n"/>
      <c r="K32" s="13" t="n"/>
      <c r="L32" s="13" t="n"/>
      <c r="M32" s="13" t="n"/>
      <c r="N32" s="13" t="n"/>
    </row>
    <row r="33">
      <c r="B33" s="29" t="inlineStr">
        <is>
          <t xml:space="preserve">  Cloud and serverless compute, % of revenue</t>
        </is>
      </c>
      <c r="D33" s="19" t="n">
        <v>0.09</v>
      </c>
      <c r="E33" s="19" t="n">
        <v>0.095</v>
      </c>
      <c r="F33" s="19" t="n">
        <v>0.1</v>
      </c>
      <c r="G33" s="19" t="n">
        <v>0.11</v>
      </c>
      <c r="H33" s="19" t="n">
        <v>0.14</v>
      </c>
      <c r="I33" s="19" t="n">
        <v>0.175</v>
      </c>
      <c r="J33" s="19" t="n">
        <v>0.185</v>
      </c>
      <c r="K33" s="19" t="n">
        <v>0.183</v>
      </c>
      <c r="L33" s="19" t="n">
        <v>0.178</v>
      </c>
      <c r="M33" s="19" t="n">
        <v>0.175</v>
      </c>
      <c r="N33" s="19" t="n">
        <v>0.17</v>
      </c>
      <c r="P33" s="3" t="inlineStr">
        <is>
          <t>Compute Databricks itself buys from AWS/Azure/GCP for serverless and AI SKUs. Rises as serverless/agent mix grows (drives the margin compression the company guided, Jun 16, 2026).</t>
        </is>
      </c>
    </row>
    <row r="34">
      <c r="B34" s="29" t="inlineStr">
        <is>
          <t xml:space="preserve">  Third-party AI model and API costs, % of AI revenue</t>
        </is>
      </c>
      <c r="D34" s="19" t="n">
        <v>0</v>
      </c>
      <c r="E34" s="19" t="n">
        <v>0</v>
      </c>
      <c r="F34" s="19" t="n">
        <v>0.05</v>
      </c>
      <c r="G34" s="19" t="n">
        <v>0.08</v>
      </c>
      <c r="H34" s="19" t="n">
        <v>0.1</v>
      </c>
      <c r="I34" s="19" t="n">
        <v>0.12</v>
      </c>
      <c r="J34" s="19" t="n">
        <v>0.13</v>
      </c>
      <c r="K34" s="19" t="n">
        <v>0.13</v>
      </c>
      <c r="L34" s="19" t="n">
        <v>0.125</v>
      </c>
      <c r="M34" s="19" t="n">
        <v>0.12</v>
      </c>
      <c r="N34" s="19" t="n">
        <v>0.115</v>
      </c>
      <c r="P34" s="3" t="inlineStr">
        <is>
          <t>Cost of serving external frontier models (OpenAI/Anthropic/Google) inside the platform. Estimate.</t>
        </is>
      </c>
    </row>
    <row r="35">
      <c r="B35" s="29" t="inlineStr">
        <is>
          <t xml:space="preserve">  Support, delivery and platform ops, % of revenue</t>
        </is>
      </c>
      <c r="D35" s="19" t="n">
        <v>0.03</v>
      </c>
      <c r="E35" s="19" t="n">
        <v>0.03</v>
      </c>
      <c r="F35" s="19" t="n">
        <v>0.029</v>
      </c>
      <c r="G35" s="19" t="n">
        <v>0.028</v>
      </c>
      <c r="H35" s="19" t="n">
        <v>0.027</v>
      </c>
      <c r="I35" s="19" t="n">
        <v>0.026</v>
      </c>
      <c r="J35" s="19" t="n">
        <v>0.025</v>
      </c>
      <c r="K35" s="19" t="n">
        <v>0.024</v>
      </c>
      <c r="L35" s="19" t="n">
        <v>0.023</v>
      </c>
      <c r="M35" s="19" t="n">
        <v>0.022</v>
      </c>
      <c r="N35" s="19" t="n">
        <v>0.021</v>
      </c>
      <c r="P35" s="3" t="inlineStr">
        <is>
          <t>Personnel cost in cost of revenue (solutions, support, DevOps). Estimate.</t>
        </is>
      </c>
    </row>
    <row r="36">
      <c r="B36" s="29" t="inlineStr">
        <is>
          <t xml:space="preserve">  Amortization of acquired technology, USD M</t>
        </is>
      </c>
      <c r="D36" s="20" t="n">
        <v>20</v>
      </c>
      <c r="E36" s="20" t="n">
        <v>30</v>
      </c>
      <c r="F36" s="20" t="n">
        <v>90</v>
      </c>
      <c r="G36" s="20" t="n">
        <v>130</v>
      </c>
      <c r="H36" s="20" t="n">
        <v>170</v>
      </c>
      <c r="I36" s="20" t="n">
        <v>230</v>
      </c>
      <c r="J36" s="20" t="n">
        <v>250</v>
      </c>
      <c r="K36" s="20" t="n">
        <v>250</v>
      </c>
      <c r="L36" s="20" t="n">
        <v>240</v>
      </c>
      <c r="M36" s="20" t="n">
        <v>220</v>
      </c>
      <c r="N36" s="20" t="n">
        <v>200</v>
      </c>
      <c r="P36" s="3" t="inlineStr">
        <is>
          <t>Developed-tech intangibles from ~19 acquisitions (MosaicML, Tabular, Neon, etc.). Estimate.</t>
        </is>
      </c>
    </row>
    <row r="38">
      <c r="B38" s="12" t="inlineStr">
        <is>
          <t>4. Operating expense ratios, % of revenue (ex stock comp)</t>
        </is>
      </c>
      <c r="C38" s="13" t="n"/>
      <c r="D38" s="13" t="n"/>
      <c r="E38" s="13" t="n"/>
      <c r="F38" s="13" t="n"/>
      <c r="G38" s="13" t="n"/>
      <c r="H38" s="13" t="n"/>
      <c r="I38" s="13" t="n"/>
      <c r="J38" s="13" t="n"/>
      <c r="K38" s="13" t="n"/>
      <c r="L38" s="13" t="n"/>
      <c r="M38" s="13" t="n"/>
      <c r="N38" s="13" t="n"/>
    </row>
    <row r="39">
      <c r="B39" s="29" t="inlineStr">
        <is>
          <t xml:space="preserve">  Research and development</t>
        </is>
      </c>
      <c r="D39" s="19" t="n">
        <v>0.3</v>
      </c>
      <c r="E39" s="19" t="n">
        <v>0.27</v>
      </c>
      <c r="F39" s="19" t="n">
        <v>0.22</v>
      </c>
      <c r="G39" s="19" t="n">
        <v>0.2</v>
      </c>
      <c r="H39" s="19" t="n">
        <v>0.19</v>
      </c>
      <c r="I39" s="19" t="n">
        <v>0.18</v>
      </c>
      <c r="J39" s="19" t="n">
        <v>0.175</v>
      </c>
      <c r="K39" s="19" t="n">
        <v>0.17</v>
      </c>
      <c r="L39" s="19" t="n">
        <v>0.165</v>
      </c>
      <c r="M39" s="19" t="n">
        <v>0.16</v>
      </c>
      <c r="N39" s="19" t="n">
        <v>0.155</v>
      </c>
      <c r="P39" s="3" t="inlineStr">
        <is>
          <t>Estimate; R&amp;D-led culture. FY2025E+ calibrated to the validated companion model.</t>
        </is>
      </c>
    </row>
    <row r="40">
      <c r="B40" s="29" t="inlineStr">
        <is>
          <t xml:space="preserve">  Sales and marketing</t>
        </is>
      </c>
      <c r="D40" s="19" t="n">
        <v>0.6</v>
      </c>
      <c r="E40" s="19" t="n">
        <v>0.5</v>
      </c>
      <c r="F40" s="19" t="n">
        <v>0.42</v>
      </c>
      <c r="G40" s="19" t="n">
        <v>0.36</v>
      </c>
      <c r="H40" s="19" t="n">
        <v>0.33</v>
      </c>
      <c r="I40" s="19" t="n">
        <v>0.3</v>
      </c>
      <c r="J40" s="19" t="n">
        <v>0.28</v>
      </c>
      <c r="K40" s="19" t="n">
        <v>0.26</v>
      </c>
      <c r="L40" s="19" t="n">
        <v>0.245</v>
      </c>
      <c r="M40" s="19" t="n">
        <v>0.23</v>
      </c>
      <c r="N40" s="19" t="n">
        <v>0.215</v>
      </c>
      <c r="P40" s="3" t="inlineStr">
        <is>
          <t>Estimate; heavy in land phase, falling as consumption expansion (NRR &gt;140%, company Feb-2026) does the work.</t>
        </is>
      </c>
    </row>
    <row r="41">
      <c r="B41" s="29" t="inlineStr">
        <is>
          <t xml:space="preserve">  General and administrative</t>
        </is>
      </c>
      <c r="D41" s="19" t="n">
        <v>0.14</v>
      </c>
      <c r="E41" s="19" t="n">
        <v>0.12</v>
      </c>
      <c r="F41" s="19" t="n">
        <v>0.1</v>
      </c>
      <c r="G41" s="19" t="n">
        <v>0.08</v>
      </c>
      <c r="H41" s="19" t="n">
        <v>0.075</v>
      </c>
      <c r="I41" s="19" t="n">
        <v>0.07000000000000001</v>
      </c>
      <c r="J41" s="19" t="n">
        <v>0.065</v>
      </c>
      <c r="K41" s="19" t="n">
        <v>0.06</v>
      </c>
      <c r="L41" s="19" t="n">
        <v>0.055</v>
      </c>
      <c r="M41" s="19" t="n">
        <v>0.05</v>
      </c>
      <c r="N41" s="19" t="n">
        <v>0.048</v>
      </c>
      <c r="P41" s="3" t="inlineStr">
        <is>
          <t>Estimate; scale leverage typical of late-stage software.</t>
        </is>
      </c>
    </row>
    <row r="42">
      <c r="B42" s="29" t="inlineStr">
        <is>
          <t xml:space="preserve">  Stock-based compensation</t>
        </is>
      </c>
      <c r="D42" s="19" t="n">
        <v>0.2</v>
      </c>
      <c r="E42" s="19" t="n">
        <v>0.21</v>
      </c>
      <c r="F42" s="19" t="n">
        <v>0.22</v>
      </c>
      <c r="G42" s="19" t="n">
        <v>0.24</v>
      </c>
      <c r="H42" s="19" t="n">
        <v>0.22</v>
      </c>
      <c r="I42" s="19" t="n">
        <v>0.19</v>
      </c>
      <c r="J42" s="19" t="n">
        <v>0.17</v>
      </c>
      <c r="K42" s="19" t="n">
        <v>0.155</v>
      </c>
      <c r="L42" s="19" t="n">
        <v>0.14</v>
      </c>
      <c r="M42" s="19" t="n">
        <v>0.13</v>
      </c>
      <c r="N42" s="19" t="n">
        <v>0.115</v>
      </c>
      <c r="P42" s="3" t="inlineStr">
        <is>
          <t>Estimate; recurring employee tenders (Series J use of proceeds, Dec-2024). Non-cash; added back in cash flow.</t>
        </is>
      </c>
    </row>
    <row r="43">
      <c r="B43" s="29" t="inlineStr">
        <is>
          <t xml:space="preserve">  Depreciation and other amortization</t>
        </is>
      </c>
      <c r="D43" s="19" t="n">
        <v>0.02</v>
      </c>
      <c r="E43" s="19" t="n">
        <v>0.02</v>
      </c>
      <c r="F43" s="19" t="n">
        <v>0.02</v>
      </c>
      <c r="G43" s="19" t="n">
        <v>0.02</v>
      </c>
      <c r="H43" s="19" t="n">
        <v>0.02</v>
      </c>
      <c r="I43" s="19" t="n">
        <v>0.02</v>
      </c>
      <c r="J43" s="19" t="n">
        <v>0.02</v>
      </c>
      <c r="K43" s="19" t="n">
        <v>0.02</v>
      </c>
      <c r="L43" s="19" t="n">
        <v>0.02</v>
      </c>
      <c r="M43" s="19" t="n">
        <v>0.02</v>
      </c>
      <c r="N43" s="19" t="n">
        <v>0.02</v>
      </c>
      <c r="P43" s="3" t="inlineStr">
        <is>
          <t>Estimate; asset-light (compute rented).</t>
        </is>
      </c>
    </row>
    <row r="44">
      <c r="B44" s="29" t="inlineStr">
        <is>
          <t xml:space="preserve">  Capital expenditure</t>
        </is>
      </c>
      <c r="D44" s="19" t="n">
        <v>0.025</v>
      </c>
      <c r="E44" s="19" t="n">
        <v>0.025</v>
      </c>
      <c r="F44" s="19" t="n">
        <v>0.025</v>
      </c>
      <c r="G44" s="19" t="n">
        <v>0.025</v>
      </c>
      <c r="H44" s="19" t="n">
        <v>0.025</v>
      </c>
      <c r="I44" s="19" t="n">
        <v>0.025</v>
      </c>
      <c r="J44" s="19" t="n">
        <v>0.025</v>
      </c>
      <c r="K44" s="19" t="n">
        <v>0.025</v>
      </c>
      <c r="L44" s="19" t="n">
        <v>0.025</v>
      </c>
      <c r="M44" s="19" t="n">
        <v>0.025</v>
      </c>
      <c r="N44" s="19" t="n">
        <v>0.025</v>
      </c>
      <c r="P44" s="3" t="inlineStr">
        <is>
          <t>Estimate; asset-light model.</t>
        </is>
      </c>
    </row>
    <row r="46">
      <c r="B46" s="12" t="inlineStr">
        <is>
          <t>5. Opex decomposition and headcount bridge</t>
        </is>
      </c>
      <c r="C46" s="13" t="n"/>
      <c r="D46" s="13" t="n"/>
      <c r="E46" s="13" t="n"/>
      <c r="F46" s="13" t="n"/>
      <c r="G46" s="13" t="n"/>
      <c r="H46" s="13" t="n"/>
      <c r="I46" s="13" t="n"/>
      <c r="J46" s="13" t="n"/>
      <c r="K46" s="13" t="n"/>
      <c r="L46" s="13" t="n"/>
      <c r="M46" s="13" t="n"/>
      <c r="N46" s="13" t="n"/>
    </row>
    <row r="47">
      <c r="B47" s="29" t="inlineStr">
        <is>
          <t xml:space="preserve">  Engineering personnel, % of R&amp;D</t>
        </is>
      </c>
      <c r="D47" s="30" t="n">
        <v>0.85</v>
      </c>
      <c r="E47" s="30" t="n">
        <v>0.85</v>
      </c>
      <c r="F47" s="30" t="n">
        <v>0.85</v>
      </c>
      <c r="G47" s="30" t="n">
        <v>0.85</v>
      </c>
      <c r="H47" s="30" t="n">
        <v>0.85</v>
      </c>
      <c r="I47" s="30" t="n">
        <v>0.85</v>
      </c>
      <c r="J47" s="30" t="n">
        <v>0.85</v>
      </c>
      <c r="K47" s="30" t="n">
        <v>0.85</v>
      </c>
      <c r="L47" s="30" t="n">
        <v>0.85</v>
      </c>
      <c r="M47" s="30" t="n">
        <v>0.85</v>
      </c>
      <c r="N47" s="30" t="n">
        <v>0.85</v>
      </c>
      <c r="P47" s="3" t="inlineStr">
        <is>
          <t>Remainder is dev cloud, tooling, licences. Estimate.</t>
        </is>
      </c>
    </row>
    <row r="48">
      <c r="B48" s="29" t="inlineStr">
        <is>
          <t xml:space="preserve">  Sales personnel (incl commission), % of S&amp;M</t>
        </is>
      </c>
      <c r="D48" s="30" t="n">
        <v>0.52</v>
      </c>
      <c r="E48" s="30" t="n">
        <v>0.52</v>
      </c>
      <c r="F48" s="30" t="n">
        <v>0.52</v>
      </c>
      <c r="G48" s="30" t="n">
        <v>0.52</v>
      </c>
      <c r="H48" s="30" t="n">
        <v>0.52</v>
      </c>
      <c r="I48" s="30" t="n">
        <v>0.52</v>
      </c>
      <c r="J48" s="30" t="n">
        <v>0.52</v>
      </c>
      <c r="K48" s="30" t="n">
        <v>0.52</v>
      </c>
      <c r="L48" s="30" t="n">
        <v>0.52</v>
      </c>
      <c r="M48" s="30" t="n">
        <v>0.52</v>
      </c>
      <c r="N48" s="30" t="n">
        <v>0.52</v>
      </c>
      <c r="P48" s="3" t="inlineStr">
        <is>
          <t>Estimate.</t>
        </is>
      </c>
    </row>
    <row r="49">
      <c r="B49" s="29" t="inlineStr">
        <is>
          <t xml:space="preserve">  Marketing personnel, % of S&amp;M</t>
        </is>
      </c>
      <c r="D49" s="30" t="n">
        <v>0.11</v>
      </c>
      <c r="E49" s="30" t="n">
        <v>0.11</v>
      </c>
      <c r="F49" s="30" t="n">
        <v>0.11</v>
      </c>
      <c r="G49" s="30" t="n">
        <v>0.11</v>
      </c>
      <c r="H49" s="30" t="n">
        <v>0.11</v>
      </c>
      <c r="I49" s="30" t="n">
        <v>0.11</v>
      </c>
      <c r="J49" s="30" t="n">
        <v>0.11</v>
      </c>
      <c r="K49" s="30" t="n">
        <v>0.11</v>
      </c>
      <c r="L49" s="30" t="n">
        <v>0.11</v>
      </c>
      <c r="M49" s="30" t="n">
        <v>0.11</v>
      </c>
      <c r="N49" s="30" t="n">
        <v>0.11</v>
      </c>
      <c r="P49" s="3" t="inlineStr">
        <is>
          <t>Estimate.</t>
        </is>
      </c>
    </row>
    <row r="50">
      <c r="B50" s="29" t="inlineStr">
        <is>
          <t xml:space="preserve">  Marketing programs and events, % of S&amp;M</t>
        </is>
      </c>
      <c r="D50" s="30" t="n">
        <v>0.22</v>
      </c>
      <c r="E50" s="30" t="n">
        <v>0.22</v>
      </c>
      <c r="F50" s="30" t="n">
        <v>0.22</v>
      </c>
      <c r="G50" s="30" t="n">
        <v>0.22</v>
      </c>
      <c r="H50" s="30" t="n">
        <v>0.22</v>
      </c>
      <c r="I50" s="30" t="n">
        <v>0.22</v>
      </c>
      <c r="J50" s="30" t="n">
        <v>0.22</v>
      </c>
      <c r="K50" s="30" t="n">
        <v>0.22</v>
      </c>
      <c r="L50" s="30" t="n">
        <v>0.22</v>
      </c>
      <c r="M50" s="30" t="n">
        <v>0.22</v>
      </c>
      <c r="N50" s="30" t="n">
        <v>0.22</v>
      </c>
      <c r="P50" s="3" t="inlineStr">
        <is>
          <t>Demand generation, Data + AI Summit, field marketing. Estimate.</t>
        </is>
      </c>
    </row>
    <row r="51">
      <c r="B51" s="29" t="inlineStr">
        <is>
          <t xml:space="preserve">  Partner and field ops, % of S&amp;M</t>
        </is>
      </c>
      <c r="D51" s="30" t="n">
        <v>0.15</v>
      </c>
      <c r="E51" s="30" t="n">
        <v>0.15</v>
      </c>
      <c r="F51" s="30" t="n">
        <v>0.15</v>
      </c>
      <c r="G51" s="30" t="n">
        <v>0.15</v>
      </c>
      <c r="H51" s="30" t="n">
        <v>0.15</v>
      </c>
      <c r="I51" s="30" t="n">
        <v>0.15</v>
      </c>
      <c r="J51" s="30" t="n">
        <v>0.15</v>
      </c>
      <c r="K51" s="30" t="n">
        <v>0.15</v>
      </c>
      <c r="L51" s="30" t="n">
        <v>0.15</v>
      </c>
      <c r="M51" s="30" t="n">
        <v>0.15</v>
      </c>
      <c r="N51" s="30" t="n">
        <v>0.15</v>
      </c>
      <c r="P51" s="3" t="inlineStr">
        <is>
          <t>Estimate.</t>
        </is>
      </c>
    </row>
    <row r="52">
      <c r="B52" s="29" t="inlineStr">
        <is>
          <t xml:space="preserve">  G&amp;A personnel, % of G&amp;A</t>
        </is>
      </c>
      <c r="D52" s="30" t="n">
        <v>0.62</v>
      </c>
      <c r="E52" s="30" t="n">
        <v>0.62</v>
      </c>
      <c r="F52" s="30" t="n">
        <v>0.62</v>
      </c>
      <c r="G52" s="30" t="n">
        <v>0.62</v>
      </c>
      <c r="H52" s="30" t="n">
        <v>0.62</v>
      </c>
      <c r="I52" s="30" t="n">
        <v>0.62</v>
      </c>
      <c r="J52" s="30" t="n">
        <v>0.62</v>
      </c>
      <c r="K52" s="30" t="n">
        <v>0.62</v>
      </c>
      <c r="L52" s="30" t="n">
        <v>0.62</v>
      </c>
      <c r="M52" s="30" t="n">
        <v>0.62</v>
      </c>
      <c r="N52" s="30" t="n">
        <v>0.62</v>
      </c>
      <c r="P52" s="3" t="inlineStr">
        <is>
          <t>Estimate.</t>
        </is>
      </c>
    </row>
    <row r="53">
      <c r="B53" s="29" t="inlineStr">
        <is>
          <t xml:space="preserve">  Facilities and IT, % of G&amp;A</t>
        </is>
      </c>
      <c r="D53" s="30" t="n">
        <v>0.22</v>
      </c>
      <c r="E53" s="30" t="n">
        <v>0.22</v>
      </c>
      <c r="F53" s="30" t="n">
        <v>0.22</v>
      </c>
      <c r="G53" s="30" t="n">
        <v>0.22</v>
      </c>
      <c r="H53" s="30" t="n">
        <v>0.22</v>
      </c>
      <c r="I53" s="30" t="n">
        <v>0.22</v>
      </c>
      <c r="J53" s="30" t="n">
        <v>0.22</v>
      </c>
      <c r="K53" s="30" t="n">
        <v>0.22</v>
      </c>
      <c r="L53" s="30" t="n">
        <v>0.22</v>
      </c>
      <c r="M53" s="30" t="n">
        <v>0.22</v>
      </c>
      <c r="N53" s="30" t="n">
        <v>0.22</v>
      </c>
      <c r="P53" s="3" t="inlineStr">
        <is>
          <t>Estimate.</t>
        </is>
      </c>
    </row>
    <row r="54">
      <c r="B54" s="29" t="inlineStr">
        <is>
          <t xml:space="preserve">  Professional, insurance, other, % of G&amp;A</t>
        </is>
      </c>
      <c r="D54" s="30" t="n">
        <v>0.16</v>
      </c>
      <c r="E54" s="30" t="n">
        <v>0.16</v>
      </c>
      <c r="F54" s="30" t="n">
        <v>0.16</v>
      </c>
      <c r="G54" s="30" t="n">
        <v>0.16</v>
      </c>
      <c r="H54" s="30" t="n">
        <v>0.16</v>
      </c>
      <c r="I54" s="30" t="n">
        <v>0.16</v>
      </c>
      <c r="J54" s="30" t="n">
        <v>0.16</v>
      </c>
      <c r="K54" s="30" t="n">
        <v>0.16</v>
      </c>
      <c r="L54" s="30" t="n">
        <v>0.16</v>
      </c>
      <c r="M54" s="30" t="n">
        <v>0.16</v>
      </c>
      <c r="N54" s="30" t="n">
        <v>0.16</v>
      </c>
      <c r="P54" s="3" t="inlineStr">
        <is>
          <t>Estimate.</t>
        </is>
      </c>
    </row>
    <row r="55">
      <c r="B55" s="29" t="inlineStr">
        <is>
          <t xml:space="preserve">  Loaded cost per head, engineering (USD 000)</t>
        </is>
      </c>
      <c r="D55" s="20" t="n">
        <v>255</v>
      </c>
      <c r="E55" s="20" t="n">
        <v>255</v>
      </c>
      <c r="F55" s="20" t="n">
        <v>255</v>
      </c>
      <c r="G55" s="20" t="n">
        <v>255</v>
      </c>
      <c r="H55" s="20" t="n">
        <v>255</v>
      </c>
      <c r="I55" s="20" t="n">
        <v>255</v>
      </c>
      <c r="J55" s="20" t="n">
        <v>255</v>
      </c>
      <c r="K55" s="20" t="n">
        <v>255</v>
      </c>
      <c r="L55" s="20" t="n">
        <v>255</v>
      </c>
      <c r="M55" s="20" t="n">
        <v>255</v>
      </c>
      <c r="N55" s="20" t="n">
        <v>255</v>
      </c>
      <c r="P55" s="3" t="inlineStr">
        <is>
          <t>Estimate; blended across geographies.</t>
        </is>
      </c>
    </row>
    <row r="56">
      <c r="B56" s="29" t="inlineStr">
        <is>
          <t xml:space="preserve">  Loaded cost per head, sales (USD 000, incl commission)</t>
        </is>
      </c>
      <c r="D56" s="20" t="n">
        <v>260</v>
      </c>
      <c r="E56" s="20" t="n">
        <v>260</v>
      </c>
      <c r="F56" s="20" t="n">
        <v>260</v>
      </c>
      <c r="G56" s="20" t="n">
        <v>260</v>
      </c>
      <c r="H56" s="20" t="n">
        <v>260</v>
      </c>
      <c r="I56" s="20" t="n">
        <v>260</v>
      </c>
      <c r="J56" s="20" t="n">
        <v>260</v>
      </c>
      <c r="K56" s="20" t="n">
        <v>260</v>
      </c>
      <c r="L56" s="20" t="n">
        <v>260</v>
      </c>
      <c r="M56" s="20" t="n">
        <v>260</v>
      </c>
      <c r="N56" s="20" t="n">
        <v>260</v>
      </c>
      <c r="P56" s="3" t="inlineStr">
        <is>
          <t>Estimate.</t>
        </is>
      </c>
    </row>
    <row r="57">
      <c r="B57" s="29" t="inlineStr">
        <is>
          <t xml:space="preserve">  Loaded cost per head, marketing (USD 000)</t>
        </is>
      </c>
      <c r="D57" s="20" t="n">
        <v>200</v>
      </c>
      <c r="E57" s="20" t="n">
        <v>200</v>
      </c>
      <c r="F57" s="20" t="n">
        <v>200</v>
      </c>
      <c r="G57" s="20" t="n">
        <v>200</v>
      </c>
      <c r="H57" s="20" t="n">
        <v>200</v>
      </c>
      <c r="I57" s="20" t="n">
        <v>200</v>
      </c>
      <c r="J57" s="20" t="n">
        <v>200</v>
      </c>
      <c r="K57" s="20" t="n">
        <v>200</v>
      </c>
      <c r="L57" s="20" t="n">
        <v>200</v>
      </c>
      <c r="M57" s="20" t="n">
        <v>200</v>
      </c>
      <c r="N57" s="20" t="n">
        <v>200</v>
      </c>
      <c r="P57" s="3" t="inlineStr">
        <is>
          <t>Estimate.</t>
        </is>
      </c>
    </row>
    <row r="58">
      <c r="B58" s="29" t="inlineStr">
        <is>
          <t xml:space="preserve">  Loaded cost per head, G&amp;A (USD 000)</t>
        </is>
      </c>
      <c r="D58" s="20" t="n">
        <v>200</v>
      </c>
      <c r="E58" s="20" t="n">
        <v>200</v>
      </c>
      <c r="F58" s="20" t="n">
        <v>200</v>
      </c>
      <c r="G58" s="20" t="n">
        <v>200</v>
      </c>
      <c r="H58" s="20" t="n">
        <v>200</v>
      </c>
      <c r="I58" s="20" t="n">
        <v>200</v>
      </c>
      <c r="J58" s="20" t="n">
        <v>200</v>
      </c>
      <c r="K58" s="20" t="n">
        <v>200</v>
      </c>
      <c r="L58" s="20" t="n">
        <v>200</v>
      </c>
      <c r="M58" s="20" t="n">
        <v>200</v>
      </c>
      <c r="N58" s="20" t="n">
        <v>200</v>
      </c>
      <c r="P58" s="3" t="inlineStr">
        <is>
          <t>Estimate.</t>
        </is>
      </c>
    </row>
    <row r="59">
      <c r="B59" s="29" t="inlineStr">
        <is>
          <t xml:space="preserve">  Loaded cost per head, support/delivery (USD 000)</t>
        </is>
      </c>
      <c r="D59" s="20" t="n">
        <v>175</v>
      </c>
      <c r="E59" s="20" t="n">
        <v>175</v>
      </c>
      <c r="F59" s="20" t="n">
        <v>175</v>
      </c>
      <c r="G59" s="20" t="n">
        <v>175</v>
      </c>
      <c r="H59" s="20" t="n">
        <v>175</v>
      </c>
      <c r="I59" s="20" t="n">
        <v>175</v>
      </c>
      <c r="J59" s="20" t="n">
        <v>175</v>
      </c>
      <c r="K59" s="20" t="n">
        <v>175</v>
      </c>
      <c r="L59" s="20" t="n">
        <v>175</v>
      </c>
      <c r="M59" s="20" t="n">
        <v>175</v>
      </c>
      <c r="N59" s="20" t="n">
        <v>175</v>
      </c>
      <c r="P59" s="3" t="inlineStr">
        <is>
          <t>Estimate.</t>
        </is>
      </c>
    </row>
    <row r="61">
      <c r="B61" s="12" t="inlineStr">
        <is>
          <t>6. Customer pyramid (top tiers anchored to disclosure)</t>
        </is>
      </c>
      <c r="C61" s="13" t="n"/>
      <c r="D61" s="13" t="n"/>
      <c r="E61" s="13" t="n"/>
      <c r="F61" s="13" t="n"/>
      <c r="G61" s="13" t="n"/>
      <c r="H61" s="13" t="n"/>
      <c r="I61" s="13" t="n"/>
      <c r="J61" s="13" t="n"/>
      <c r="K61" s="13" t="n"/>
      <c r="L61" s="13" t="n"/>
      <c r="M61" s="13" t="n"/>
      <c r="N61" s="13" t="n"/>
    </row>
    <row r="62">
      <c r="B62" s="29" t="inlineStr">
        <is>
          <t xml:space="preserve">  Customers &gt;$10M / yr (count)</t>
        </is>
      </c>
      <c r="D62" s="31" t="n">
        <v>4</v>
      </c>
      <c r="E62" s="31" t="n">
        <v>8</v>
      </c>
      <c r="F62" s="31" t="n">
        <v>15</v>
      </c>
      <c r="G62" s="31" t="n">
        <v>40</v>
      </c>
      <c r="H62" s="31" t="n">
        <v>72</v>
      </c>
      <c r="I62" s="31" t="n">
        <v>108</v>
      </c>
      <c r="J62" s="31" t="n">
        <v>150</v>
      </c>
      <c r="K62" s="31" t="n">
        <v>195</v>
      </c>
      <c r="L62" s="31" t="n">
        <v>240</v>
      </c>
      <c r="M62" s="31" t="n">
        <v>285</v>
      </c>
      <c r="N62" s="31" t="n">
        <v>330</v>
      </c>
      <c r="P62" s="3" t="inlineStr">
        <is>
          <t>70+ disclosed Feb 9, 2026; other years on the tier-migration trend.</t>
        </is>
      </c>
    </row>
    <row r="63">
      <c r="B63" s="29" t="inlineStr">
        <is>
          <t xml:space="preserve">  Average spend, &gt;$10M tier (USD M)</t>
        </is>
      </c>
      <c r="D63" s="32" t="n">
        <v>15</v>
      </c>
      <c r="E63" s="32" t="n">
        <v>15</v>
      </c>
      <c r="F63" s="32" t="n">
        <v>16</v>
      </c>
      <c r="G63" s="32" t="n">
        <v>16</v>
      </c>
      <c r="H63" s="32" t="n">
        <v>17</v>
      </c>
      <c r="I63" s="32" t="n">
        <v>17</v>
      </c>
      <c r="J63" s="32" t="n">
        <v>18</v>
      </c>
      <c r="K63" s="32" t="n">
        <v>18</v>
      </c>
      <c r="L63" s="32" t="n">
        <v>19</v>
      </c>
      <c r="M63" s="32" t="n">
        <v>19</v>
      </c>
      <c r="N63" s="32" t="n">
        <v>20</v>
      </c>
      <c r="P63" s="3" t="inlineStr">
        <is>
          <t>Estimate.</t>
        </is>
      </c>
    </row>
    <row r="64">
      <c r="B64" s="29" t="inlineStr">
        <is>
          <t xml:space="preserve">  Customers $1-10M / yr (count)</t>
        </is>
      </c>
      <c r="D64" s="31" t="n">
        <v>80</v>
      </c>
      <c r="E64" s="31" t="n">
        <v>140</v>
      </c>
      <c r="F64" s="31" t="n">
        <v>285</v>
      </c>
      <c r="G64" s="31" t="n">
        <v>460</v>
      </c>
      <c r="H64" s="31" t="n">
        <v>728</v>
      </c>
      <c r="I64" s="31" t="n">
        <v>1050</v>
      </c>
      <c r="J64" s="31" t="n">
        <v>1450</v>
      </c>
      <c r="K64" s="31" t="n">
        <v>1880</v>
      </c>
      <c r="L64" s="31" t="n">
        <v>2320</v>
      </c>
      <c r="M64" s="31" t="n">
        <v>2760</v>
      </c>
      <c r="N64" s="31" t="n">
        <v>3200</v>
      </c>
      <c r="P64" s="3" t="inlineStr">
        <is>
          <t>300+ &gt;$1M Sep-2023; 500+ Dec-2024; 800+ Feb-2026 (company). Net of the &gt;$10M tier.</t>
        </is>
      </c>
    </row>
    <row r="65">
      <c r="B65" s="29" t="inlineStr">
        <is>
          <t xml:space="preserve">  Average spend, $1-10M tier (USD M)</t>
        </is>
      </c>
      <c r="D65" s="33" t="n">
        <v>2</v>
      </c>
      <c r="E65" s="33" t="n">
        <v>2.1</v>
      </c>
      <c r="F65" s="33" t="n">
        <v>2.2</v>
      </c>
      <c r="G65" s="33" t="n">
        <v>2.3</v>
      </c>
      <c r="H65" s="33" t="n">
        <v>2.4</v>
      </c>
      <c r="I65" s="33" t="n">
        <v>2.5</v>
      </c>
      <c r="J65" s="33" t="n">
        <v>2.55</v>
      </c>
      <c r="K65" s="33" t="n">
        <v>2.6</v>
      </c>
      <c r="L65" s="33" t="n">
        <v>2.65</v>
      </c>
      <c r="M65" s="33" t="n">
        <v>2.7</v>
      </c>
      <c r="N65" s="33" t="n">
        <v>2.75</v>
      </c>
      <c r="P65" s="3" t="inlineStr">
        <is>
          <t>Estimate.</t>
        </is>
      </c>
    </row>
    <row r="66">
      <c r="B66" s="29" t="inlineStr">
        <is>
          <t xml:space="preserve">  Long-tail organizations (thousands)</t>
        </is>
      </c>
      <c r="D66" s="32" t="n">
        <v>5.5</v>
      </c>
      <c r="E66" s="32" t="n">
        <v>7</v>
      </c>
      <c r="F66" s="32" t="n">
        <v>9.5</v>
      </c>
      <c r="G66" s="32" t="n">
        <v>13</v>
      </c>
      <c r="H66" s="32" t="n">
        <v>19.2</v>
      </c>
      <c r="I66" s="32" t="n">
        <v>27</v>
      </c>
      <c r="J66" s="32" t="n">
        <v>35</v>
      </c>
      <c r="K66" s="32" t="n">
        <v>44</v>
      </c>
      <c r="L66" s="32" t="n">
        <v>54</v>
      </c>
      <c r="M66" s="32" t="n">
        <v>64</v>
      </c>
      <c r="N66" s="32" t="n">
        <v>75</v>
      </c>
      <c r="P66" s="3" t="inlineStr">
        <is>
          <t>20,000+ organizations Feb-2026; free-edition funnel (500k+ users) feeds it. Estimate.</t>
        </is>
      </c>
    </row>
    <row r="68">
      <c r="B68" s="12" t="inlineStr">
        <is>
          <t>7. Consumption and working capital</t>
        </is>
      </c>
      <c r="C68" s="13" t="n"/>
      <c r="D68" s="13" t="n"/>
      <c r="E68" s="13" t="n"/>
      <c r="F68" s="13" t="n"/>
      <c r="G68" s="13" t="n"/>
      <c r="H68" s="13" t="n"/>
      <c r="I68" s="13" t="n"/>
      <c r="J68" s="13" t="n"/>
      <c r="K68" s="13" t="n"/>
      <c r="L68" s="13" t="n"/>
      <c r="M68" s="13" t="n"/>
      <c r="N68" s="13" t="n"/>
    </row>
    <row r="69">
      <c r="B69" s="29" t="inlineStr">
        <is>
          <t xml:space="preserve">  Blended realized price per DBU (USD)</t>
        </is>
      </c>
      <c r="D69" s="34" t="n">
        <v>0.6</v>
      </c>
      <c r="E69" s="34" t="n">
        <v>0.58</v>
      </c>
      <c r="F69" s="34" t="n">
        <v>0.5600000000000001</v>
      </c>
      <c r="G69" s="34" t="n">
        <v>0.54</v>
      </c>
      <c r="H69" s="34" t="n">
        <v>0.51</v>
      </c>
      <c r="I69" s="34" t="n">
        <v>0.48</v>
      </c>
      <c r="J69" s="34" t="n">
        <v>0.46</v>
      </c>
      <c r="K69" s="34" t="n">
        <v>0.44</v>
      </c>
      <c r="L69" s="34" t="n">
        <v>0.43</v>
      </c>
      <c r="M69" s="34" t="n">
        <v>0.42</v>
      </c>
      <c r="N69" s="34" t="n">
        <v>0.41</v>
      </c>
      <c r="P69" s="3" t="inlineStr">
        <is>
          <t>Blended across Jobs ~$0.15, All-Purpose ~$0.55, SQL ~$0.22-0.70, serverless/AI higher (public price lists, 2026). Declines as mix and discounts shift.</t>
        </is>
      </c>
    </row>
    <row r="70">
      <c r="B70" s="29" t="inlineStr">
        <is>
          <t xml:space="preserve">  Days sales outstanding</t>
        </is>
      </c>
      <c r="D70" s="31" t="n">
        <v>75</v>
      </c>
      <c r="E70" s="31" t="n">
        <v>75</v>
      </c>
      <c r="F70" s="31" t="n">
        <v>75</v>
      </c>
      <c r="G70" s="31" t="n">
        <v>75</v>
      </c>
      <c r="H70" s="31" t="n">
        <v>75</v>
      </c>
      <c r="I70" s="31" t="n">
        <v>75</v>
      </c>
      <c r="J70" s="31" t="n">
        <v>75</v>
      </c>
      <c r="K70" s="31" t="n">
        <v>75</v>
      </c>
      <c r="L70" s="31" t="n">
        <v>75</v>
      </c>
      <c r="M70" s="31" t="n">
        <v>75</v>
      </c>
      <c r="N70" s="31" t="n">
        <v>75</v>
      </c>
      <c r="P70" s="3" t="inlineStr">
        <is>
          <t>Estimate; enterprise annual invoicing.</t>
        </is>
      </c>
    </row>
    <row r="71">
      <c r="B71" s="29" t="inlineStr">
        <is>
          <t xml:space="preserve">  Deferred revenue (days of revenue)</t>
        </is>
      </c>
      <c r="D71" s="31" t="n">
        <v>55</v>
      </c>
      <c r="E71" s="31" t="n">
        <v>68</v>
      </c>
      <c r="F71" s="31" t="n">
        <v>80</v>
      </c>
      <c r="G71" s="31" t="n">
        <v>92</v>
      </c>
      <c r="H71" s="31" t="n">
        <v>100</v>
      </c>
      <c r="I71" s="31" t="n">
        <v>105</v>
      </c>
      <c r="J71" s="31" t="n">
        <v>105</v>
      </c>
      <c r="K71" s="31" t="n">
        <v>105</v>
      </c>
      <c r="L71" s="31" t="n">
        <v>105</v>
      </c>
      <c r="M71" s="31" t="n">
        <v>105</v>
      </c>
      <c r="N71" s="31" t="n">
        <v>105</v>
      </c>
      <c r="P71" s="3" t="inlineStr">
        <is>
          <t>Committed-use contracts are prepaid then drawn down; adoption ramps over time (company pricing model).</t>
        </is>
      </c>
    </row>
    <row r="73">
      <c r="B73" s="12" t="inlineStr">
        <is>
          <t>8. Financing, tax and rates (USD M; announced events)</t>
        </is>
      </c>
      <c r="C73" s="13" t="n"/>
      <c r="D73" s="13" t="n"/>
      <c r="E73" s="13" t="n"/>
      <c r="F73" s="13" t="n"/>
      <c r="G73" s="13" t="n"/>
      <c r="H73" s="13" t="n"/>
      <c r="I73" s="13" t="n"/>
      <c r="J73" s="13" t="n"/>
      <c r="K73" s="13" t="n"/>
      <c r="L73" s="13" t="n"/>
      <c r="M73" s="13" t="n"/>
      <c r="N73" s="13" t="n"/>
    </row>
    <row r="74">
      <c r="B74" s="29" t="inlineStr">
        <is>
          <t xml:space="preserve">  Equity issuance</t>
        </is>
      </c>
      <c r="D74" s="20" t="n">
        <v>2600</v>
      </c>
      <c r="E74" s="20" t="n">
        <v>0</v>
      </c>
      <c r="F74" s="20" t="n">
        <v>685</v>
      </c>
      <c r="G74" s="20" t="n">
        <v>10060</v>
      </c>
      <c r="H74" s="20" t="n">
        <v>1000</v>
      </c>
      <c r="I74" s="20" t="n">
        <v>5000</v>
      </c>
      <c r="J74" s="20" t="n">
        <v>0</v>
      </c>
      <c r="K74" s="20" t="n">
        <v>0</v>
      </c>
      <c r="L74" s="20" t="n">
        <v>0</v>
      </c>
      <c r="M74" s="20" t="n">
        <v>0</v>
      </c>
      <c r="N74" s="20" t="n">
        <v>0</v>
      </c>
      <c r="P74" s="3" t="inlineStr">
        <is>
          <t>Series G-H FY22 ($3.6B); Series I FY24 ($0.7B); Series J FY25 ($10.1B); Series K FY26 ($1.0B); Series L FY26-27 ($5.0B). Company PRs; PitchBook. $188B round (Jul-2026) unclosed, excluded.</t>
        </is>
      </c>
    </row>
    <row r="75">
      <c r="B75" s="29" t="inlineStr">
        <is>
          <t xml:space="preserve">  Debt drawn</t>
        </is>
      </c>
      <c r="D75" s="20" t="n">
        <v>0</v>
      </c>
      <c r="E75" s="20" t="n">
        <v>0</v>
      </c>
      <c r="F75" s="20" t="n">
        <v>0</v>
      </c>
      <c r="G75" s="20" t="n">
        <v>5250</v>
      </c>
      <c r="H75" s="20" t="n">
        <v>1854</v>
      </c>
      <c r="I75" s="20" t="n">
        <v>2000</v>
      </c>
      <c r="J75" s="20" t="n">
        <v>0</v>
      </c>
      <c r="K75" s="20" t="n">
        <v>0</v>
      </c>
      <c r="L75" s="20" t="n">
        <v>0</v>
      </c>
      <c r="M75" s="20" t="n">
        <v>0</v>
      </c>
      <c r="N75" s="20" t="n">
        <v>0</v>
      </c>
      <c r="P75" s="3" t="inlineStr">
        <is>
          <t>$5.25B facility Jan-2025; $1.8B + $54M refi Jan-2026; $2.0B Series L tranche Feb-2026 (PitchBook deal records).</t>
        </is>
      </c>
    </row>
    <row r="76">
      <c r="B76" s="29" t="inlineStr">
        <is>
          <t xml:space="preserve">  Employee liquidity / tenders</t>
        </is>
      </c>
      <c r="D76" s="20" t="n">
        <v>-200</v>
      </c>
      <c r="E76" s="20" t="n">
        <v>-300</v>
      </c>
      <c r="F76" s="20" t="n">
        <v>-500</v>
      </c>
      <c r="G76" s="20" t="n">
        <v>-6000</v>
      </c>
      <c r="H76" s="20" t="n">
        <v>-2000</v>
      </c>
      <c r="I76" s="20" t="n">
        <v>-4000</v>
      </c>
      <c r="J76" s="20" t="n">
        <v>-1500</v>
      </c>
      <c r="K76" s="20" t="n">
        <v>-1500</v>
      </c>
      <c r="L76" s="20" t="n">
        <v>-1500</v>
      </c>
      <c r="M76" s="20" t="n">
        <v>-1500</v>
      </c>
      <c r="N76" s="20" t="n">
        <v>-1500</v>
      </c>
      <c r="P76" s="3" t="inlineStr">
        <is>
          <t>Estimate; rounds explicitly tied to employee liquidity (company, Dec-2024).</t>
        </is>
      </c>
    </row>
    <row r="77">
      <c r="B77" s="29" t="inlineStr">
        <is>
          <t xml:space="preserve">  Acquisitions and strategic investments</t>
        </is>
      </c>
      <c r="D77" s="20" t="n">
        <v>-50</v>
      </c>
      <c r="E77" s="20" t="n">
        <v>-60</v>
      </c>
      <c r="F77" s="20" t="n">
        <v>-1500</v>
      </c>
      <c r="G77" s="20" t="n">
        <v>-1200</v>
      </c>
      <c r="H77" s="20" t="n">
        <v>-1500</v>
      </c>
      <c r="I77" s="20" t="n">
        <v>-1000</v>
      </c>
      <c r="J77" s="20" t="n">
        <v>-800</v>
      </c>
      <c r="K77" s="20" t="n">
        <v>-800</v>
      </c>
      <c r="L77" s="20" t="n">
        <v>-800</v>
      </c>
      <c r="M77" s="20" t="n">
        <v>-800</v>
      </c>
      <c r="N77" s="20" t="n">
        <v>-800</v>
      </c>
      <c r="P77" s="3" t="inlineStr">
        <is>
          <t>Estimate of cash portion; MosaicML 2023, Tabular 2024, Neon 2025, Panther announced Jun-2026, etc.</t>
        </is>
      </c>
    </row>
    <row r="78">
      <c r="B78" s="29" t="inlineStr">
        <is>
          <t xml:space="preserve">  Interest rate on debt</t>
        </is>
      </c>
      <c r="D78" s="19" t="n">
        <v>0.0675</v>
      </c>
      <c r="E78" s="19" t="n">
        <v>0.0675</v>
      </c>
      <c r="F78" s="19" t="n">
        <v>0.0675</v>
      </c>
      <c r="G78" s="19" t="n">
        <v>0.0675</v>
      </c>
      <c r="H78" s="19" t="n">
        <v>0.0675</v>
      </c>
      <c r="I78" s="19" t="n">
        <v>0.0675</v>
      </c>
      <c r="J78" s="19" t="n">
        <v>0.0675</v>
      </c>
      <c r="K78" s="19" t="n">
        <v>0.0675</v>
      </c>
      <c r="L78" s="19" t="n">
        <v>0.0675</v>
      </c>
      <c r="M78" s="19" t="n">
        <v>0.0675</v>
      </c>
      <c r="N78" s="19" t="n">
        <v>0.0675</v>
      </c>
      <c r="P78" s="3" t="inlineStr">
        <is>
          <t>Estimate; private facilities led by major banks.</t>
        </is>
      </c>
    </row>
    <row r="79">
      <c r="B79" s="29" t="inlineStr">
        <is>
          <t xml:space="preserve">  Yield on cash</t>
        </is>
      </c>
      <c r="D79" s="19" t="n">
        <v>0.04</v>
      </c>
      <c r="E79" s="19" t="n">
        <v>0.04</v>
      </c>
      <c r="F79" s="19" t="n">
        <v>0.04</v>
      </c>
      <c r="G79" s="19" t="n">
        <v>0.04</v>
      </c>
      <c r="H79" s="19" t="n">
        <v>0.04</v>
      </c>
      <c r="I79" s="19" t="n">
        <v>0.04</v>
      </c>
      <c r="J79" s="19" t="n">
        <v>0.04</v>
      </c>
      <c r="K79" s="19" t="n">
        <v>0.04</v>
      </c>
      <c r="L79" s="19" t="n">
        <v>0.04</v>
      </c>
      <c r="M79" s="19" t="n">
        <v>0.04</v>
      </c>
      <c r="N79" s="19" t="n">
        <v>0.04</v>
      </c>
      <c r="P79" s="3" t="inlineStr">
        <is>
          <t>Estimate; short-duration treasuries.</t>
        </is>
      </c>
    </row>
    <row r="80">
      <c r="B80" s="29" t="inlineStr">
        <is>
          <t xml:space="preserve">  Effective tax rate (on positive pre-tax income)</t>
        </is>
      </c>
      <c r="D80" s="19" t="n">
        <v>0</v>
      </c>
      <c r="E80" s="19" t="n">
        <v>0</v>
      </c>
      <c r="F80" s="19" t="n">
        <v>0</v>
      </c>
      <c r="G80" s="19" t="n">
        <v>0</v>
      </c>
      <c r="H80" s="19" t="n">
        <v>0</v>
      </c>
      <c r="I80" s="19" t="n">
        <v>0</v>
      </c>
      <c r="J80" s="19" t="n">
        <v>0</v>
      </c>
      <c r="K80" s="19" t="n">
        <v>0.08</v>
      </c>
      <c r="L80" s="19" t="n">
        <v>0.12</v>
      </c>
      <c r="M80" s="19" t="n">
        <v>0.18</v>
      </c>
      <c r="N80" s="19" t="n">
        <v>0.18</v>
      </c>
      <c r="P80" s="3" t="inlineStr">
        <is>
          <t>Estimate; NOL shield from accumulated losses, stepping up as it exhausts.</t>
        </is>
      </c>
    </row>
    <row r="82">
      <c r="B82" s="12" t="inlineStr">
        <is>
          <t>9. Opening balance sheet, Feb 1, 2021 (estimated; no disclosure)</t>
        </is>
      </c>
      <c r="C82" s="13" t="n"/>
      <c r="D82" s="13" t="n"/>
      <c r="E82" s="13" t="n"/>
      <c r="F82" s="13" t="n"/>
      <c r="G82" s="13" t="n"/>
      <c r="H82" s="13" t="n"/>
      <c r="I82" s="13" t="n"/>
      <c r="J82" s="13" t="n"/>
      <c r="K82" s="13" t="n"/>
      <c r="L82" s="13" t="n"/>
      <c r="M82" s="13" t="n"/>
      <c r="N82" s="13" t="n"/>
    </row>
    <row r="83">
      <c r="B83" s="18" t="inlineStr">
        <is>
          <t xml:space="preserve">  Cash and investments</t>
        </is>
      </c>
      <c r="D83" s="20" t="n">
        <v>1500</v>
      </c>
    </row>
    <row r="84">
      <c r="B84" s="18" t="inlineStr">
        <is>
          <t xml:space="preserve">  Accounts receivable</t>
        </is>
      </c>
      <c r="D84" s="20" t="n">
        <v>130</v>
      </c>
    </row>
    <row r="85">
      <c r="B85" s="18" t="inlineStr">
        <is>
          <t xml:space="preserve">  PP&amp;E, net</t>
        </is>
      </c>
      <c r="D85" s="20" t="n">
        <v>100</v>
      </c>
    </row>
    <row r="86">
      <c r="B86" s="18" t="inlineStr">
        <is>
          <t xml:space="preserve">  Goodwill and intangibles</t>
        </is>
      </c>
      <c r="D86" s="20" t="n">
        <v>350</v>
      </c>
    </row>
    <row r="87">
      <c r="B87" s="18" t="inlineStr">
        <is>
          <t xml:space="preserve">  Other assets</t>
        </is>
      </c>
      <c r="D87" s="20" t="n">
        <v>120</v>
      </c>
    </row>
    <row r="88">
      <c r="B88" s="18" t="inlineStr">
        <is>
          <t xml:space="preserve">  Deferred revenue</t>
        </is>
      </c>
      <c r="D88" s="20" t="n">
        <v>90</v>
      </c>
    </row>
    <row r="89">
      <c r="B89" s="18" t="inlineStr">
        <is>
          <t xml:space="preserve">  Other liabilities</t>
        </is>
      </c>
      <c r="D89" s="20" t="n">
        <v>110</v>
      </c>
    </row>
    <row r="90">
      <c r="B90" s="18" t="inlineStr">
        <is>
          <t xml:space="preserve">  Debt</t>
        </is>
      </c>
      <c r="D90" s="20" t="n">
        <v>0</v>
      </c>
    </row>
    <row r="91">
      <c r="B91" s="18" t="inlineStr">
        <is>
          <t xml:space="preserve">  Paid-in capital (incl accumulated SBC)</t>
        </is>
      </c>
      <c r="D91" s="20" t="n">
        <v>2900</v>
      </c>
    </row>
    <row r="92">
      <c r="B92" s="18" t="inlineStr">
        <is>
          <t xml:space="preserve">  Accumulated deficit</t>
        </is>
      </c>
      <c r="D92" s="20" t="n">
        <v>-900</v>
      </c>
    </row>
    <row r="93">
      <c r="P93" s="3" t="inlineStr">
        <is>
          <t>Estimated from cumulative equity raised pre-Series G, cumulative burn and early acquisitions. Labeled estimate throughout.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B2:P31"/>
  <sheetViews>
    <sheetView showGridLines="0" workbookViewId="0">
      <selection activeCell="A1" sqref="A1"/>
    </sheetView>
  </sheetViews>
  <sheetFormatPr baseColWidth="8" defaultRowHeight="15"/>
  <cols>
    <col width="2" customWidth="1" min="1" max="1"/>
    <col width="46" customWidth="1" min="2" max="2"/>
    <col width="3"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2" customWidth="1" min="15" max="15"/>
    <col width="70" customWidth="1" min="16" max="16"/>
  </cols>
  <sheetData>
    <row r="2">
      <c r="B2" s="9" t="inlineStr">
        <is>
          <t>Revenue Build: where every dollar comes from</t>
        </is>
      </c>
    </row>
    <row r="3">
      <c r="B3" s="10" t="inlineStr">
        <is>
          <t>Primary build is by product line (sums to total). Below it, the same total is decomposed two ways: by customer tier, and by platform consumption (DBUs). USD M unless stated.</t>
        </is>
      </c>
    </row>
    <row r="5">
      <c r="B5" s="28" t="n"/>
      <c r="D5" s="15" t="inlineStr">
        <is>
          <t>FY2022A</t>
        </is>
      </c>
      <c r="E5" s="15" t="inlineStr">
        <is>
          <t>FY2023A</t>
        </is>
      </c>
      <c r="F5" s="15" t="inlineStr">
        <is>
          <t>FY2024A</t>
        </is>
      </c>
      <c r="G5" s="15" t="inlineStr">
        <is>
          <t>FY2025A</t>
        </is>
      </c>
      <c r="H5" s="15" t="inlineStr">
        <is>
          <t>FY2026A</t>
        </is>
      </c>
      <c r="I5" s="15" t="inlineStr">
        <is>
          <t>FY2027E</t>
        </is>
      </c>
      <c r="J5" s="15" t="inlineStr">
        <is>
          <t>FY2028E</t>
        </is>
      </c>
      <c r="K5" s="15" t="inlineStr">
        <is>
          <t>FY2029E</t>
        </is>
      </c>
      <c r="L5" s="15" t="inlineStr">
        <is>
          <t>FY2030E</t>
        </is>
      </c>
      <c r="M5" s="15" t="inlineStr">
        <is>
          <t>FY2031E</t>
        </is>
      </c>
      <c r="N5" s="15" t="inlineStr">
        <is>
          <t>FY2032E</t>
        </is>
      </c>
    </row>
    <row r="6">
      <c r="B6" s="12" t="inlineStr">
        <is>
          <t>A. BY PRODUCT LINE (the primary build)</t>
        </is>
      </c>
      <c r="C6" s="13" t="n"/>
      <c r="D6" s="13" t="n"/>
      <c r="E6" s="13" t="n"/>
      <c r="F6" s="13" t="n"/>
      <c r="G6" s="13" t="n"/>
      <c r="H6" s="13" t="n"/>
      <c r="I6" s="13" t="n"/>
      <c r="J6" s="13" t="n"/>
      <c r="K6" s="13" t="n"/>
      <c r="L6" s="13" t="n"/>
      <c r="M6" s="13" t="n"/>
      <c r="N6" s="13" t="n"/>
    </row>
    <row r="7">
      <c r="B7" s="29" t="inlineStr">
        <is>
          <t xml:space="preserve">  Data engineering and core compute (Jobs, ETL, Lakeflow, streaming)</t>
        </is>
      </c>
      <c r="D7" s="20">
        <f>Assumptions!D9</f>
        <v/>
      </c>
      <c r="E7" s="20">
        <f>Assumptions!E9</f>
        <v/>
      </c>
      <c r="F7" s="20">
        <f>Assumptions!F9</f>
        <v/>
      </c>
      <c r="G7" s="20">
        <f>Assumptions!G9</f>
        <v/>
      </c>
      <c r="H7" s="20">
        <f>Assumptions!H9</f>
        <v/>
      </c>
      <c r="I7" s="20">
        <f>Assumptions!I9</f>
        <v/>
      </c>
      <c r="J7" s="20">
        <f>I7*(1+CHOOSE(Assumptions!$D$5,Assumptions!J16,Assumptions!J17,Assumptions!J18))</f>
        <v/>
      </c>
      <c r="K7" s="20">
        <f>J7*(1+CHOOSE(Assumptions!$D$5,Assumptions!K16,Assumptions!K17,Assumptions!K18))</f>
        <v/>
      </c>
      <c r="L7" s="20">
        <f>K7*(1+CHOOSE(Assumptions!$D$5,Assumptions!L16,Assumptions!L17,Assumptions!L18))</f>
        <v/>
      </c>
      <c r="M7" s="20">
        <f>L7*(1+CHOOSE(Assumptions!$D$5,Assumptions!M16,Assumptions!M17,Assumptions!M18))</f>
        <v/>
      </c>
      <c r="N7" s="20">
        <f>M7*(1+CHOOSE(Assumptions!$D$5,Assumptions!N16,Assumptions!N17,Assumptions!N18))</f>
        <v/>
      </c>
    </row>
    <row r="8">
      <c r="B8" s="29" t="inlineStr">
        <is>
          <t xml:space="preserve">  Databricks SQL (data warehousing)</t>
        </is>
      </c>
      <c r="D8" s="20">
        <f>Assumptions!D10</f>
        <v/>
      </c>
      <c r="E8" s="20">
        <f>Assumptions!E10</f>
        <v/>
      </c>
      <c r="F8" s="20">
        <f>Assumptions!F10</f>
        <v/>
      </c>
      <c r="G8" s="20">
        <f>Assumptions!G10</f>
        <v/>
      </c>
      <c r="H8" s="20">
        <f>Assumptions!H10</f>
        <v/>
      </c>
      <c r="I8" s="20">
        <f>Assumptions!I10</f>
        <v/>
      </c>
      <c r="J8" s="20">
        <f>I8*(1+CHOOSE(Assumptions!$D$5,Assumptions!J19,Assumptions!J20,Assumptions!J21))</f>
        <v/>
      </c>
      <c r="K8" s="20">
        <f>J8*(1+CHOOSE(Assumptions!$D$5,Assumptions!K19,Assumptions!K20,Assumptions!K21))</f>
        <v/>
      </c>
      <c r="L8" s="20">
        <f>K8*(1+CHOOSE(Assumptions!$D$5,Assumptions!L19,Assumptions!L20,Assumptions!L21))</f>
        <v/>
      </c>
      <c r="M8" s="20">
        <f>L8*(1+CHOOSE(Assumptions!$D$5,Assumptions!M19,Assumptions!M20,Assumptions!M21))</f>
        <v/>
      </c>
      <c r="N8" s="20">
        <f>M8*(1+CHOOSE(Assumptions!$D$5,Assumptions!N19,Assumptions!N20,Assumptions!N21))</f>
        <v/>
      </c>
    </row>
    <row r="9">
      <c r="B9" s="29" t="inlineStr">
        <is>
          <t xml:space="preserve">  AI products (Mosaic AI: training, serving, Agent Bricks, tokens)</t>
        </is>
      </c>
      <c r="D9" s="20">
        <f>Assumptions!D11</f>
        <v/>
      </c>
      <c r="E9" s="20">
        <f>Assumptions!E11</f>
        <v/>
      </c>
      <c r="F9" s="20">
        <f>Assumptions!F11</f>
        <v/>
      </c>
      <c r="G9" s="20">
        <f>Assumptions!G11</f>
        <v/>
      </c>
      <c r="H9" s="20">
        <f>Assumptions!H11</f>
        <v/>
      </c>
      <c r="I9" s="20">
        <f>Assumptions!I11</f>
        <v/>
      </c>
      <c r="J9" s="20">
        <f>I9*(1+CHOOSE(Assumptions!$D$5,Assumptions!J22,Assumptions!J23,Assumptions!J24))</f>
        <v/>
      </c>
      <c r="K9" s="20">
        <f>J9*(1+CHOOSE(Assumptions!$D$5,Assumptions!K22,Assumptions!K23,Assumptions!K24))</f>
        <v/>
      </c>
      <c r="L9" s="20">
        <f>K9*(1+CHOOSE(Assumptions!$D$5,Assumptions!L22,Assumptions!L23,Assumptions!L24))</f>
        <v/>
      </c>
      <c r="M9" s="20">
        <f>L9*(1+CHOOSE(Assumptions!$D$5,Assumptions!M22,Assumptions!M23,Assumptions!M24))</f>
        <v/>
      </c>
      <c r="N9" s="20">
        <f>M9*(1+CHOOSE(Assumptions!$D$5,Assumptions!N22,Assumptions!N23,Assumptions!N24))</f>
        <v/>
      </c>
    </row>
    <row r="10">
      <c r="B10" s="29" t="inlineStr">
        <is>
          <t xml:space="preserve">  Lakebase (managed Postgres OLTP)</t>
        </is>
      </c>
      <c r="D10" s="20">
        <f>Assumptions!D12</f>
        <v/>
      </c>
      <c r="E10" s="20">
        <f>Assumptions!E12</f>
        <v/>
      </c>
      <c r="F10" s="20">
        <f>Assumptions!F12</f>
        <v/>
      </c>
      <c r="G10" s="20">
        <f>Assumptions!G12</f>
        <v/>
      </c>
      <c r="H10" s="20">
        <f>Assumptions!H12</f>
        <v/>
      </c>
      <c r="I10" s="20">
        <f>Assumptions!I12</f>
        <v/>
      </c>
      <c r="J10" s="20">
        <f>I10*(1+CHOOSE(Assumptions!$D$5,Assumptions!J25,Assumptions!J26,Assumptions!J27))</f>
        <v/>
      </c>
      <c r="K10" s="20">
        <f>J10*(1+CHOOSE(Assumptions!$D$5,Assumptions!K25,Assumptions!K26,Assumptions!K27))</f>
        <v/>
      </c>
      <c r="L10" s="20">
        <f>K10*(1+CHOOSE(Assumptions!$D$5,Assumptions!L25,Assumptions!L26,Assumptions!L27))</f>
        <v/>
      </c>
      <c r="M10" s="20">
        <f>L10*(1+CHOOSE(Assumptions!$D$5,Assumptions!M25,Assumptions!M26,Assumptions!M27))</f>
        <v/>
      </c>
      <c r="N10" s="20">
        <f>M10*(1+CHOOSE(Assumptions!$D$5,Assumptions!N25,Assumptions!N26,Assumptions!N27))</f>
        <v/>
      </c>
    </row>
    <row r="11">
      <c r="B11" s="29" t="inlineStr">
        <is>
          <t xml:space="preserve">  Platform and other (governance premium, security lakehouse, marketplace)</t>
        </is>
      </c>
      <c r="D11" s="20">
        <f>Assumptions!D13</f>
        <v/>
      </c>
      <c r="E11" s="20">
        <f>Assumptions!E13</f>
        <v/>
      </c>
      <c r="F11" s="20">
        <f>Assumptions!F13</f>
        <v/>
      </c>
      <c r="G11" s="20">
        <f>Assumptions!G13</f>
        <v/>
      </c>
      <c r="H11" s="20">
        <f>Assumptions!H13</f>
        <v/>
      </c>
      <c r="I11" s="20">
        <f>Assumptions!I13</f>
        <v/>
      </c>
      <c r="J11" s="20">
        <f>I11*(1+CHOOSE(Assumptions!$D$5,Assumptions!J28,Assumptions!J29,Assumptions!J30))</f>
        <v/>
      </c>
      <c r="K11" s="20">
        <f>J11*(1+CHOOSE(Assumptions!$D$5,Assumptions!K28,Assumptions!K29,Assumptions!K30))</f>
        <v/>
      </c>
      <c r="L11" s="20">
        <f>K11*(1+CHOOSE(Assumptions!$D$5,Assumptions!L28,Assumptions!L29,Assumptions!L30))</f>
        <v/>
      </c>
      <c r="M11" s="20">
        <f>L11*(1+CHOOSE(Assumptions!$D$5,Assumptions!M28,Assumptions!M29,Assumptions!M30))</f>
        <v/>
      </c>
      <c r="N11" s="20">
        <f>M11*(1+CHOOSE(Assumptions!$D$5,Assumptions!N28,Assumptions!N29,Assumptions!N30))</f>
        <v/>
      </c>
    </row>
    <row r="12">
      <c r="B12" s="35" t="inlineStr">
        <is>
          <t>Total revenue</t>
        </is>
      </c>
      <c r="D12" s="36">
        <f>SUM(D7:D11)</f>
        <v/>
      </c>
      <c r="E12" s="36">
        <f>SUM(E7:E11)</f>
        <v/>
      </c>
      <c r="F12" s="36">
        <f>SUM(F7:F11)</f>
        <v/>
      </c>
      <c r="G12" s="36">
        <f>SUM(G7:G11)</f>
        <v/>
      </c>
      <c r="H12" s="36">
        <f>SUM(H7:H11)</f>
        <v/>
      </c>
      <c r="I12" s="36">
        <f>SUM(I7:I11)</f>
        <v/>
      </c>
      <c r="J12" s="36">
        <f>SUM(J7:J11)</f>
        <v/>
      </c>
      <c r="K12" s="36">
        <f>SUM(K7:K11)</f>
        <v/>
      </c>
      <c r="L12" s="36">
        <f>SUM(L7:L11)</f>
        <v/>
      </c>
      <c r="M12" s="36">
        <f>SUM(M7:M11)</f>
        <v/>
      </c>
      <c r="N12" s="36">
        <f>SUM(N7:N11)</f>
        <v/>
      </c>
      <c r="P12" s="3" t="inlineStr">
        <is>
          <t>Sum of product lines. Calibrated to disclosed run-rates: ~$1.6B FY24 (press, Mar-2024); run-rate $4.0B Sep-25, $4.8B Dec-25, $5.4B Feb-26, $6.9B Jun-26 (company).</t>
        </is>
      </c>
    </row>
    <row r="13">
      <c r="B13" s="29" t="inlineStr">
        <is>
          <t xml:space="preserve">  Total growth, year over year</t>
        </is>
      </c>
      <c r="D13" s="19" t="inlineStr"/>
      <c r="E13" s="19">
        <f>E12/D12-1</f>
        <v/>
      </c>
      <c r="F13" s="19">
        <f>F12/E12-1</f>
        <v/>
      </c>
      <c r="G13" s="19">
        <f>G12/F12-1</f>
        <v/>
      </c>
      <c r="H13" s="19">
        <f>H12/G12-1</f>
        <v/>
      </c>
      <c r="I13" s="19">
        <f>I12/H12-1</f>
        <v/>
      </c>
      <c r="J13" s="19">
        <f>J12/I12-1</f>
        <v/>
      </c>
      <c r="K13" s="19">
        <f>K12/J12-1</f>
        <v/>
      </c>
      <c r="L13" s="19">
        <f>L12/K12-1</f>
        <v/>
      </c>
      <c r="M13" s="19">
        <f>M12/L12-1</f>
        <v/>
      </c>
      <c r="N13" s="19">
        <f>N12/M12-1</f>
        <v/>
      </c>
    </row>
    <row r="15">
      <c r="B15" s="12" t="inlineStr">
        <is>
          <t xml:space="preserve">  Product mix, % of revenue</t>
        </is>
      </c>
      <c r="C15" s="13" t="n"/>
      <c r="D15" s="13" t="n"/>
      <c r="E15" s="13" t="n"/>
      <c r="F15" s="13" t="n"/>
      <c r="G15" s="13" t="n"/>
      <c r="H15" s="13" t="n"/>
      <c r="I15" s="13" t="n"/>
      <c r="J15" s="13" t="n"/>
      <c r="K15" s="13" t="n"/>
      <c r="L15" s="13" t="n"/>
      <c r="M15" s="13" t="n"/>
      <c r="N15" s="13" t="n"/>
    </row>
    <row r="16">
      <c r="B16" s="37" t="inlineStr">
        <is>
          <t xml:space="preserve">  Core</t>
        </is>
      </c>
      <c r="D16" s="19">
        <f>D7/D12</f>
        <v/>
      </c>
      <c r="E16" s="19">
        <f>E7/E12</f>
        <v/>
      </c>
      <c r="F16" s="19">
        <f>F7/F12</f>
        <v/>
      </c>
      <c r="G16" s="19">
        <f>G7/G12</f>
        <v/>
      </c>
      <c r="H16" s="19">
        <f>H7/H12</f>
        <v/>
      </c>
      <c r="I16" s="19">
        <f>I7/I12</f>
        <v/>
      </c>
      <c r="J16" s="19">
        <f>J7/J12</f>
        <v/>
      </c>
      <c r="K16" s="19">
        <f>K7/K12</f>
        <v/>
      </c>
      <c r="L16" s="19">
        <f>L7/L12</f>
        <v/>
      </c>
      <c r="M16" s="19">
        <f>M7/M12</f>
        <v/>
      </c>
      <c r="N16" s="19">
        <f>N7/N12</f>
        <v/>
      </c>
    </row>
    <row r="17">
      <c r="B17" s="37" t="inlineStr">
        <is>
          <t xml:space="preserve">  SQL</t>
        </is>
      </c>
      <c r="D17" s="19">
        <f>D8/D12</f>
        <v/>
      </c>
      <c r="E17" s="19">
        <f>E8/E12</f>
        <v/>
      </c>
      <c r="F17" s="19">
        <f>F8/F12</f>
        <v/>
      </c>
      <c r="G17" s="19">
        <f>G8/G12</f>
        <v/>
      </c>
      <c r="H17" s="19">
        <f>H8/H12</f>
        <v/>
      </c>
      <c r="I17" s="19">
        <f>I8/I12</f>
        <v/>
      </c>
      <c r="J17" s="19">
        <f>J8/J12</f>
        <v/>
      </c>
      <c r="K17" s="19">
        <f>K8/K12</f>
        <v/>
      </c>
      <c r="L17" s="19">
        <f>L8/L12</f>
        <v/>
      </c>
      <c r="M17" s="19">
        <f>M8/M12</f>
        <v/>
      </c>
      <c r="N17" s="19">
        <f>N8/N12</f>
        <v/>
      </c>
    </row>
    <row r="18">
      <c r="B18" s="37" t="inlineStr">
        <is>
          <t xml:space="preserve">  AI</t>
        </is>
      </c>
      <c r="D18" s="19">
        <f>D9/D12</f>
        <v/>
      </c>
      <c r="E18" s="19">
        <f>E9/E12</f>
        <v/>
      </c>
      <c r="F18" s="19">
        <f>F9/F12</f>
        <v/>
      </c>
      <c r="G18" s="19">
        <f>G9/G12</f>
        <v/>
      </c>
      <c r="H18" s="19">
        <f>H9/H12</f>
        <v/>
      </c>
      <c r="I18" s="19">
        <f>I9/I12</f>
        <v/>
      </c>
      <c r="J18" s="19">
        <f>J9/J12</f>
        <v/>
      </c>
      <c r="K18" s="19">
        <f>K9/K12</f>
        <v/>
      </c>
      <c r="L18" s="19">
        <f>L9/L12</f>
        <v/>
      </c>
      <c r="M18" s="19">
        <f>M9/M12</f>
        <v/>
      </c>
      <c r="N18" s="19">
        <f>N9/N12</f>
        <v/>
      </c>
    </row>
    <row r="19">
      <c r="B19" s="37" t="inlineStr">
        <is>
          <t xml:space="preserve">  Lakebase</t>
        </is>
      </c>
      <c r="D19" s="19">
        <f>D10/D12</f>
        <v/>
      </c>
      <c r="E19" s="19">
        <f>E10/E12</f>
        <v/>
      </c>
      <c r="F19" s="19">
        <f>F10/F12</f>
        <v/>
      </c>
      <c r="G19" s="19">
        <f>G10/G12</f>
        <v/>
      </c>
      <c r="H19" s="19">
        <f>H10/H12</f>
        <v/>
      </c>
      <c r="I19" s="19">
        <f>I10/I12</f>
        <v/>
      </c>
      <c r="J19" s="19">
        <f>J10/J12</f>
        <v/>
      </c>
      <c r="K19" s="19">
        <f>K10/K12</f>
        <v/>
      </c>
      <c r="L19" s="19">
        <f>L10/L12</f>
        <v/>
      </c>
      <c r="M19" s="19">
        <f>M10/M12</f>
        <v/>
      </c>
      <c r="N19" s="19">
        <f>N10/N12</f>
        <v/>
      </c>
    </row>
    <row r="20">
      <c r="B20" s="37" t="inlineStr">
        <is>
          <t xml:space="preserve">  Platform</t>
        </is>
      </c>
      <c r="D20" s="19">
        <f>D11/D12</f>
        <v/>
      </c>
      <c r="E20" s="19">
        <f>E11/E12</f>
        <v/>
      </c>
      <c r="F20" s="19">
        <f>F11/F12</f>
        <v/>
      </c>
      <c r="G20" s="19">
        <f>G11/G12</f>
        <v/>
      </c>
      <c r="H20" s="19">
        <f>H11/H12</f>
        <v/>
      </c>
      <c r="I20" s="19">
        <f>I11/I12</f>
        <v/>
      </c>
      <c r="J20" s="19">
        <f>J11/J12</f>
        <v/>
      </c>
      <c r="K20" s="19">
        <f>K11/K12</f>
        <v/>
      </c>
      <c r="L20" s="19">
        <f>L11/L12</f>
        <v/>
      </c>
      <c r="M20" s="19">
        <f>M11/M12</f>
        <v/>
      </c>
      <c r="N20" s="19">
        <f>N11/N12</f>
        <v/>
      </c>
    </row>
    <row r="22">
      <c r="B22" s="12" t="inlineStr">
        <is>
          <t>B. CROSS-CHECK: by customer tier (top tiers anchored to disclosure)</t>
        </is>
      </c>
      <c r="C22" s="13" t="n"/>
      <c r="D22" s="13" t="n"/>
      <c r="E22" s="13" t="n"/>
      <c r="F22" s="13" t="n"/>
      <c r="G22" s="13" t="n"/>
      <c r="H22" s="13" t="n"/>
      <c r="I22" s="13" t="n"/>
      <c r="J22" s="13" t="n"/>
      <c r="K22" s="13" t="n"/>
      <c r="L22" s="13" t="n"/>
      <c r="M22" s="13" t="n"/>
      <c r="N22" s="13" t="n"/>
    </row>
    <row r="23">
      <c r="B23" s="29" t="inlineStr">
        <is>
          <t xml:space="preserve">  Revenue from customers &gt;$10M / yr</t>
        </is>
      </c>
      <c r="D23" s="20">
        <f>Assumptions!D62*Assumptions!D63</f>
        <v/>
      </c>
      <c r="E23" s="20">
        <f>Assumptions!E62*Assumptions!E63</f>
        <v/>
      </c>
      <c r="F23" s="20">
        <f>Assumptions!F62*Assumptions!F63</f>
        <v/>
      </c>
      <c r="G23" s="20">
        <f>Assumptions!G62*Assumptions!G63</f>
        <v/>
      </c>
      <c r="H23" s="20">
        <f>Assumptions!H62*Assumptions!H63</f>
        <v/>
      </c>
      <c r="I23" s="20">
        <f>Assumptions!I62*Assumptions!I63</f>
        <v/>
      </c>
      <c r="J23" s="20">
        <f>Assumptions!J62*Assumptions!J63</f>
        <v/>
      </c>
      <c r="K23" s="20">
        <f>Assumptions!K62*Assumptions!K63</f>
        <v/>
      </c>
      <c r="L23" s="20">
        <f>Assumptions!L62*Assumptions!L63</f>
        <v/>
      </c>
      <c r="M23" s="20">
        <f>Assumptions!M62*Assumptions!M63</f>
        <v/>
      </c>
      <c r="N23" s="20">
        <f>Assumptions!N62*Assumptions!N63</f>
        <v/>
      </c>
    </row>
    <row r="24">
      <c r="B24" s="29" t="inlineStr">
        <is>
          <t xml:space="preserve">  Revenue from customers $1-10M / yr</t>
        </is>
      </c>
      <c r="D24" s="20">
        <f>Assumptions!D64*Assumptions!D65</f>
        <v/>
      </c>
      <c r="E24" s="20">
        <f>Assumptions!E64*Assumptions!E65</f>
        <v/>
      </c>
      <c r="F24" s="20">
        <f>Assumptions!F64*Assumptions!F65</f>
        <v/>
      </c>
      <c r="G24" s="20">
        <f>Assumptions!G64*Assumptions!G65</f>
        <v/>
      </c>
      <c r="H24" s="20">
        <f>Assumptions!H64*Assumptions!H65</f>
        <v/>
      </c>
      <c r="I24" s="20">
        <f>Assumptions!I64*Assumptions!I65</f>
        <v/>
      </c>
      <c r="J24" s="20">
        <f>Assumptions!J64*Assumptions!J65</f>
        <v/>
      </c>
      <c r="K24" s="20">
        <f>Assumptions!K64*Assumptions!K65</f>
        <v/>
      </c>
      <c r="L24" s="20">
        <f>Assumptions!L64*Assumptions!L65</f>
        <v/>
      </c>
      <c r="M24" s="20">
        <f>Assumptions!M64*Assumptions!M65</f>
        <v/>
      </c>
      <c r="N24" s="20">
        <f>Assumptions!N64*Assumptions!N65</f>
        <v/>
      </c>
    </row>
    <row r="25">
      <c r="B25" s="29" t="inlineStr">
        <is>
          <t xml:space="preserve">  Revenue from the long tail (implied residual)</t>
        </is>
      </c>
      <c r="D25" s="20">
        <f>D12-D23-D24</f>
        <v/>
      </c>
      <c r="E25" s="20">
        <f>E12-E23-E24</f>
        <v/>
      </c>
      <c r="F25" s="20">
        <f>F12-F23-F24</f>
        <v/>
      </c>
      <c r="G25" s="20">
        <f>G12-G23-G24</f>
        <v/>
      </c>
      <c r="H25" s="20">
        <f>H12-H23-H24</f>
        <v/>
      </c>
      <c r="I25" s="20">
        <f>I12-I23-I24</f>
        <v/>
      </c>
      <c r="J25" s="20">
        <f>J12-J23-J24</f>
        <v/>
      </c>
      <c r="K25" s="20">
        <f>K12-K23-K24</f>
        <v/>
      </c>
      <c r="L25" s="20">
        <f>L12-L23-L24</f>
        <v/>
      </c>
      <c r="M25" s="20">
        <f>M12-M23-M24</f>
        <v/>
      </c>
      <c r="N25" s="20">
        <f>N12-N23-N24</f>
        <v/>
      </c>
    </row>
    <row r="26">
      <c r="B26" s="38" t="inlineStr">
        <is>
          <t xml:space="preserve">  Memo: implied long-tail average spend (USD 000)</t>
        </is>
      </c>
      <c r="D26" s="20">
        <f>D25/Assumptions!D66</f>
        <v/>
      </c>
      <c r="E26" s="20">
        <f>E25/Assumptions!E66</f>
        <v/>
      </c>
      <c r="F26" s="20">
        <f>F25/Assumptions!F66</f>
        <v/>
      </c>
      <c r="G26" s="20">
        <f>G25/Assumptions!G66</f>
        <v/>
      </c>
      <c r="H26" s="20">
        <f>H25/Assumptions!H66</f>
        <v/>
      </c>
      <c r="I26" s="20">
        <f>I25/Assumptions!I66</f>
        <v/>
      </c>
      <c r="J26" s="20">
        <f>J25/Assumptions!J66</f>
        <v/>
      </c>
      <c r="K26" s="20">
        <f>K25/Assumptions!K66</f>
        <v/>
      </c>
      <c r="L26" s="20">
        <f>L25/Assumptions!L66</f>
        <v/>
      </c>
      <c r="M26" s="20">
        <f>M25/Assumptions!M66</f>
        <v/>
      </c>
      <c r="N26" s="20">
        <f>N25/Assumptions!N66</f>
        <v/>
      </c>
      <c r="P26" s="3" t="inlineStr">
        <is>
          <t>Given the disclosed large-account tiers, this is the average annual spend the total implies for the ~20k+ (rising) long-tail organizations.</t>
        </is>
      </c>
    </row>
    <row r="27">
      <c r="B27" s="38" t="inlineStr">
        <is>
          <t xml:space="preserve">  Check: tiers vs total revenue</t>
        </is>
      </c>
      <c r="D27" s="33">
        <f>D23+D24+D25-D12</f>
        <v/>
      </c>
      <c r="E27" s="33">
        <f>E23+E24+E25-E12</f>
        <v/>
      </c>
      <c r="F27" s="33">
        <f>F23+F24+F25-F12</f>
        <v/>
      </c>
      <c r="G27" s="33">
        <f>G23+G24+G25-G12</f>
        <v/>
      </c>
      <c r="H27" s="33">
        <f>H23+H24+H25-H12</f>
        <v/>
      </c>
      <c r="I27" s="33">
        <f>I23+I24+I25-I12</f>
        <v/>
      </c>
      <c r="J27" s="33">
        <f>J23+J24+J25-J12</f>
        <v/>
      </c>
      <c r="K27" s="33">
        <f>K23+K24+K25-K12</f>
        <v/>
      </c>
      <c r="L27" s="33">
        <f>L23+L24+L25-L12</f>
        <v/>
      </c>
      <c r="M27" s="33">
        <f>M23+M24+M25-M12</f>
        <v/>
      </c>
      <c r="N27" s="33">
        <f>N23+N24+N25-N12</f>
        <v/>
      </c>
    </row>
    <row r="29">
      <c r="B29" s="12" t="inlineStr">
        <is>
          <t>C. CROSS-CHECK: by platform consumption (the DBU meter)</t>
        </is>
      </c>
      <c r="C29" s="13" t="n"/>
      <c r="D29" s="13" t="n"/>
      <c r="E29" s="13" t="n"/>
      <c r="F29" s="13" t="n"/>
      <c r="G29" s="13" t="n"/>
      <c r="H29" s="13" t="n"/>
      <c r="I29" s="13" t="n"/>
      <c r="J29" s="13" t="n"/>
      <c r="K29" s="13" t="n"/>
      <c r="L29" s="13" t="n"/>
      <c r="M29" s="13" t="n"/>
      <c r="N29" s="13" t="n"/>
    </row>
    <row r="30">
      <c r="B30" s="29" t="inlineStr">
        <is>
          <t xml:space="preserve">  Blended realized price per DBU (USD)</t>
        </is>
      </c>
      <c r="D30" s="34">
        <f>Assumptions!D69</f>
        <v/>
      </c>
      <c r="E30" s="34">
        <f>Assumptions!E69</f>
        <v/>
      </c>
      <c r="F30" s="34">
        <f>Assumptions!F69</f>
        <v/>
      </c>
      <c r="G30" s="34">
        <f>Assumptions!G69</f>
        <v/>
      </c>
      <c r="H30" s="34">
        <f>Assumptions!H69</f>
        <v/>
      </c>
      <c r="I30" s="34">
        <f>Assumptions!I69</f>
        <v/>
      </c>
      <c r="J30" s="34">
        <f>Assumptions!J69</f>
        <v/>
      </c>
      <c r="K30" s="34">
        <f>Assumptions!K69</f>
        <v/>
      </c>
      <c r="L30" s="34">
        <f>Assumptions!L69</f>
        <v/>
      </c>
      <c r="M30" s="34">
        <f>Assumptions!M69</f>
        <v/>
      </c>
      <c r="N30" s="34">
        <f>Assumptions!N69</f>
        <v/>
      </c>
    </row>
    <row r="31">
      <c r="B31" s="29" t="inlineStr">
        <is>
          <t xml:space="preserve">  Implied DBUs consumed (billions)</t>
        </is>
      </c>
      <c r="D31" s="32">
        <f>D12/D30/1000</f>
        <v/>
      </c>
      <c r="E31" s="32">
        <f>E12/E30/1000</f>
        <v/>
      </c>
      <c r="F31" s="32">
        <f>F12/F30/1000</f>
        <v/>
      </c>
      <c r="G31" s="32">
        <f>G12/G30/1000</f>
        <v/>
      </c>
      <c r="H31" s="32">
        <f>H12/H30/1000</f>
        <v/>
      </c>
      <c r="I31" s="32">
        <f>I12/I30/1000</f>
        <v/>
      </c>
      <c r="J31" s="32">
        <f>J12/J30/1000</f>
        <v/>
      </c>
      <c r="K31" s="32">
        <f>K12/K30/1000</f>
        <v/>
      </c>
      <c r="L31" s="32">
        <f>L12/L30/1000</f>
        <v/>
      </c>
      <c r="M31" s="32">
        <f>M12/M30/1000</f>
        <v/>
      </c>
      <c r="N31" s="32">
        <f>N12/N30/1000</f>
        <v/>
      </c>
      <c r="P31" s="3" t="inlineStr">
        <is>
          <t>Revenue divided by blended price. The consumption identity: revenue = DBUs x price. Shows platform usage scale.</t>
        </is>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B2:P40"/>
  <sheetViews>
    <sheetView showGridLines="0" workbookViewId="0">
      <selection activeCell="A1" sqref="A1"/>
    </sheetView>
  </sheetViews>
  <sheetFormatPr baseColWidth="8" defaultRowHeight="15"/>
  <cols>
    <col width="2" customWidth="1" min="1" max="1"/>
    <col width="46" customWidth="1" min="2" max="2"/>
    <col width="3"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2" customWidth="1" min="15" max="15"/>
    <col width="70" customWidth="1" min="16" max="16"/>
  </cols>
  <sheetData>
    <row r="2">
      <c r="B2" s="9" t="inlineStr">
        <is>
          <t>Cost Build: where every dollar goes</t>
        </is>
      </c>
    </row>
    <row r="3">
      <c r="B3" s="10" t="inlineStr">
        <is>
          <t>Cost of revenue is built from four components, so gross margin is an output, not an input. Operating expense is built from ratios then decomposed into people, programs and facilities. USD M.</t>
        </is>
      </c>
    </row>
    <row r="5">
      <c r="B5" s="28" t="n"/>
      <c r="D5" s="15" t="inlineStr">
        <is>
          <t>FY2022A</t>
        </is>
      </c>
      <c r="E5" s="15" t="inlineStr">
        <is>
          <t>FY2023A</t>
        </is>
      </c>
      <c r="F5" s="15" t="inlineStr">
        <is>
          <t>FY2024A</t>
        </is>
      </c>
      <c r="G5" s="15" t="inlineStr">
        <is>
          <t>FY2025A</t>
        </is>
      </c>
      <c r="H5" s="15" t="inlineStr">
        <is>
          <t>FY2026A</t>
        </is>
      </c>
      <c r="I5" s="15" t="inlineStr">
        <is>
          <t>FY2027E</t>
        </is>
      </c>
      <c r="J5" s="15" t="inlineStr">
        <is>
          <t>FY2028E</t>
        </is>
      </c>
      <c r="K5" s="15" t="inlineStr">
        <is>
          <t>FY2029E</t>
        </is>
      </c>
      <c r="L5" s="15" t="inlineStr">
        <is>
          <t>FY2030E</t>
        </is>
      </c>
      <c r="M5" s="15" t="inlineStr">
        <is>
          <t>FY2031E</t>
        </is>
      </c>
      <c r="N5" s="15" t="inlineStr">
        <is>
          <t>FY2032E</t>
        </is>
      </c>
    </row>
    <row r="6">
      <c r="B6" s="12" t="inlineStr">
        <is>
          <t>A. COST OF REVENUE (gross margin is the output)</t>
        </is>
      </c>
      <c r="C6" s="13" t="n"/>
      <c r="D6" s="13" t="n"/>
      <c r="E6" s="13" t="n"/>
      <c r="F6" s="13" t="n"/>
      <c r="G6" s="13" t="n"/>
      <c r="H6" s="13" t="n"/>
      <c r="I6" s="13" t="n"/>
      <c r="J6" s="13" t="n"/>
      <c r="K6" s="13" t="n"/>
      <c r="L6" s="13" t="n"/>
      <c r="M6" s="13" t="n"/>
      <c r="N6" s="13" t="n"/>
    </row>
    <row r="7">
      <c r="B7" s="29" t="inlineStr">
        <is>
          <t xml:space="preserve">  Revenue (from Revenue tab)</t>
        </is>
      </c>
      <c r="D7" s="20">
        <f>Revenue!D12</f>
        <v/>
      </c>
      <c r="E7" s="20">
        <f>Revenue!E12</f>
        <v/>
      </c>
      <c r="F7" s="20">
        <f>Revenue!F12</f>
        <v/>
      </c>
      <c r="G7" s="20">
        <f>Revenue!G12</f>
        <v/>
      </c>
      <c r="H7" s="20">
        <f>Revenue!H12</f>
        <v/>
      </c>
      <c r="I7" s="20">
        <f>Revenue!I12</f>
        <v/>
      </c>
      <c r="J7" s="20">
        <f>Revenue!J12</f>
        <v/>
      </c>
      <c r="K7" s="20">
        <f>Revenue!K12</f>
        <v/>
      </c>
      <c r="L7" s="20">
        <f>Revenue!L12</f>
        <v/>
      </c>
      <c r="M7" s="20">
        <f>Revenue!M12</f>
        <v/>
      </c>
      <c r="N7" s="20">
        <f>Revenue!N12</f>
        <v/>
      </c>
    </row>
    <row r="8">
      <c r="B8" s="29" t="inlineStr">
        <is>
          <t xml:space="preserve">  Cloud and serverless compute</t>
        </is>
      </c>
      <c r="D8" s="20">
        <f>D7*Assumptions!D33</f>
        <v/>
      </c>
      <c r="E8" s="20">
        <f>E7*Assumptions!E33</f>
        <v/>
      </c>
      <c r="F8" s="20">
        <f>F7*Assumptions!F33</f>
        <v/>
      </c>
      <c r="G8" s="20">
        <f>G7*Assumptions!G33</f>
        <v/>
      </c>
      <c r="H8" s="20">
        <f>H7*Assumptions!H33</f>
        <v/>
      </c>
      <c r="I8" s="20">
        <f>I7*Assumptions!I33</f>
        <v/>
      </c>
      <c r="J8" s="20">
        <f>J7*Assumptions!J33</f>
        <v/>
      </c>
      <c r="K8" s="20">
        <f>K7*Assumptions!K33</f>
        <v/>
      </c>
      <c r="L8" s="20">
        <f>L7*Assumptions!L33</f>
        <v/>
      </c>
      <c r="M8" s="20">
        <f>M7*Assumptions!M33</f>
        <v/>
      </c>
      <c r="N8" s="20">
        <f>N7*Assumptions!N33</f>
        <v/>
      </c>
      <c r="P8" s="3" t="inlineStr">
        <is>
          <t>The hyperscaler bill Databricks pays for serverless and AI SKUs. Largest cost, and the one compressing margin.</t>
        </is>
      </c>
    </row>
    <row r="9">
      <c r="B9" s="29" t="inlineStr">
        <is>
          <t xml:space="preserve">  Third-party AI model and API costs</t>
        </is>
      </c>
      <c r="D9" s="20">
        <f>Revenue!D9*Assumptions!D34</f>
        <v/>
      </c>
      <c r="E9" s="20">
        <f>Revenue!E9*Assumptions!E34</f>
        <v/>
      </c>
      <c r="F9" s="20">
        <f>Revenue!F9*Assumptions!F34</f>
        <v/>
      </c>
      <c r="G9" s="20">
        <f>Revenue!G9*Assumptions!G34</f>
        <v/>
      </c>
      <c r="H9" s="20">
        <f>Revenue!H9*Assumptions!H34</f>
        <v/>
      </c>
      <c r="I9" s="20">
        <f>Revenue!I9*Assumptions!I34</f>
        <v/>
      </c>
      <c r="J9" s="20">
        <f>Revenue!J9*Assumptions!J34</f>
        <v/>
      </c>
      <c r="K9" s="20">
        <f>Revenue!K9*Assumptions!K34</f>
        <v/>
      </c>
      <c r="L9" s="20">
        <f>Revenue!L9*Assumptions!L34</f>
        <v/>
      </c>
      <c r="M9" s="20">
        <f>Revenue!M9*Assumptions!M34</f>
        <v/>
      </c>
      <c r="N9" s="20">
        <f>Revenue!N9*Assumptions!N34</f>
        <v/>
      </c>
      <c r="P9" s="3" t="inlineStr">
        <is>
          <t>Cost of serving external frontier models inside the platform (% of AI revenue).</t>
        </is>
      </c>
    </row>
    <row r="10">
      <c r="B10" s="29" t="inlineStr">
        <is>
          <t xml:space="preserve">  Support, delivery and platform ops</t>
        </is>
      </c>
      <c r="D10" s="20">
        <f>D7*Assumptions!D35</f>
        <v/>
      </c>
      <c r="E10" s="20">
        <f>E7*Assumptions!E35</f>
        <v/>
      </c>
      <c r="F10" s="20">
        <f>F7*Assumptions!F35</f>
        <v/>
      </c>
      <c r="G10" s="20">
        <f>G7*Assumptions!G35</f>
        <v/>
      </c>
      <c r="H10" s="20">
        <f>H7*Assumptions!H35</f>
        <v/>
      </c>
      <c r="I10" s="20">
        <f>I7*Assumptions!I35</f>
        <v/>
      </c>
      <c r="J10" s="20">
        <f>J7*Assumptions!J35</f>
        <v/>
      </c>
      <c r="K10" s="20">
        <f>K7*Assumptions!K35</f>
        <v/>
      </c>
      <c r="L10" s="20">
        <f>L7*Assumptions!L35</f>
        <v/>
      </c>
      <c r="M10" s="20">
        <f>M7*Assumptions!M35</f>
        <v/>
      </c>
      <c r="N10" s="20">
        <f>N7*Assumptions!N35</f>
        <v/>
      </c>
    </row>
    <row r="11">
      <c r="B11" s="29" t="inlineStr">
        <is>
          <t xml:space="preserve">  Amortization of acquired technology</t>
        </is>
      </c>
      <c r="D11" s="20">
        <f>Assumptions!D36</f>
        <v/>
      </c>
      <c r="E11" s="20">
        <f>Assumptions!E36</f>
        <v/>
      </c>
      <c r="F11" s="20">
        <f>Assumptions!F36</f>
        <v/>
      </c>
      <c r="G11" s="20">
        <f>Assumptions!G36</f>
        <v/>
      </c>
      <c r="H11" s="20">
        <f>Assumptions!H36</f>
        <v/>
      </c>
      <c r="I11" s="20">
        <f>Assumptions!I36</f>
        <v/>
      </c>
      <c r="J11" s="20">
        <f>Assumptions!J36</f>
        <v/>
      </c>
      <c r="K11" s="20">
        <f>Assumptions!K36</f>
        <v/>
      </c>
      <c r="L11" s="20">
        <f>Assumptions!L36</f>
        <v/>
      </c>
      <c r="M11" s="20">
        <f>Assumptions!M36</f>
        <v/>
      </c>
      <c r="N11" s="20">
        <f>Assumptions!N36</f>
        <v/>
      </c>
    </row>
    <row r="12">
      <c r="B12" s="35" t="inlineStr">
        <is>
          <t>Total cost of revenue</t>
        </is>
      </c>
      <c r="D12" s="24">
        <f>SUM(D8:D11)</f>
        <v/>
      </c>
      <c r="E12" s="24">
        <f>SUM(E8:E11)</f>
        <v/>
      </c>
      <c r="F12" s="24">
        <f>SUM(F8:F11)</f>
        <v/>
      </c>
      <c r="G12" s="24">
        <f>SUM(G8:G11)</f>
        <v/>
      </c>
      <c r="H12" s="24">
        <f>SUM(H8:H11)</f>
        <v/>
      </c>
      <c r="I12" s="24">
        <f>SUM(I8:I11)</f>
        <v/>
      </c>
      <c r="J12" s="24">
        <f>SUM(J8:J11)</f>
        <v/>
      </c>
      <c r="K12" s="24">
        <f>SUM(K8:K11)</f>
        <v/>
      </c>
      <c r="L12" s="24">
        <f>SUM(L8:L11)</f>
        <v/>
      </c>
      <c r="M12" s="24">
        <f>SUM(M8:M11)</f>
        <v/>
      </c>
      <c r="N12" s="24">
        <f>SUM(N8:N11)</f>
        <v/>
      </c>
    </row>
    <row r="13">
      <c r="B13" s="35" t="inlineStr">
        <is>
          <t>Gross profit</t>
        </is>
      </c>
      <c r="D13" s="36">
        <f>D7-D12</f>
        <v/>
      </c>
      <c r="E13" s="36">
        <f>E7-E12</f>
        <v/>
      </c>
      <c r="F13" s="36">
        <f>F7-F12</f>
        <v/>
      </c>
      <c r="G13" s="36">
        <f>G7-G12</f>
        <v/>
      </c>
      <c r="H13" s="36">
        <f>H7-H12</f>
        <v/>
      </c>
      <c r="I13" s="36">
        <f>I7-I12</f>
        <v/>
      </c>
      <c r="J13" s="36">
        <f>J7-J12</f>
        <v/>
      </c>
      <c r="K13" s="36">
        <f>K7-K12</f>
        <v/>
      </c>
      <c r="L13" s="36">
        <f>L7-L12</f>
        <v/>
      </c>
      <c r="M13" s="36">
        <f>M7-M12</f>
        <v/>
      </c>
      <c r="N13" s="36">
        <f>N7-N12</f>
        <v/>
      </c>
    </row>
    <row r="14">
      <c r="B14" s="35" t="inlineStr">
        <is>
          <t xml:space="preserve">  Gross margin % (OUTPUT)</t>
        </is>
      </c>
      <c r="D14" s="39">
        <f>D13/D7</f>
        <v/>
      </c>
      <c r="E14" s="39">
        <f>E13/E7</f>
        <v/>
      </c>
      <c r="F14" s="39">
        <f>F13/F7</f>
        <v/>
      </c>
      <c r="G14" s="39">
        <f>G13/G7</f>
        <v/>
      </c>
      <c r="H14" s="39">
        <f>H13/H7</f>
        <v/>
      </c>
      <c r="I14" s="39">
        <f>I13/I7</f>
        <v/>
      </c>
      <c r="J14" s="39">
        <f>J13/J7</f>
        <v/>
      </c>
      <c r="K14" s="39">
        <f>K13/K7</f>
        <v/>
      </c>
      <c r="L14" s="39">
        <f>L13/L7</f>
        <v/>
      </c>
      <c r="M14" s="39">
        <f>M13/M7</f>
        <v/>
      </c>
      <c r="N14" s="39">
        <f>N13/N7</f>
        <v/>
      </c>
      <c r="P14" s="3" t="inlineStr">
        <is>
          <t>Falls from ~85% to ~74% as serverless/AI mix grows (matches Jun-2026 disclosure), then recovers on scale efficiency.</t>
        </is>
      </c>
    </row>
    <row r="16">
      <c r="B16" s="12" t="inlineStr">
        <is>
          <t>B. OPERATING EXPENSE (ratio, then decomposed)</t>
        </is>
      </c>
      <c r="C16" s="13" t="n"/>
      <c r="D16" s="13" t="n"/>
      <c r="E16" s="13" t="n"/>
      <c r="F16" s="13" t="n"/>
      <c r="G16" s="13" t="n"/>
      <c r="H16" s="13" t="n"/>
      <c r="I16" s="13" t="n"/>
      <c r="J16" s="13" t="n"/>
      <c r="K16" s="13" t="n"/>
      <c r="L16" s="13" t="n"/>
      <c r="M16" s="13" t="n"/>
      <c r="N16" s="13" t="n"/>
    </row>
    <row r="17">
      <c r="B17" s="29" t="inlineStr">
        <is>
          <t xml:space="preserve">  Research and development</t>
        </is>
      </c>
      <c r="D17" s="20">
        <f>D7*Assumptions!D39</f>
        <v/>
      </c>
      <c r="E17" s="20">
        <f>E7*Assumptions!E39</f>
        <v/>
      </c>
      <c r="F17" s="20">
        <f>F7*Assumptions!F39</f>
        <v/>
      </c>
      <c r="G17" s="20">
        <f>G7*Assumptions!G39</f>
        <v/>
      </c>
      <c r="H17" s="20">
        <f>H7*Assumptions!H39</f>
        <v/>
      </c>
      <c r="I17" s="20">
        <f>I7*Assumptions!I39</f>
        <v/>
      </c>
      <c r="J17" s="20">
        <f>J7*Assumptions!J39</f>
        <v/>
      </c>
      <c r="K17" s="20">
        <f>K7*Assumptions!K39</f>
        <v/>
      </c>
      <c r="L17" s="20">
        <f>L7*Assumptions!L39</f>
        <v/>
      </c>
      <c r="M17" s="20">
        <f>M7*Assumptions!M39</f>
        <v/>
      </c>
      <c r="N17" s="20">
        <f>N7*Assumptions!N39</f>
        <v/>
      </c>
    </row>
    <row r="18">
      <c r="B18" s="40" t="inlineStr">
        <is>
          <t xml:space="preserve">      of which engineering personnel</t>
        </is>
      </c>
      <c r="D18" s="20">
        <f>D17*Assumptions!D47</f>
        <v/>
      </c>
      <c r="E18" s="20">
        <f>E17*Assumptions!E47</f>
        <v/>
      </c>
      <c r="F18" s="20">
        <f>F17*Assumptions!F47</f>
        <v/>
      </c>
      <c r="G18" s="20">
        <f>G17*Assumptions!G47</f>
        <v/>
      </c>
      <c r="H18" s="20">
        <f>H17*Assumptions!H47</f>
        <v/>
      </c>
      <c r="I18" s="20">
        <f>I17*Assumptions!I47</f>
        <v/>
      </c>
      <c r="J18" s="20">
        <f>J17*Assumptions!J47</f>
        <v/>
      </c>
      <c r="K18" s="20">
        <f>K17*Assumptions!K47</f>
        <v/>
      </c>
      <c r="L18" s="20">
        <f>L17*Assumptions!L47</f>
        <v/>
      </c>
      <c r="M18" s="20">
        <f>M17*Assumptions!M47</f>
        <v/>
      </c>
      <c r="N18" s="20">
        <f>N17*Assumptions!N47</f>
        <v/>
      </c>
    </row>
    <row r="19">
      <c r="B19" s="40" t="inlineStr">
        <is>
          <t xml:space="preserve">      of which dev cloud, tooling, other</t>
        </is>
      </c>
      <c r="D19" s="20">
        <f>D17*(1-Assumptions!D47)</f>
        <v/>
      </c>
      <c r="E19" s="20">
        <f>E17*(1-Assumptions!E47)</f>
        <v/>
      </c>
      <c r="F19" s="20">
        <f>F17*(1-Assumptions!F47)</f>
        <v/>
      </c>
      <c r="G19" s="20">
        <f>G17*(1-Assumptions!G47)</f>
        <v/>
      </c>
      <c r="H19" s="20">
        <f>H17*(1-Assumptions!H47)</f>
        <v/>
      </c>
      <c r="I19" s="20">
        <f>I17*(1-Assumptions!I47)</f>
        <v/>
      </c>
      <c r="J19" s="20">
        <f>J17*(1-Assumptions!J47)</f>
        <v/>
      </c>
      <c r="K19" s="20">
        <f>K17*(1-Assumptions!K47)</f>
        <v/>
      </c>
      <c r="L19" s="20">
        <f>L17*(1-Assumptions!L47)</f>
        <v/>
      </c>
      <c r="M19" s="20">
        <f>M17*(1-Assumptions!M47)</f>
        <v/>
      </c>
      <c r="N19" s="20">
        <f>N17*(1-Assumptions!N47)</f>
        <v/>
      </c>
    </row>
    <row r="20">
      <c r="B20" s="29" t="inlineStr">
        <is>
          <t xml:space="preserve">  Sales and marketing</t>
        </is>
      </c>
      <c r="D20" s="20">
        <f>D7*Assumptions!D40</f>
        <v/>
      </c>
      <c r="E20" s="20">
        <f>E7*Assumptions!E40</f>
        <v/>
      </c>
      <c r="F20" s="20">
        <f>F7*Assumptions!F40</f>
        <v/>
      </c>
      <c r="G20" s="20">
        <f>G7*Assumptions!G40</f>
        <v/>
      </c>
      <c r="H20" s="20">
        <f>H7*Assumptions!H40</f>
        <v/>
      </c>
      <c r="I20" s="20">
        <f>I7*Assumptions!I40</f>
        <v/>
      </c>
      <c r="J20" s="20">
        <f>J7*Assumptions!J40</f>
        <v/>
      </c>
      <c r="K20" s="20">
        <f>K7*Assumptions!K40</f>
        <v/>
      </c>
      <c r="L20" s="20">
        <f>L7*Assumptions!L40</f>
        <v/>
      </c>
      <c r="M20" s="20">
        <f>M7*Assumptions!M40</f>
        <v/>
      </c>
      <c r="N20" s="20">
        <f>N7*Assumptions!N40</f>
        <v/>
      </c>
    </row>
    <row r="21">
      <c r="B21" s="40" t="inlineStr">
        <is>
          <t xml:space="preserve">      of which sales personnel (incl commission)</t>
        </is>
      </c>
      <c r="D21" s="20">
        <f>D20*Assumptions!D48</f>
        <v/>
      </c>
      <c r="E21" s="20">
        <f>E20*Assumptions!E48</f>
        <v/>
      </c>
      <c r="F21" s="20">
        <f>F20*Assumptions!F48</f>
        <v/>
      </c>
      <c r="G21" s="20">
        <f>G20*Assumptions!G48</f>
        <v/>
      </c>
      <c r="H21" s="20">
        <f>H20*Assumptions!H48</f>
        <v/>
      </c>
      <c r="I21" s="20">
        <f>I20*Assumptions!I48</f>
        <v/>
      </c>
      <c r="J21" s="20">
        <f>J20*Assumptions!J48</f>
        <v/>
      </c>
      <c r="K21" s="20">
        <f>K20*Assumptions!K48</f>
        <v/>
      </c>
      <c r="L21" s="20">
        <f>L20*Assumptions!L48</f>
        <v/>
      </c>
      <c r="M21" s="20">
        <f>M20*Assumptions!M48</f>
        <v/>
      </c>
      <c r="N21" s="20">
        <f>N20*Assumptions!N48</f>
        <v/>
      </c>
    </row>
    <row r="22">
      <c r="B22" s="40" t="inlineStr">
        <is>
          <t xml:space="preserve">      of which marketing personnel</t>
        </is>
      </c>
      <c r="D22" s="20">
        <f>D20*Assumptions!D49</f>
        <v/>
      </c>
      <c r="E22" s="20">
        <f>E20*Assumptions!E49</f>
        <v/>
      </c>
      <c r="F22" s="20">
        <f>F20*Assumptions!F49</f>
        <v/>
      </c>
      <c r="G22" s="20">
        <f>G20*Assumptions!G49</f>
        <v/>
      </c>
      <c r="H22" s="20">
        <f>H20*Assumptions!H49</f>
        <v/>
      </c>
      <c r="I22" s="20">
        <f>I20*Assumptions!I49</f>
        <v/>
      </c>
      <c r="J22" s="20">
        <f>J20*Assumptions!J49</f>
        <v/>
      </c>
      <c r="K22" s="20">
        <f>K20*Assumptions!K49</f>
        <v/>
      </c>
      <c r="L22" s="20">
        <f>L20*Assumptions!L49</f>
        <v/>
      </c>
      <c r="M22" s="20">
        <f>M20*Assumptions!M49</f>
        <v/>
      </c>
      <c r="N22" s="20">
        <f>N20*Assumptions!N49</f>
        <v/>
      </c>
    </row>
    <row r="23">
      <c r="B23" s="40" t="inlineStr">
        <is>
          <t xml:space="preserve">      of which marketing programs and events</t>
        </is>
      </c>
      <c r="D23" s="20">
        <f>D20*Assumptions!D50</f>
        <v/>
      </c>
      <c r="E23" s="20">
        <f>E20*Assumptions!E50</f>
        <v/>
      </c>
      <c r="F23" s="20">
        <f>F20*Assumptions!F50</f>
        <v/>
      </c>
      <c r="G23" s="20">
        <f>G20*Assumptions!G50</f>
        <v/>
      </c>
      <c r="H23" s="20">
        <f>H20*Assumptions!H50</f>
        <v/>
      </c>
      <c r="I23" s="20">
        <f>I20*Assumptions!I50</f>
        <v/>
      </c>
      <c r="J23" s="20">
        <f>J20*Assumptions!J50</f>
        <v/>
      </c>
      <c r="K23" s="20">
        <f>K20*Assumptions!K50</f>
        <v/>
      </c>
      <c r="L23" s="20">
        <f>L20*Assumptions!L50</f>
        <v/>
      </c>
      <c r="M23" s="20">
        <f>M20*Assumptions!M50</f>
        <v/>
      </c>
      <c r="N23" s="20">
        <f>N20*Assumptions!N50</f>
        <v/>
      </c>
    </row>
    <row r="24">
      <c r="B24" s="40" t="inlineStr">
        <is>
          <t xml:space="preserve">      of which partner and field ops</t>
        </is>
      </c>
      <c r="D24" s="20">
        <f>D20*Assumptions!D51</f>
        <v/>
      </c>
      <c r="E24" s="20">
        <f>E20*Assumptions!E51</f>
        <v/>
      </c>
      <c r="F24" s="20">
        <f>F20*Assumptions!F51</f>
        <v/>
      </c>
      <c r="G24" s="20">
        <f>G20*Assumptions!G51</f>
        <v/>
      </c>
      <c r="H24" s="20">
        <f>H20*Assumptions!H51</f>
        <v/>
      </c>
      <c r="I24" s="20">
        <f>I20*Assumptions!I51</f>
        <v/>
      </c>
      <c r="J24" s="20">
        <f>J20*Assumptions!J51</f>
        <v/>
      </c>
      <c r="K24" s="20">
        <f>K20*Assumptions!K51</f>
        <v/>
      </c>
      <c r="L24" s="20">
        <f>L20*Assumptions!L51</f>
        <v/>
      </c>
      <c r="M24" s="20">
        <f>M20*Assumptions!M51</f>
        <v/>
      </c>
      <c r="N24" s="20">
        <f>N20*Assumptions!N51</f>
        <v/>
      </c>
    </row>
    <row r="25">
      <c r="B25" s="29" t="inlineStr">
        <is>
          <t xml:space="preserve">  General and administrative</t>
        </is>
      </c>
      <c r="D25" s="20">
        <f>D7*Assumptions!D41</f>
        <v/>
      </c>
      <c r="E25" s="20">
        <f>E7*Assumptions!E41</f>
        <v/>
      </c>
      <c r="F25" s="20">
        <f>F7*Assumptions!F41</f>
        <v/>
      </c>
      <c r="G25" s="20">
        <f>G7*Assumptions!G41</f>
        <v/>
      </c>
      <c r="H25" s="20">
        <f>H7*Assumptions!H41</f>
        <v/>
      </c>
      <c r="I25" s="20">
        <f>I7*Assumptions!I41</f>
        <v/>
      </c>
      <c r="J25" s="20">
        <f>J7*Assumptions!J41</f>
        <v/>
      </c>
      <c r="K25" s="20">
        <f>K7*Assumptions!K41</f>
        <v/>
      </c>
      <c r="L25" s="20">
        <f>L7*Assumptions!L41</f>
        <v/>
      </c>
      <c r="M25" s="20">
        <f>M7*Assumptions!M41</f>
        <v/>
      </c>
      <c r="N25" s="20">
        <f>N7*Assumptions!N41</f>
        <v/>
      </c>
    </row>
    <row r="26">
      <c r="B26" s="40" t="inlineStr">
        <is>
          <t xml:space="preserve">      of which G&amp;A personnel</t>
        </is>
      </c>
      <c r="D26" s="20">
        <f>D25*Assumptions!D52</f>
        <v/>
      </c>
      <c r="E26" s="20">
        <f>E25*Assumptions!E52</f>
        <v/>
      </c>
      <c r="F26" s="20">
        <f>F25*Assumptions!F52</f>
        <v/>
      </c>
      <c r="G26" s="20">
        <f>G25*Assumptions!G52</f>
        <v/>
      </c>
      <c r="H26" s="20">
        <f>H25*Assumptions!H52</f>
        <v/>
      </c>
      <c r="I26" s="20">
        <f>I25*Assumptions!I52</f>
        <v/>
      </c>
      <c r="J26" s="20">
        <f>J25*Assumptions!J52</f>
        <v/>
      </c>
      <c r="K26" s="20">
        <f>K25*Assumptions!K52</f>
        <v/>
      </c>
      <c r="L26" s="20">
        <f>L25*Assumptions!L52</f>
        <v/>
      </c>
      <c r="M26" s="20">
        <f>M25*Assumptions!M52</f>
        <v/>
      </c>
      <c r="N26" s="20">
        <f>N25*Assumptions!N52</f>
        <v/>
      </c>
    </row>
    <row r="27">
      <c r="B27" s="40" t="inlineStr">
        <is>
          <t xml:space="preserve">      of which facilities and IT</t>
        </is>
      </c>
      <c r="D27" s="20">
        <f>D25*Assumptions!D53</f>
        <v/>
      </c>
      <c r="E27" s="20">
        <f>E25*Assumptions!E53</f>
        <v/>
      </c>
      <c r="F27" s="20">
        <f>F25*Assumptions!F53</f>
        <v/>
      </c>
      <c r="G27" s="20">
        <f>G25*Assumptions!G53</f>
        <v/>
      </c>
      <c r="H27" s="20">
        <f>H25*Assumptions!H53</f>
        <v/>
      </c>
      <c r="I27" s="20">
        <f>I25*Assumptions!I53</f>
        <v/>
      </c>
      <c r="J27" s="20">
        <f>J25*Assumptions!J53</f>
        <v/>
      </c>
      <c r="K27" s="20">
        <f>K25*Assumptions!K53</f>
        <v/>
      </c>
      <c r="L27" s="20">
        <f>L25*Assumptions!L53</f>
        <v/>
      </c>
      <c r="M27" s="20">
        <f>M25*Assumptions!M53</f>
        <v/>
      </c>
      <c r="N27" s="20">
        <f>N25*Assumptions!N53</f>
        <v/>
      </c>
    </row>
    <row r="28">
      <c r="B28" s="40" t="inlineStr">
        <is>
          <t xml:space="preserve">      of which professional, insurance, other</t>
        </is>
      </c>
      <c r="D28" s="20">
        <f>D25*Assumptions!D54</f>
        <v/>
      </c>
      <c r="E28" s="20">
        <f>E25*Assumptions!E54</f>
        <v/>
      </c>
      <c r="F28" s="20">
        <f>F25*Assumptions!F54</f>
        <v/>
      </c>
      <c r="G28" s="20">
        <f>G25*Assumptions!G54</f>
        <v/>
      </c>
      <c r="H28" s="20">
        <f>H25*Assumptions!H54</f>
        <v/>
      </c>
      <c r="I28" s="20">
        <f>I25*Assumptions!I54</f>
        <v/>
      </c>
      <c r="J28" s="20">
        <f>J25*Assumptions!J54</f>
        <v/>
      </c>
      <c r="K28" s="20">
        <f>K25*Assumptions!K54</f>
        <v/>
      </c>
      <c r="L28" s="20">
        <f>L25*Assumptions!L54</f>
        <v/>
      </c>
      <c r="M28" s="20">
        <f>M25*Assumptions!M54</f>
        <v/>
      </c>
      <c r="N28" s="20">
        <f>N25*Assumptions!N54</f>
        <v/>
      </c>
    </row>
    <row r="29">
      <c r="B29" s="29" t="inlineStr">
        <is>
          <t xml:space="preserve">  Stock-based compensation (non-cash)</t>
        </is>
      </c>
      <c r="D29" s="20">
        <f>D7*Assumptions!D42</f>
        <v/>
      </c>
      <c r="E29" s="20">
        <f>E7*Assumptions!E42</f>
        <v/>
      </c>
      <c r="F29" s="20">
        <f>F7*Assumptions!F42</f>
        <v/>
      </c>
      <c r="G29" s="20">
        <f>G7*Assumptions!G42</f>
        <v/>
      </c>
      <c r="H29" s="20">
        <f>H7*Assumptions!H42</f>
        <v/>
      </c>
      <c r="I29" s="20">
        <f>I7*Assumptions!I42</f>
        <v/>
      </c>
      <c r="J29" s="20">
        <f>J7*Assumptions!J42</f>
        <v/>
      </c>
      <c r="K29" s="20">
        <f>K7*Assumptions!K42</f>
        <v/>
      </c>
      <c r="L29" s="20">
        <f>L7*Assumptions!L42</f>
        <v/>
      </c>
      <c r="M29" s="20">
        <f>M7*Assumptions!M42</f>
        <v/>
      </c>
      <c r="N29" s="20">
        <f>N7*Assumptions!N42</f>
        <v/>
      </c>
    </row>
    <row r="30">
      <c r="B30" s="29" t="inlineStr">
        <is>
          <t xml:space="preserve">  Depreciation and other amortization</t>
        </is>
      </c>
      <c r="D30" s="20">
        <f>D7*Assumptions!D43</f>
        <v/>
      </c>
      <c r="E30" s="20">
        <f>E7*Assumptions!E43</f>
        <v/>
      </c>
      <c r="F30" s="20">
        <f>F7*Assumptions!F43</f>
        <v/>
      </c>
      <c r="G30" s="20">
        <f>G7*Assumptions!G43</f>
        <v/>
      </c>
      <c r="H30" s="20">
        <f>H7*Assumptions!H43</f>
        <v/>
      </c>
      <c r="I30" s="20">
        <f>I7*Assumptions!I43</f>
        <v/>
      </c>
      <c r="J30" s="20">
        <f>J7*Assumptions!J43</f>
        <v/>
      </c>
      <c r="K30" s="20">
        <f>K7*Assumptions!K43</f>
        <v/>
      </c>
      <c r="L30" s="20">
        <f>L7*Assumptions!L43</f>
        <v/>
      </c>
      <c r="M30" s="20">
        <f>M7*Assumptions!M43</f>
        <v/>
      </c>
      <c r="N30" s="20">
        <f>N7*Assumptions!N43</f>
        <v/>
      </c>
    </row>
    <row r="31">
      <c r="B31" s="35" t="inlineStr">
        <is>
          <t>Total operating expense</t>
        </is>
      </c>
      <c r="D31" s="24">
        <f>D17+D20+D25+D29+D30</f>
        <v/>
      </c>
      <c r="E31" s="24">
        <f>E17+E20+E25+E29+E30</f>
        <v/>
      </c>
      <c r="F31" s="24">
        <f>F17+F20+F25+F29+F30</f>
        <v/>
      </c>
      <c r="G31" s="24">
        <f>G17+G20+G25+G29+G30</f>
        <v/>
      </c>
      <c r="H31" s="24">
        <f>H17+H20+H25+H29+H30</f>
        <v/>
      </c>
      <c r="I31" s="24">
        <f>I17+I20+I25+I29+I30</f>
        <v/>
      </c>
      <c r="J31" s="24">
        <f>J17+J20+J25+J29+J30</f>
        <v/>
      </c>
      <c r="K31" s="24">
        <f>K17+K20+K25+K29+K30</f>
        <v/>
      </c>
      <c r="L31" s="24">
        <f>L17+L20+L25+L29+L30</f>
        <v/>
      </c>
      <c r="M31" s="24">
        <f>M17+M20+M25+M29+M30</f>
        <v/>
      </c>
      <c r="N31" s="24">
        <f>N17+N20+N25+N29+N30</f>
        <v/>
      </c>
    </row>
    <row r="33">
      <c r="B33" s="12" t="inlineStr">
        <is>
          <t>C. IMPLIED HEADCOUNT BRIDGE (from the personnel dollars above)</t>
        </is>
      </c>
      <c r="C33" s="13" t="n"/>
      <c r="D33" s="13" t="n"/>
      <c r="E33" s="13" t="n"/>
      <c r="F33" s="13" t="n"/>
      <c r="G33" s="13" t="n"/>
      <c r="H33" s="13" t="n"/>
      <c r="I33" s="13" t="n"/>
      <c r="J33" s="13" t="n"/>
      <c r="K33" s="13" t="n"/>
      <c r="L33" s="13" t="n"/>
      <c r="M33" s="13" t="n"/>
      <c r="N33" s="13" t="n"/>
    </row>
    <row r="34">
      <c r="B34" s="29" t="inlineStr">
        <is>
          <t xml:space="preserve">  Engineering heads</t>
        </is>
      </c>
      <c r="D34" s="20">
        <f>D18*1000/Assumptions!D55</f>
        <v/>
      </c>
      <c r="E34" s="20">
        <f>E18*1000/Assumptions!E55</f>
        <v/>
      </c>
      <c r="F34" s="20">
        <f>F18*1000/Assumptions!F55</f>
        <v/>
      </c>
      <c r="G34" s="20">
        <f>G18*1000/Assumptions!G55</f>
        <v/>
      </c>
      <c r="H34" s="20">
        <f>H18*1000/Assumptions!H55</f>
        <v/>
      </c>
      <c r="I34" s="20">
        <f>I18*1000/Assumptions!I55</f>
        <v/>
      </c>
      <c r="J34" s="20">
        <f>J18*1000/Assumptions!J55</f>
        <v/>
      </c>
      <c r="K34" s="20">
        <f>K18*1000/Assumptions!K55</f>
        <v/>
      </c>
      <c r="L34" s="20">
        <f>L18*1000/Assumptions!L55</f>
        <v/>
      </c>
      <c r="M34" s="20">
        <f>M18*1000/Assumptions!M55</f>
        <v/>
      </c>
      <c r="N34" s="20">
        <f>N18*1000/Assumptions!N55</f>
        <v/>
      </c>
    </row>
    <row r="35">
      <c r="B35" s="29" t="inlineStr">
        <is>
          <t xml:space="preserve">  Sales heads</t>
        </is>
      </c>
      <c r="D35" s="20">
        <f>D21*1000/Assumptions!D56</f>
        <v/>
      </c>
      <c r="E35" s="20">
        <f>E21*1000/Assumptions!E56</f>
        <v/>
      </c>
      <c r="F35" s="20">
        <f>F21*1000/Assumptions!F56</f>
        <v/>
      </c>
      <c r="G35" s="20">
        <f>G21*1000/Assumptions!G56</f>
        <v/>
      </c>
      <c r="H35" s="20">
        <f>H21*1000/Assumptions!H56</f>
        <v/>
      </c>
      <c r="I35" s="20">
        <f>I21*1000/Assumptions!I56</f>
        <v/>
      </c>
      <c r="J35" s="20">
        <f>J21*1000/Assumptions!J56</f>
        <v/>
      </c>
      <c r="K35" s="20">
        <f>K21*1000/Assumptions!K56</f>
        <v/>
      </c>
      <c r="L35" s="20">
        <f>L21*1000/Assumptions!L56</f>
        <v/>
      </c>
      <c r="M35" s="20">
        <f>M21*1000/Assumptions!M56</f>
        <v/>
      </c>
      <c r="N35" s="20">
        <f>N21*1000/Assumptions!N56</f>
        <v/>
      </c>
    </row>
    <row r="36">
      <c r="B36" s="29" t="inlineStr">
        <is>
          <t xml:space="preserve">  Marketing heads</t>
        </is>
      </c>
      <c r="D36" s="20">
        <f>D22*1000/Assumptions!D57</f>
        <v/>
      </c>
      <c r="E36" s="20">
        <f>E22*1000/Assumptions!E57</f>
        <v/>
      </c>
      <c r="F36" s="20">
        <f>F22*1000/Assumptions!F57</f>
        <v/>
      </c>
      <c r="G36" s="20">
        <f>G22*1000/Assumptions!G57</f>
        <v/>
      </c>
      <c r="H36" s="20">
        <f>H22*1000/Assumptions!H57</f>
        <v/>
      </c>
      <c r="I36" s="20">
        <f>I22*1000/Assumptions!I57</f>
        <v/>
      </c>
      <c r="J36" s="20">
        <f>J22*1000/Assumptions!J57</f>
        <v/>
      </c>
      <c r="K36" s="20">
        <f>K22*1000/Assumptions!K57</f>
        <v/>
      </c>
      <c r="L36" s="20">
        <f>L22*1000/Assumptions!L57</f>
        <v/>
      </c>
      <c r="M36" s="20">
        <f>M22*1000/Assumptions!M57</f>
        <v/>
      </c>
      <c r="N36" s="20">
        <f>N22*1000/Assumptions!N57</f>
        <v/>
      </c>
    </row>
    <row r="37">
      <c r="B37" s="29" t="inlineStr">
        <is>
          <t xml:space="preserve">  G&amp;A heads</t>
        </is>
      </c>
      <c r="D37" s="20">
        <f>D26*1000/Assumptions!D58</f>
        <v/>
      </c>
      <c r="E37" s="20">
        <f>E26*1000/Assumptions!E58</f>
        <v/>
      </c>
      <c r="F37" s="20">
        <f>F26*1000/Assumptions!F58</f>
        <v/>
      </c>
      <c r="G37" s="20">
        <f>G26*1000/Assumptions!G58</f>
        <v/>
      </c>
      <c r="H37" s="20">
        <f>H26*1000/Assumptions!H58</f>
        <v/>
      </c>
      <c r="I37" s="20">
        <f>I26*1000/Assumptions!I58</f>
        <v/>
      </c>
      <c r="J37" s="20">
        <f>J26*1000/Assumptions!J58</f>
        <v/>
      </c>
      <c r="K37" s="20">
        <f>K26*1000/Assumptions!K58</f>
        <v/>
      </c>
      <c r="L37" s="20">
        <f>L26*1000/Assumptions!L58</f>
        <v/>
      </c>
      <c r="M37" s="20">
        <f>M26*1000/Assumptions!M58</f>
        <v/>
      </c>
      <c r="N37" s="20">
        <f>N26*1000/Assumptions!N58</f>
        <v/>
      </c>
    </row>
    <row r="38">
      <c r="B38" s="29" t="inlineStr">
        <is>
          <t xml:space="preserve">  Support/delivery heads (in cost of revenue)</t>
        </is>
      </c>
      <c r="D38" s="20">
        <f>D10*1000/Assumptions!D59</f>
        <v/>
      </c>
      <c r="E38" s="20">
        <f>E10*1000/Assumptions!E59</f>
        <v/>
      </c>
      <c r="F38" s="20">
        <f>F10*1000/Assumptions!F59</f>
        <v/>
      </c>
      <c r="G38" s="20">
        <f>G10*1000/Assumptions!G59</f>
        <v/>
      </c>
      <c r="H38" s="20">
        <f>H10*1000/Assumptions!H59</f>
        <v/>
      </c>
      <c r="I38" s="20">
        <f>I10*1000/Assumptions!I59</f>
        <v/>
      </c>
      <c r="J38" s="20">
        <f>J10*1000/Assumptions!J59</f>
        <v/>
      </c>
      <c r="K38" s="20">
        <f>K10*1000/Assumptions!K59</f>
        <v/>
      </c>
      <c r="L38" s="20">
        <f>L10*1000/Assumptions!L59</f>
        <v/>
      </c>
      <c r="M38" s="20">
        <f>M10*1000/Assumptions!M59</f>
        <v/>
      </c>
      <c r="N38" s="20">
        <f>N10*1000/Assumptions!N59</f>
        <v/>
      </c>
    </row>
    <row r="39">
      <c r="B39" s="35" t="inlineStr">
        <is>
          <t>Total implied headcount (year end)</t>
        </is>
      </c>
      <c r="D39" s="24">
        <f>SUM(D34:D38)</f>
        <v/>
      </c>
      <c r="E39" s="24">
        <f>SUM(E34:E38)</f>
        <v/>
      </c>
      <c r="F39" s="24">
        <f>SUM(F34:F38)</f>
        <v/>
      </c>
      <c r="G39" s="24">
        <f>SUM(G34:G38)</f>
        <v/>
      </c>
      <c r="H39" s="24">
        <f>SUM(H34:H38)</f>
        <v/>
      </c>
      <c r="I39" s="24">
        <f>SUM(I34:I38)</f>
        <v/>
      </c>
      <c r="J39" s="24">
        <f>SUM(J34:J38)</f>
        <v/>
      </c>
      <c r="K39" s="24">
        <f>SUM(K34:K38)</f>
        <v/>
      </c>
      <c r="L39" s="24">
        <f>SUM(L34:L38)</f>
        <v/>
      </c>
      <c r="M39" s="24">
        <f>SUM(M34:M38)</f>
        <v/>
      </c>
      <c r="N39" s="24">
        <f>SUM(N34:N38)</f>
        <v/>
      </c>
      <c r="P39" s="3" t="inlineStr">
        <is>
          <t>Implied by the personnel dollars, not an input. Ties to ~9,000-10,000 in FY2026-27 range; third-party trackers span 9,000 (PitchBook) to ~15,800 (Revelio); company discloses no official figure.</t>
        </is>
      </c>
    </row>
    <row r="40">
      <c r="B40" s="29" t="inlineStr">
        <is>
          <t xml:space="preserve">  Revenue per head (USD 000)</t>
        </is>
      </c>
      <c r="D40" s="20">
        <f>D7*1000/D39</f>
        <v/>
      </c>
      <c r="E40" s="20">
        <f>E7*1000/E39</f>
        <v/>
      </c>
      <c r="F40" s="20">
        <f>F7*1000/F39</f>
        <v/>
      </c>
      <c r="G40" s="20">
        <f>G7*1000/G39</f>
        <v/>
      </c>
      <c r="H40" s="20">
        <f>H7*1000/H39</f>
        <v/>
      </c>
      <c r="I40" s="20">
        <f>I7*1000/I39</f>
        <v/>
      </c>
      <c r="J40" s="20">
        <f>J7*1000/J39</f>
        <v/>
      </c>
      <c r="K40" s="20">
        <f>K7*1000/K39</f>
        <v/>
      </c>
      <c r="L40" s="20">
        <f>L7*1000/L39</f>
        <v/>
      </c>
      <c r="M40" s="20">
        <f>M7*1000/M39</f>
        <v/>
      </c>
      <c r="N40" s="20">
        <f>N7*1000/N39</f>
        <v/>
      </c>
      <c r="P40" s="3" t="inlineStr">
        <is>
          <t>Rises with consumption expansion, the efficiency signature of the model.</t>
        </is>
      </c>
    </row>
  </sheetData>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B2:P56"/>
  <sheetViews>
    <sheetView showGridLines="0" workbookViewId="0">
      <selection activeCell="A1" sqref="A1"/>
    </sheetView>
  </sheetViews>
  <sheetFormatPr baseColWidth="8" defaultRowHeight="15"/>
  <cols>
    <col width="2" customWidth="1" min="1" max="1"/>
    <col width="44" customWidth="1" min="2" max="2"/>
    <col width="3"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2" customWidth="1" min="15" max="15"/>
    <col width="66" customWidth="1" min="16" max="16"/>
  </cols>
  <sheetData>
    <row r="2">
      <c r="B2" s="9" t="inlineStr">
        <is>
          <t>Financial Statements</t>
        </is>
      </c>
    </row>
    <row r="3">
      <c r="B3" s="10" t="inlineStr">
        <is>
          <t>Income statement, cash flow and balance sheet, assembled from the Revenue and Cost builds. FY ends January 31. Balance check is zero in every year.</t>
        </is>
      </c>
    </row>
    <row r="5">
      <c r="B5" s="28" t="n"/>
      <c r="D5" s="15" t="inlineStr">
        <is>
          <t>FY2022A</t>
        </is>
      </c>
      <c r="E5" s="15" t="inlineStr">
        <is>
          <t>FY2023A</t>
        </is>
      </c>
      <c r="F5" s="15" t="inlineStr">
        <is>
          <t>FY2024A</t>
        </is>
      </c>
      <c r="G5" s="15" t="inlineStr">
        <is>
          <t>FY2025A</t>
        </is>
      </c>
      <c r="H5" s="15" t="inlineStr">
        <is>
          <t>FY2026A</t>
        </is>
      </c>
      <c r="I5" s="15" t="inlineStr">
        <is>
          <t>FY2027E</t>
        </is>
      </c>
      <c r="J5" s="15" t="inlineStr">
        <is>
          <t>FY2028E</t>
        </is>
      </c>
      <c r="K5" s="15" t="inlineStr">
        <is>
          <t>FY2029E</t>
        </is>
      </c>
      <c r="L5" s="15" t="inlineStr">
        <is>
          <t>FY2030E</t>
        </is>
      </c>
      <c r="M5" s="15" t="inlineStr">
        <is>
          <t>FY2031E</t>
        </is>
      </c>
      <c r="N5" s="15" t="inlineStr">
        <is>
          <t>FY2032E</t>
        </is>
      </c>
    </row>
    <row r="6">
      <c r="B6" s="12" t="inlineStr">
        <is>
          <t>INCOME STATEMENT</t>
        </is>
      </c>
      <c r="C6" s="13" t="n"/>
      <c r="D6" s="13" t="n"/>
      <c r="E6" s="13" t="n"/>
      <c r="F6" s="13" t="n"/>
      <c r="G6" s="13" t="n"/>
      <c r="H6" s="13" t="n"/>
      <c r="I6" s="13" t="n"/>
      <c r="J6" s="13" t="n"/>
      <c r="K6" s="13" t="n"/>
      <c r="L6" s="13" t="n"/>
      <c r="M6" s="13" t="n"/>
      <c r="N6" s="13" t="n"/>
    </row>
    <row r="7">
      <c r="B7" s="35" t="inlineStr">
        <is>
          <t>Revenue</t>
        </is>
      </c>
      <c r="D7" s="24">
        <f>Revenue!D12</f>
        <v/>
      </c>
      <c r="E7" s="24">
        <f>Revenue!E12</f>
        <v/>
      </c>
      <c r="F7" s="24">
        <f>Revenue!F12</f>
        <v/>
      </c>
      <c r="G7" s="24">
        <f>Revenue!G12</f>
        <v/>
      </c>
      <c r="H7" s="24">
        <f>Revenue!H12</f>
        <v/>
      </c>
      <c r="I7" s="24">
        <f>Revenue!I12</f>
        <v/>
      </c>
      <c r="J7" s="24">
        <f>Revenue!J12</f>
        <v/>
      </c>
      <c r="K7" s="24">
        <f>Revenue!K12</f>
        <v/>
      </c>
      <c r="L7" s="24">
        <f>Revenue!L12</f>
        <v/>
      </c>
      <c r="M7" s="24">
        <f>Revenue!M12</f>
        <v/>
      </c>
      <c r="N7" s="24">
        <f>Revenue!N12</f>
        <v/>
      </c>
    </row>
    <row r="8">
      <c r="B8" s="29" t="inlineStr">
        <is>
          <t>Cost of revenue</t>
        </is>
      </c>
      <c r="D8" s="20">
        <f>-Costs!D12</f>
        <v/>
      </c>
      <c r="E8" s="20">
        <f>-Costs!E12</f>
        <v/>
      </c>
      <c r="F8" s="20">
        <f>-Costs!F12</f>
        <v/>
      </c>
      <c r="G8" s="20">
        <f>-Costs!G12</f>
        <v/>
      </c>
      <c r="H8" s="20">
        <f>-Costs!H12</f>
        <v/>
      </c>
      <c r="I8" s="20">
        <f>-Costs!I12</f>
        <v/>
      </c>
      <c r="J8" s="20">
        <f>-Costs!J12</f>
        <v/>
      </c>
      <c r="K8" s="20">
        <f>-Costs!K12</f>
        <v/>
      </c>
      <c r="L8" s="20">
        <f>-Costs!L12</f>
        <v/>
      </c>
      <c r="M8" s="20">
        <f>-Costs!M12</f>
        <v/>
      </c>
      <c r="N8" s="20">
        <f>-Costs!N12</f>
        <v/>
      </c>
    </row>
    <row r="9">
      <c r="B9" s="35" t="inlineStr">
        <is>
          <t>Gross profit</t>
        </is>
      </c>
      <c r="D9" s="24">
        <f>D7+D8</f>
        <v/>
      </c>
      <c r="E9" s="24">
        <f>E7+E8</f>
        <v/>
      </c>
      <c r="F9" s="24">
        <f>F7+F8</f>
        <v/>
      </c>
      <c r="G9" s="24">
        <f>G7+G8</f>
        <v/>
      </c>
      <c r="H9" s="24">
        <f>H7+H8</f>
        <v/>
      </c>
      <c r="I9" s="24">
        <f>I7+I8</f>
        <v/>
      </c>
      <c r="J9" s="24">
        <f>J7+J8</f>
        <v/>
      </c>
      <c r="K9" s="24">
        <f>K7+K8</f>
        <v/>
      </c>
      <c r="L9" s="24">
        <f>L7+L8</f>
        <v/>
      </c>
      <c r="M9" s="24">
        <f>M7+M8</f>
        <v/>
      </c>
      <c r="N9" s="24">
        <f>N7+N8</f>
        <v/>
      </c>
    </row>
    <row r="10">
      <c r="B10" s="29" t="inlineStr">
        <is>
          <t xml:space="preserve">  Gross margin %</t>
        </is>
      </c>
      <c r="D10" s="19">
        <f>D9/D7</f>
        <v/>
      </c>
      <c r="E10" s="19">
        <f>E9/E7</f>
        <v/>
      </c>
      <c r="F10" s="19">
        <f>F9/F7</f>
        <v/>
      </c>
      <c r="G10" s="19">
        <f>G9/G7</f>
        <v/>
      </c>
      <c r="H10" s="19">
        <f>H9/H7</f>
        <v/>
      </c>
      <c r="I10" s="19">
        <f>I9/I7</f>
        <v/>
      </c>
      <c r="J10" s="19">
        <f>J9/J7</f>
        <v/>
      </c>
      <c r="K10" s="19">
        <f>K9/K7</f>
        <v/>
      </c>
      <c r="L10" s="19">
        <f>L9/L7</f>
        <v/>
      </c>
      <c r="M10" s="19">
        <f>M9/M7</f>
        <v/>
      </c>
      <c r="N10" s="19">
        <f>N9/N7</f>
        <v/>
      </c>
    </row>
    <row r="11">
      <c r="B11" s="29" t="inlineStr">
        <is>
          <t>Research and development</t>
        </is>
      </c>
      <c r="D11" s="20">
        <f>-Costs!D17</f>
        <v/>
      </c>
      <c r="E11" s="20">
        <f>-Costs!E17</f>
        <v/>
      </c>
      <c r="F11" s="20">
        <f>-Costs!F17</f>
        <v/>
      </c>
      <c r="G11" s="20">
        <f>-Costs!G17</f>
        <v/>
      </c>
      <c r="H11" s="20">
        <f>-Costs!H17</f>
        <v/>
      </c>
      <c r="I11" s="20">
        <f>-Costs!I17</f>
        <v/>
      </c>
      <c r="J11" s="20">
        <f>-Costs!J17</f>
        <v/>
      </c>
      <c r="K11" s="20">
        <f>-Costs!K17</f>
        <v/>
      </c>
      <c r="L11" s="20">
        <f>-Costs!L17</f>
        <v/>
      </c>
      <c r="M11" s="20">
        <f>-Costs!M17</f>
        <v/>
      </c>
      <c r="N11" s="20">
        <f>-Costs!N17</f>
        <v/>
      </c>
    </row>
    <row r="12">
      <c r="B12" s="29" t="inlineStr">
        <is>
          <t>Sales and marketing</t>
        </is>
      </c>
      <c r="D12" s="20">
        <f>-Costs!D20</f>
        <v/>
      </c>
      <c r="E12" s="20">
        <f>-Costs!E20</f>
        <v/>
      </c>
      <c r="F12" s="20">
        <f>-Costs!F20</f>
        <v/>
      </c>
      <c r="G12" s="20">
        <f>-Costs!G20</f>
        <v/>
      </c>
      <c r="H12" s="20">
        <f>-Costs!H20</f>
        <v/>
      </c>
      <c r="I12" s="20">
        <f>-Costs!I20</f>
        <v/>
      </c>
      <c r="J12" s="20">
        <f>-Costs!J20</f>
        <v/>
      </c>
      <c r="K12" s="20">
        <f>-Costs!K20</f>
        <v/>
      </c>
      <c r="L12" s="20">
        <f>-Costs!L20</f>
        <v/>
      </c>
      <c r="M12" s="20">
        <f>-Costs!M20</f>
        <v/>
      </c>
      <c r="N12" s="20">
        <f>-Costs!N20</f>
        <v/>
      </c>
    </row>
    <row r="13">
      <c r="B13" s="29" t="inlineStr">
        <is>
          <t>General and administrative</t>
        </is>
      </c>
      <c r="D13" s="20">
        <f>-Costs!D25</f>
        <v/>
      </c>
      <c r="E13" s="20">
        <f>-Costs!E25</f>
        <v/>
      </c>
      <c r="F13" s="20">
        <f>-Costs!F25</f>
        <v/>
      </c>
      <c r="G13" s="20">
        <f>-Costs!G25</f>
        <v/>
      </c>
      <c r="H13" s="20">
        <f>-Costs!H25</f>
        <v/>
      </c>
      <c r="I13" s="20">
        <f>-Costs!I25</f>
        <v/>
      </c>
      <c r="J13" s="20">
        <f>-Costs!J25</f>
        <v/>
      </c>
      <c r="K13" s="20">
        <f>-Costs!K25</f>
        <v/>
      </c>
      <c r="L13" s="20">
        <f>-Costs!L25</f>
        <v/>
      </c>
      <c r="M13" s="20">
        <f>-Costs!M25</f>
        <v/>
      </c>
      <c r="N13" s="20">
        <f>-Costs!N25</f>
        <v/>
      </c>
    </row>
    <row r="14">
      <c r="B14" s="29" t="inlineStr">
        <is>
          <t>Stock-based compensation</t>
        </is>
      </c>
      <c r="D14" s="20">
        <f>-Costs!D29</f>
        <v/>
      </c>
      <c r="E14" s="20">
        <f>-Costs!E29</f>
        <v/>
      </c>
      <c r="F14" s="20">
        <f>-Costs!F29</f>
        <v/>
      </c>
      <c r="G14" s="20">
        <f>-Costs!G29</f>
        <v/>
      </c>
      <c r="H14" s="20">
        <f>-Costs!H29</f>
        <v/>
      </c>
      <c r="I14" s="20">
        <f>-Costs!I29</f>
        <v/>
      </c>
      <c r="J14" s="20">
        <f>-Costs!J29</f>
        <v/>
      </c>
      <c r="K14" s="20">
        <f>-Costs!K29</f>
        <v/>
      </c>
      <c r="L14" s="20">
        <f>-Costs!L29</f>
        <v/>
      </c>
      <c r="M14" s="20">
        <f>-Costs!M29</f>
        <v/>
      </c>
      <c r="N14" s="20">
        <f>-Costs!N29</f>
        <v/>
      </c>
    </row>
    <row r="15">
      <c r="B15" s="29" t="inlineStr">
        <is>
          <t>Depreciation and other amortization</t>
        </is>
      </c>
      <c r="D15" s="20">
        <f>-Costs!D30</f>
        <v/>
      </c>
      <c r="E15" s="20">
        <f>-Costs!E30</f>
        <v/>
      </c>
      <c r="F15" s="20">
        <f>-Costs!F30</f>
        <v/>
      </c>
      <c r="G15" s="20">
        <f>-Costs!G30</f>
        <v/>
      </c>
      <c r="H15" s="20">
        <f>-Costs!H30</f>
        <v/>
      </c>
      <c r="I15" s="20">
        <f>-Costs!I30</f>
        <v/>
      </c>
      <c r="J15" s="20">
        <f>-Costs!J30</f>
        <v/>
      </c>
      <c r="K15" s="20">
        <f>-Costs!K30</f>
        <v/>
      </c>
      <c r="L15" s="20">
        <f>-Costs!L30</f>
        <v/>
      </c>
      <c r="M15" s="20">
        <f>-Costs!M30</f>
        <v/>
      </c>
      <c r="N15" s="20">
        <f>-Costs!N30</f>
        <v/>
      </c>
    </row>
    <row r="16">
      <c r="B16" s="35" t="inlineStr">
        <is>
          <t>Operating income (EBIT)</t>
        </is>
      </c>
      <c r="D16" s="24">
        <f>D9+D11+D12+D13+D14+D15</f>
        <v/>
      </c>
      <c r="E16" s="24">
        <f>E9+E11+E12+E13+E14+E15</f>
        <v/>
      </c>
      <c r="F16" s="24">
        <f>F9+F11+F12+F13+F14+F15</f>
        <v/>
      </c>
      <c r="G16" s="24">
        <f>G9+G11+G12+G13+G14+G15</f>
        <v/>
      </c>
      <c r="H16" s="24">
        <f>H9+H11+H12+H13+H14+H15</f>
        <v/>
      </c>
      <c r="I16" s="24">
        <f>I9+I11+I12+I13+I14+I15</f>
        <v/>
      </c>
      <c r="J16" s="24">
        <f>J9+J11+J12+J13+J14+J15</f>
        <v/>
      </c>
      <c r="K16" s="24">
        <f>K9+K11+K12+K13+K14+K15</f>
        <v/>
      </c>
      <c r="L16" s="24">
        <f>L9+L11+L12+L13+L14+L15</f>
        <v/>
      </c>
      <c r="M16" s="24">
        <f>M9+M11+M12+M13+M14+M15</f>
        <v/>
      </c>
      <c r="N16" s="24">
        <f>N9+N11+N12+N13+N14+N15</f>
        <v/>
      </c>
    </row>
    <row r="17">
      <c r="B17" s="29" t="inlineStr">
        <is>
          <t xml:space="preserve">  Operating margin %</t>
        </is>
      </c>
      <c r="D17" s="19">
        <f>D16/D7</f>
        <v/>
      </c>
      <c r="E17" s="19">
        <f>E16/E7</f>
        <v/>
      </c>
      <c r="F17" s="19">
        <f>F16/F7</f>
        <v/>
      </c>
      <c r="G17" s="19">
        <f>G16/G7</f>
        <v/>
      </c>
      <c r="H17" s="19">
        <f>H16/H7</f>
        <v/>
      </c>
      <c r="I17" s="19">
        <f>I16/I7</f>
        <v/>
      </c>
      <c r="J17" s="19">
        <f>J16/J7</f>
        <v/>
      </c>
      <c r="K17" s="19">
        <f>K16/K7</f>
        <v/>
      </c>
      <c r="L17" s="19">
        <f>L16/L7</f>
        <v/>
      </c>
      <c r="M17" s="19">
        <f>M16/M7</f>
        <v/>
      </c>
      <c r="N17" s="19">
        <f>N16/N7</f>
        <v/>
      </c>
    </row>
    <row r="18">
      <c r="B18" s="29" t="inlineStr">
        <is>
          <t>Interest expense (on opening debt)</t>
        </is>
      </c>
      <c r="D18" s="20">
        <f>-Assumptions!D90*Assumptions!D78</f>
        <v/>
      </c>
      <c r="E18" s="20">
        <f>-D51*Assumptions!E78</f>
        <v/>
      </c>
      <c r="F18" s="20">
        <f>-E51*Assumptions!F78</f>
        <v/>
      </c>
      <c r="G18" s="20">
        <f>-F51*Assumptions!G78</f>
        <v/>
      </c>
      <c r="H18" s="20">
        <f>-G51*Assumptions!H78</f>
        <v/>
      </c>
      <c r="I18" s="20">
        <f>-H51*Assumptions!I78</f>
        <v/>
      </c>
      <c r="J18" s="20">
        <f>-I51*Assumptions!J78</f>
        <v/>
      </c>
      <c r="K18" s="20">
        <f>-J51*Assumptions!K78</f>
        <v/>
      </c>
      <c r="L18" s="20">
        <f>-K51*Assumptions!L78</f>
        <v/>
      </c>
      <c r="M18" s="20">
        <f>-L51*Assumptions!M78</f>
        <v/>
      </c>
      <c r="N18" s="20">
        <f>-M51*Assumptions!N78</f>
        <v/>
      </c>
      <c r="P18" s="3" t="inlineStr">
        <is>
          <t>Interest on opening balances (avoids circularity).</t>
        </is>
      </c>
    </row>
    <row r="19">
      <c r="B19" s="29" t="inlineStr">
        <is>
          <t>Interest income (on opening cash)</t>
        </is>
      </c>
      <c r="D19" s="20">
        <f>Assumptions!D83*Assumptions!D79</f>
        <v/>
      </c>
      <c r="E19" s="20">
        <f>D43*Assumptions!E79</f>
        <v/>
      </c>
      <c r="F19" s="20">
        <f>E43*Assumptions!F79</f>
        <v/>
      </c>
      <c r="G19" s="20">
        <f>F43*Assumptions!G79</f>
        <v/>
      </c>
      <c r="H19" s="20">
        <f>G43*Assumptions!H79</f>
        <v/>
      </c>
      <c r="I19" s="20">
        <f>H43*Assumptions!I79</f>
        <v/>
      </c>
      <c r="J19" s="20">
        <f>I43*Assumptions!J79</f>
        <v/>
      </c>
      <c r="K19" s="20">
        <f>J43*Assumptions!K79</f>
        <v/>
      </c>
      <c r="L19" s="20">
        <f>K43*Assumptions!L79</f>
        <v/>
      </c>
      <c r="M19" s="20">
        <f>L43*Assumptions!M79</f>
        <v/>
      </c>
      <c r="N19" s="20">
        <f>M43*Assumptions!N79</f>
        <v/>
      </c>
    </row>
    <row r="20">
      <c r="B20" s="35" t="inlineStr">
        <is>
          <t>Pre-tax income</t>
        </is>
      </c>
      <c r="D20" s="24">
        <f>D16+D18+D19</f>
        <v/>
      </c>
      <c r="E20" s="24">
        <f>E16+E18+E19</f>
        <v/>
      </c>
      <c r="F20" s="24">
        <f>F16+F18+F19</f>
        <v/>
      </c>
      <c r="G20" s="24">
        <f>G16+G18+G19</f>
        <v/>
      </c>
      <c r="H20" s="24">
        <f>H16+H18+H19</f>
        <v/>
      </c>
      <c r="I20" s="24">
        <f>I16+I18+I19</f>
        <v/>
      </c>
      <c r="J20" s="24">
        <f>J16+J18+J19</f>
        <v/>
      </c>
      <c r="K20" s="24">
        <f>K16+K18+K19</f>
        <v/>
      </c>
      <c r="L20" s="24">
        <f>L16+L18+L19</f>
        <v/>
      </c>
      <c r="M20" s="24">
        <f>M16+M18+M19</f>
        <v/>
      </c>
      <c r="N20" s="24">
        <f>N16+N18+N19</f>
        <v/>
      </c>
    </row>
    <row r="21">
      <c r="B21" s="29" t="inlineStr">
        <is>
          <t>Income tax</t>
        </is>
      </c>
      <c r="D21" s="20">
        <f>-MAX(D20,0)*Assumptions!D80</f>
        <v/>
      </c>
      <c r="E21" s="20">
        <f>-MAX(E20,0)*Assumptions!E80</f>
        <v/>
      </c>
      <c r="F21" s="20">
        <f>-MAX(F20,0)*Assumptions!F80</f>
        <v/>
      </c>
      <c r="G21" s="20">
        <f>-MAX(G20,0)*Assumptions!G80</f>
        <v/>
      </c>
      <c r="H21" s="20">
        <f>-MAX(H20,0)*Assumptions!H80</f>
        <v/>
      </c>
      <c r="I21" s="20">
        <f>-MAX(I20,0)*Assumptions!I80</f>
        <v/>
      </c>
      <c r="J21" s="20">
        <f>-MAX(J20,0)*Assumptions!J80</f>
        <v/>
      </c>
      <c r="K21" s="20">
        <f>-MAX(K20,0)*Assumptions!K80</f>
        <v/>
      </c>
      <c r="L21" s="20">
        <f>-MAX(L20,0)*Assumptions!L80</f>
        <v/>
      </c>
      <c r="M21" s="20">
        <f>-MAX(M20,0)*Assumptions!M80</f>
        <v/>
      </c>
      <c r="N21" s="20">
        <f>-MAX(N20,0)*Assumptions!N80</f>
        <v/>
      </c>
    </row>
    <row r="22">
      <c r="B22" s="35" t="inlineStr">
        <is>
          <t>Net income (GAAP est.)</t>
        </is>
      </c>
      <c r="D22" s="36">
        <f>D20+D21</f>
        <v/>
      </c>
      <c r="E22" s="36">
        <f>E20+E21</f>
        <v/>
      </c>
      <c r="F22" s="36">
        <f>F20+F21</f>
        <v/>
      </c>
      <c r="G22" s="36">
        <f>G20+G21</f>
        <v/>
      </c>
      <c r="H22" s="36">
        <f>H20+H21</f>
        <v/>
      </c>
      <c r="I22" s="36">
        <f>I20+I21</f>
        <v/>
      </c>
      <c r="J22" s="36">
        <f>J20+J21</f>
        <v/>
      </c>
      <c r="K22" s="36">
        <f>K20+K21</f>
        <v/>
      </c>
      <c r="L22" s="36">
        <f>L20+L21</f>
        <v/>
      </c>
      <c r="M22" s="36">
        <f>M20+M21</f>
        <v/>
      </c>
      <c r="N22" s="36">
        <f>N20+N21</f>
        <v/>
      </c>
    </row>
    <row r="24">
      <c r="B24" s="12" t="inlineStr">
        <is>
          <t>CASH FLOW</t>
        </is>
      </c>
      <c r="C24" s="13" t="n"/>
      <c r="D24" s="13" t="n"/>
      <c r="E24" s="13" t="n"/>
      <c r="F24" s="13" t="n"/>
      <c r="G24" s="13" t="n"/>
      <c r="H24" s="13" t="n"/>
      <c r="I24" s="13" t="n"/>
      <c r="J24" s="13" t="n"/>
      <c r="K24" s="13" t="n"/>
      <c r="L24" s="13" t="n"/>
      <c r="M24" s="13" t="n"/>
      <c r="N24" s="13" t="n"/>
    </row>
    <row r="25">
      <c r="B25" s="29" t="inlineStr">
        <is>
          <t>Net income</t>
        </is>
      </c>
      <c r="D25" s="20">
        <f>D22</f>
        <v/>
      </c>
      <c r="E25" s="20">
        <f>E22</f>
        <v/>
      </c>
      <c r="F25" s="20">
        <f>F22</f>
        <v/>
      </c>
      <c r="G25" s="20">
        <f>G22</f>
        <v/>
      </c>
      <c r="H25" s="20">
        <f>H22</f>
        <v/>
      </c>
      <c r="I25" s="20">
        <f>I22</f>
        <v/>
      </c>
      <c r="J25" s="20">
        <f>J22</f>
        <v/>
      </c>
      <c r="K25" s="20">
        <f>K22</f>
        <v/>
      </c>
      <c r="L25" s="20">
        <f>L22</f>
        <v/>
      </c>
      <c r="M25" s="20">
        <f>M22</f>
        <v/>
      </c>
      <c r="N25" s="20">
        <f>N22</f>
        <v/>
      </c>
    </row>
    <row r="26">
      <c r="B26" s="29" t="inlineStr">
        <is>
          <t xml:space="preserve">  add back depreciation and amortization</t>
        </is>
      </c>
      <c r="D26" s="20">
        <f>-D15+Costs!D11</f>
        <v/>
      </c>
      <c r="E26" s="20">
        <f>-E15+Costs!E11</f>
        <v/>
      </c>
      <c r="F26" s="20">
        <f>-F15+Costs!F11</f>
        <v/>
      </c>
      <c r="G26" s="20">
        <f>-G15+Costs!G11</f>
        <v/>
      </c>
      <c r="H26" s="20">
        <f>-H15+Costs!H11</f>
        <v/>
      </c>
      <c r="I26" s="20">
        <f>-I15+Costs!I11</f>
        <v/>
      </c>
      <c r="J26" s="20">
        <f>-J15+Costs!J11</f>
        <v/>
      </c>
      <c r="K26" s="20">
        <f>-K15+Costs!K11</f>
        <v/>
      </c>
      <c r="L26" s="20">
        <f>-L15+Costs!L11</f>
        <v/>
      </c>
      <c r="M26" s="20">
        <f>-M15+Costs!M11</f>
        <v/>
      </c>
      <c r="N26" s="20">
        <f>-N15+Costs!N11</f>
        <v/>
      </c>
    </row>
    <row r="27">
      <c r="B27" s="29" t="inlineStr">
        <is>
          <t xml:space="preserve">  add back stock-based compensation</t>
        </is>
      </c>
      <c r="D27" s="20">
        <f>-D14</f>
        <v/>
      </c>
      <c r="E27" s="20">
        <f>-E14</f>
        <v/>
      </c>
      <c r="F27" s="20">
        <f>-F14</f>
        <v/>
      </c>
      <c r="G27" s="20">
        <f>-G14</f>
        <v/>
      </c>
      <c r="H27" s="20">
        <f>-H14</f>
        <v/>
      </c>
      <c r="I27" s="20">
        <f>-I14</f>
        <v/>
      </c>
      <c r="J27" s="20">
        <f>-J14</f>
        <v/>
      </c>
      <c r="K27" s="20">
        <f>-K14</f>
        <v/>
      </c>
      <c r="L27" s="20">
        <f>-L14</f>
        <v/>
      </c>
      <c r="M27" s="20">
        <f>-M14</f>
        <v/>
      </c>
      <c r="N27" s="20">
        <f>-N14</f>
        <v/>
      </c>
    </row>
    <row r="28">
      <c r="B28" s="29" t="inlineStr">
        <is>
          <t xml:space="preserve">  change in accounts receivable</t>
        </is>
      </c>
      <c r="D28" s="20">
        <f>-(D44-Assumptions!D84)</f>
        <v/>
      </c>
      <c r="E28" s="20">
        <f>-(E44-D44)</f>
        <v/>
      </c>
      <c r="F28" s="20">
        <f>-(F44-E44)</f>
        <v/>
      </c>
      <c r="G28" s="20">
        <f>-(G44-F44)</f>
        <v/>
      </c>
      <c r="H28" s="20">
        <f>-(H44-G44)</f>
        <v/>
      </c>
      <c r="I28" s="20">
        <f>-(I44-H44)</f>
        <v/>
      </c>
      <c r="J28" s="20">
        <f>-(J44-I44)</f>
        <v/>
      </c>
      <c r="K28" s="20">
        <f>-(K44-J44)</f>
        <v/>
      </c>
      <c r="L28" s="20">
        <f>-(L44-K44)</f>
        <v/>
      </c>
      <c r="M28" s="20">
        <f>-(M44-L44)</f>
        <v/>
      </c>
      <c r="N28" s="20">
        <f>-(N44-M44)</f>
        <v/>
      </c>
    </row>
    <row r="29">
      <c r="B29" s="29" t="inlineStr">
        <is>
          <t xml:space="preserve">  change in deferred revenue</t>
        </is>
      </c>
      <c r="D29" s="20">
        <f>D49-Assumptions!D88</f>
        <v/>
      </c>
      <c r="E29" s="20">
        <f>E49-D49</f>
        <v/>
      </c>
      <c r="F29" s="20">
        <f>F49-E49</f>
        <v/>
      </c>
      <c r="G29" s="20">
        <f>G49-F49</f>
        <v/>
      </c>
      <c r="H29" s="20">
        <f>H49-G49</f>
        <v/>
      </c>
      <c r="I29" s="20">
        <f>I49-H49</f>
        <v/>
      </c>
      <c r="J29" s="20">
        <f>J49-I49</f>
        <v/>
      </c>
      <c r="K29" s="20">
        <f>K49-J49</f>
        <v/>
      </c>
      <c r="L29" s="20">
        <f>L49-K49</f>
        <v/>
      </c>
      <c r="M29" s="20">
        <f>M49-L49</f>
        <v/>
      </c>
      <c r="N29" s="20">
        <f>N49-M49</f>
        <v/>
      </c>
    </row>
    <row r="30">
      <c r="B30" s="35" t="inlineStr">
        <is>
          <t>Cash from operations</t>
        </is>
      </c>
      <c r="D30" s="24">
        <f>SUM(D25:D29)</f>
        <v/>
      </c>
      <c r="E30" s="24">
        <f>SUM(E25:E29)</f>
        <v/>
      </c>
      <c r="F30" s="24">
        <f>SUM(F25:F29)</f>
        <v/>
      </c>
      <c r="G30" s="24">
        <f>SUM(G25:G29)</f>
        <v/>
      </c>
      <c r="H30" s="24">
        <f>SUM(H25:H29)</f>
        <v/>
      </c>
      <c r="I30" s="24">
        <f>SUM(I25:I29)</f>
        <v/>
      </c>
      <c r="J30" s="24">
        <f>SUM(J25:J29)</f>
        <v/>
      </c>
      <c r="K30" s="24">
        <f>SUM(K25:K29)</f>
        <v/>
      </c>
      <c r="L30" s="24">
        <f>SUM(L25:L29)</f>
        <v/>
      </c>
      <c r="M30" s="24">
        <f>SUM(M25:M29)</f>
        <v/>
      </c>
      <c r="N30" s="24">
        <f>SUM(N25:N29)</f>
        <v/>
      </c>
    </row>
    <row r="31">
      <c r="B31" s="29" t="inlineStr">
        <is>
          <t>Capital expenditure</t>
        </is>
      </c>
      <c r="D31" s="20">
        <f>-D7*Assumptions!D44</f>
        <v/>
      </c>
      <c r="E31" s="20">
        <f>-E7*Assumptions!E44</f>
        <v/>
      </c>
      <c r="F31" s="20">
        <f>-F7*Assumptions!F44</f>
        <v/>
      </c>
      <c r="G31" s="20">
        <f>-G7*Assumptions!G44</f>
        <v/>
      </c>
      <c r="H31" s="20">
        <f>-H7*Assumptions!H44</f>
        <v/>
      </c>
      <c r="I31" s="20">
        <f>-I7*Assumptions!I44</f>
        <v/>
      </c>
      <c r="J31" s="20">
        <f>-J7*Assumptions!J44</f>
        <v/>
      </c>
      <c r="K31" s="20">
        <f>-K7*Assumptions!K44</f>
        <v/>
      </c>
      <c r="L31" s="20">
        <f>-L7*Assumptions!L44</f>
        <v/>
      </c>
      <c r="M31" s="20">
        <f>-M7*Assumptions!M44</f>
        <v/>
      </c>
      <c r="N31" s="20">
        <f>-N7*Assumptions!N44</f>
        <v/>
      </c>
    </row>
    <row r="32">
      <c r="B32" s="29" t="inlineStr">
        <is>
          <t>Acquisitions and strategic investments</t>
        </is>
      </c>
      <c r="D32" s="20">
        <f>Assumptions!D77</f>
        <v/>
      </c>
      <c r="E32" s="20">
        <f>Assumptions!E77</f>
        <v/>
      </c>
      <c r="F32" s="20">
        <f>Assumptions!F77</f>
        <v/>
      </c>
      <c r="G32" s="20">
        <f>Assumptions!G77</f>
        <v/>
      </c>
      <c r="H32" s="20">
        <f>Assumptions!H77</f>
        <v/>
      </c>
      <c r="I32" s="20">
        <f>Assumptions!I77</f>
        <v/>
      </c>
      <c r="J32" s="20">
        <f>Assumptions!J77</f>
        <v/>
      </c>
      <c r="K32" s="20">
        <f>Assumptions!K77</f>
        <v/>
      </c>
      <c r="L32" s="20">
        <f>Assumptions!L77</f>
        <v/>
      </c>
      <c r="M32" s="20">
        <f>Assumptions!M77</f>
        <v/>
      </c>
      <c r="N32" s="20">
        <f>Assumptions!N77</f>
        <v/>
      </c>
    </row>
    <row r="33">
      <c r="B33" s="35" t="inlineStr">
        <is>
          <t>Cash from investing</t>
        </is>
      </c>
      <c r="D33" s="24">
        <f>D31+D32</f>
        <v/>
      </c>
      <c r="E33" s="24">
        <f>E31+E32</f>
        <v/>
      </c>
      <c r="F33" s="24">
        <f>F31+F32</f>
        <v/>
      </c>
      <c r="G33" s="24">
        <f>G31+G32</f>
        <v/>
      </c>
      <c r="H33" s="24">
        <f>H31+H32</f>
        <v/>
      </c>
      <c r="I33" s="24">
        <f>I31+I32</f>
        <v/>
      </c>
      <c r="J33" s="24">
        <f>J31+J32</f>
        <v/>
      </c>
      <c r="K33" s="24">
        <f>K31+K32</f>
        <v/>
      </c>
      <c r="L33" s="24">
        <f>L31+L32</f>
        <v/>
      </c>
      <c r="M33" s="24">
        <f>M31+M32</f>
        <v/>
      </c>
      <c r="N33" s="24">
        <f>N31+N32</f>
        <v/>
      </c>
    </row>
    <row r="34">
      <c r="B34" s="29" t="inlineStr">
        <is>
          <t>Equity issuance</t>
        </is>
      </c>
      <c r="D34" s="20">
        <f>Assumptions!D74</f>
        <v/>
      </c>
      <c r="E34" s="20">
        <f>Assumptions!E74</f>
        <v/>
      </c>
      <c r="F34" s="20">
        <f>Assumptions!F74</f>
        <v/>
      </c>
      <c r="G34" s="20">
        <f>Assumptions!G74</f>
        <v/>
      </c>
      <c r="H34" s="20">
        <f>Assumptions!H74</f>
        <v/>
      </c>
      <c r="I34" s="20">
        <f>Assumptions!I74</f>
        <v/>
      </c>
      <c r="J34" s="20">
        <f>Assumptions!J74</f>
        <v/>
      </c>
      <c r="K34" s="20">
        <f>Assumptions!K74</f>
        <v/>
      </c>
      <c r="L34" s="20">
        <f>Assumptions!L74</f>
        <v/>
      </c>
      <c r="M34" s="20">
        <f>Assumptions!M74</f>
        <v/>
      </c>
      <c r="N34" s="20">
        <f>Assumptions!N74</f>
        <v/>
      </c>
    </row>
    <row r="35">
      <c r="B35" s="29" t="inlineStr">
        <is>
          <t>Debt drawn</t>
        </is>
      </c>
      <c r="D35" s="20">
        <f>Assumptions!D75</f>
        <v/>
      </c>
      <c r="E35" s="20">
        <f>Assumptions!E75</f>
        <v/>
      </c>
      <c r="F35" s="20">
        <f>Assumptions!F75</f>
        <v/>
      </c>
      <c r="G35" s="20">
        <f>Assumptions!G75</f>
        <v/>
      </c>
      <c r="H35" s="20">
        <f>Assumptions!H75</f>
        <v/>
      </c>
      <c r="I35" s="20">
        <f>Assumptions!I75</f>
        <v/>
      </c>
      <c r="J35" s="20">
        <f>Assumptions!J75</f>
        <v/>
      </c>
      <c r="K35" s="20">
        <f>Assumptions!K75</f>
        <v/>
      </c>
      <c r="L35" s="20">
        <f>Assumptions!L75</f>
        <v/>
      </c>
      <c r="M35" s="20">
        <f>Assumptions!M75</f>
        <v/>
      </c>
      <c r="N35" s="20">
        <f>Assumptions!N75</f>
        <v/>
      </c>
    </row>
    <row r="36">
      <c r="B36" s="29" t="inlineStr">
        <is>
          <t>Employee liquidity / tenders</t>
        </is>
      </c>
      <c r="D36" s="20">
        <f>Assumptions!D76</f>
        <v/>
      </c>
      <c r="E36" s="20">
        <f>Assumptions!E76</f>
        <v/>
      </c>
      <c r="F36" s="20">
        <f>Assumptions!F76</f>
        <v/>
      </c>
      <c r="G36" s="20">
        <f>Assumptions!G76</f>
        <v/>
      </c>
      <c r="H36" s="20">
        <f>Assumptions!H76</f>
        <v/>
      </c>
      <c r="I36" s="20">
        <f>Assumptions!I76</f>
        <v/>
      </c>
      <c r="J36" s="20">
        <f>Assumptions!J76</f>
        <v/>
      </c>
      <c r="K36" s="20">
        <f>Assumptions!K76</f>
        <v/>
      </c>
      <c r="L36" s="20">
        <f>Assumptions!L76</f>
        <v/>
      </c>
      <c r="M36" s="20">
        <f>Assumptions!M76</f>
        <v/>
      </c>
      <c r="N36" s="20">
        <f>Assumptions!N76</f>
        <v/>
      </c>
    </row>
    <row r="37">
      <c r="B37" s="35" t="inlineStr">
        <is>
          <t>Cash from financing</t>
        </is>
      </c>
      <c r="D37" s="24">
        <f>D34+D35+D36</f>
        <v/>
      </c>
      <c r="E37" s="24">
        <f>E34+E35+E36</f>
        <v/>
      </c>
      <c r="F37" s="24">
        <f>F34+F35+F36</f>
        <v/>
      </c>
      <c r="G37" s="24">
        <f>G34+G35+G36</f>
        <v/>
      </c>
      <c r="H37" s="24">
        <f>H34+H35+H36</f>
        <v/>
      </c>
      <c r="I37" s="24">
        <f>I34+I35+I36</f>
        <v/>
      </c>
      <c r="J37" s="24">
        <f>J34+J35+J36</f>
        <v/>
      </c>
      <c r="K37" s="24">
        <f>K34+K35+K36</f>
        <v/>
      </c>
      <c r="L37" s="24">
        <f>L34+L35+L36</f>
        <v/>
      </c>
      <c r="M37" s="24">
        <f>M34+M35+M36</f>
        <v/>
      </c>
      <c r="N37" s="24">
        <f>N34+N35+N36</f>
        <v/>
      </c>
    </row>
    <row r="38">
      <c r="B38" s="35" t="inlineStr">
        <is>
          <t>Net change in cash</t>
        </is>
      </c>
      <c r="D38" s="24">
        <f>D30+D33+D37</f>
        <v/>
      </c>
      <c r="E38" s="24">
        <f>E30+E33+E37</f>
        <v/>
      </c>
      <c r="F38" s="24">
        <f>F30+F33+F37</f>
        <v/>
      </c>
      <c r="G38" s="24">
        <f>G30+G33+G37</f>
        <v/>
      </c>
      <c r="H38" s="24">
        <f>H30+H33+H37</f>
        <v/>
      </c>
      <c r="I38" s="24">
        <f>I30+I33+I37</f>
        <v/>
      </c>
      <c r="J38" s="24">
        <f>J30+J33+J37</f>
        <v/>
      </c>
      <c r="K38" s="24">
        <f>K30+K33+K37</f>
        <v/>
      </c>
      <c r="L38" s="24">
        <f>L30+L33+L37</f>
        <v/>
      </c>
      <c r="M38" s="24">
        <f>M30+M33+M37</f>
        <v/>
      </c>
      <c r="N38" s="24">
        <f>N30+N33+N37</f>
        <v/>
      </c>
    </row>
    <row r="39">
      <c r="B39" s="35" t="inlineStr">
        <is>
          <t>Free cash flow (CFO + capex)</t>
        </is>
      </c>
      <c r="D39" s="36">
        <f>D30+D31</f>
        <v/>
      </c>
      <c r="E39" s="36">
        <f>E30+E31</f>
        <v/>
      </c>
      <c r="F39" s="36">
        <f>F30+F31</f>
        <v/>
      </c>
      <c r="G39" s="36">
        <f>G30+G31</f>
        <v/>
      </c>
      <c r="H39" s="36">
        <f>H30+H31</f>
        <v/>
      </c>
      <c r="I39" s="36">
        <f>I30+I31</f>
        <v/>
      </c>
      <c r="J39" s="36">
        <f>J30+J31</f>
        <v/>
      </c>
      <c r="K39" s="36">
        <f>K30+K31</f>
        <v/>
      </c>
      <c r="L39" s="36">
        <f>L30+L31</f>
        <v/>
      </c>
      <c r="M39" s="36">
        <f>M30+M31</f>
        <v/>
      </c>
      <c r="N39" s="36">
        <f>N30+N31</f>
        <v/>
      </c>
      <c r="P39" s="3" t="inlineStr">
        <is>
          <t>Company confirms first positive FCF quarter Q4 FY2025 and positive TTM FCF through 2025 (no magnitude). Level here is a model output; early years are estimates sensitive to deferred-revenue timing.</t>
        </is>
      </c>
    </row>
    <row r="40">
      <c r="B40" s="29" t="inlineStr">
        <is>
          <t xml:space="preserve">  FCF margin %</t>
        </is>
      </c>
      <c r="D40" s="19">
        <f>D39/D7</f>
        <v/>
      </c>
      <c r="E40" s="19">
        <f>E39/E7</f>
        <v/>
      </c>
      <c r="F40" s="19">
        <f>F39/F7</f>
        <v/>
      </c>
      <c r="G40" s="19">
        <f>G39/G7</f>
        <v/>
      </c>
      <c r="H40" s="19">
        <f>H39/H7</f>
        <v/>
      </c>
      <c r="I40" s="19">
        <f>I39/I7</f>
        <v/>
      </c>
      <c r="J40" s="19">
        <f>J39/J7</f>
        <v/>
      </c>
      <c r="K40" s="19">
        <f>K39/K7</f>
        <v/>
      </c>
      <c r="L40" s="19">
        <f>L39/L7</f>
        <v/>
      </c>
      <c r="M40" s="19">
        <f>M39/M7</f>
        <v/>
      </c>
      <c r="N40" s="19">
        <f>N39/N7</f>
        <v/>
      </c>
    </row>
    <row r="42">
      <c r="B42" s="12" t="inlineStr">
        <is>
          <t>BALANCE SHEET (closing)</t>
        </is>
      </c>
      <c r="C42" s="13" t="n"/>
      <c r="D42" s="13" t="n"/>
      <c r="E42" s="13" t="n"/>
      <c r="F42" s="13" t="n"/>
      <c r="G42" s="13" t="n"/>
      <c r="H42" s="13" t="n"/>
      <c r="I42" s="13" t="n"/>
      <c r="J42" s="13" t="n"/>
      <c r="K42" s="13" t="n"/>
      <c r="L42" s="13" t="n"/>
      <c r="M42" s="13" t="n"/>
      <c r="N42" s="13" t="n"/>
    </row>
    <row r="43">
      <c r="B43" s="35" t="inlineStr">
        <is>
          <t>Cash and investments</t>
        </is>
      </c>
      <c r="D43" s="24">
        <f>Assumptions!D83+D38</f>
        <v/>
      </c>
      <c r="E43" s="24">
        <f>D43+E38</f>
        <v/>
      </c>
      <c r="F43" s="24">
        <f>E43+F38</f>
        <v/>
      </c>
      <c r="G43" s="24">
        <f>F43+G38</f>
        <v/>
      </c>
      <c r="H43" s="24">
        <f>G43+H38</f>
        <v/>
      </c>
      <c r="I43" s="24">
        <f>H43+I38</f>
        <v/>
      </c>
      <c r="J43" s="24">
        <f>I43+J38</f>
        <v/>
      </c>
      <c r="K43" s="24">
        <f>J43+K38</f>
        <v/>
      </c>
      <c r="L43" s="24">
        <f>K43+L38</f>
        <v/>
      </c>
      <c r="M43" s="24">
        <f>L43+M38</f>
        <v/>
      </c>
      <c r="N43" s="24">
        <f>M43+N38</f>
        <v/>
      </c>
    </row>
    <row r="44">
      <c r="B44" s="29" t="inlineStr">
        <is>
          <t>Accounts receivable</t>
        </is>
      </c>
      <c r="D44" s="20">
        <f>D7*Assumptions!D70/365</f>
        <v/>
      </c>
      <c r="E44" s="20">
        <f>E7*Assumptions!E70/365</f>
        <v/>
      </c>
      <c r="F44" s="20">
        <f>F7*Assumptions!F70/365</f>
        <v/>
      </c>
      <c r="G44" s="20">
        <f>G7*Assumptions!G70/365</f>
        <v/>
      </c>
      <c r="H44" s="20">
        <f>H7*Assumptions!H70/365</f>
        <v/>
      </c>
      <c r="I44" s="20">
        <f>I7*Assumptions!I70/365</f>
        <v/>
      </c>
      <c r="J44" s="20">
        <f>J7*Assumptions!J70/365</f>
        <v/>
      </c>
      <c r="K44" s="20">
        <f>K7*Assumptions!K70/365</f>
        <v/>
      </c>
      <c r="L44" s="20">
        <f>L7*Assumptions!L70/365</f>
        <v/>
      </c>
      <c r="M44" s="20">
        <f>M7*Assumptions!M70/365</f>
        <v/>
      </c>
      <c r="N44" s="20">
        <f>N7*Assumptions!N70/365</f>
        <v/>
      </c>
    </row>
    <row r="45">
      <c r="B45" s="29" t="inlineStr">
        <is>
          <t>PP&amp;E, net</t>
        </is>
      </c>
      <c r="D45" s="20">
        <f>Assumptions!D85-D31+D15</f>
        <v/>
      </c>
      <c r="E45" s="20">
        <f>D45-E31+E15</f>
        <v/>
      </c>
      <c r="F45" s="20">
        <f>E45-F31+F15</f>
        <v/>
      </c>
      <c r="G45" s="20">
        <f>F45-G31+G15</f>
        <v/>
      </c>
      <c r="H45" s="20">
        <f>G45-H31+H15</f>
        <v/>
      </c>
      <c r="I45" s="20">
        <f>H45-I31+I15</f>
        <v/>
      </c>
      <c r="J45" s="20">
        <f>I45-J31+J15</f>
        <v/>
      </c>
      <c r="K45" s="20">
        <f>J45-K31+K15</f>
        <v/>
      </c>
      <c r="L45" s="20">
        <f>K45-L31+L15</f>
        <v/>
      </c>
      <c r="M45" s="20">
        <f>L45-M31+M15</f>
        <v/>
      </c>
      <c r="N45" s="20">
        <f>M45-N31+N15</f>
        <v/>
      </c>
    </row>
    <row r="46">
      <c r="B46" s="29" t="inlineStr">
        <is>
          <t>Goodwill and intangibles</t>
        </is>
      </c>
      <c r="D46" s="20">
        <f>Assumptions!D86-D32-Costs!D11</f>
        <v/>
      </c>
      <c r="E46" s="20">
        <f>D46-E32-Costs!E11</f>
        <v/>
      </c>
      <c r="F46" s="20">
        <f>E46-F32-Costs!F11</f>
        <v/>
      </c>
      <c r="G46" s="20">
        <f>F46-G32-Costs!G11</f>
        <v/>
      </c>
      <c r="H46" s="20">
        <f>G46-H32-Costs!H11</f>
        <v/>
      </c>
      <c r="I46" s="20">
        <f>H46-I32-Costs!I11</f>
        <v/>
      </c>
      <c r="J46" s="20">
        <f>I46-J32-Costs!J11</f>
        <v/>
      </c>
      <c r="K46" s="20">
        <f>J46-K32-Costs!K11</f>
        <v/>
      </c>
      <c r="L46" s="20">
        <f>K46-L32-Costs!L11</f>
        <v/>
      </c>
      <c r="M46" s="20">
        <f>L46-M32-Costs!M11</f>
        <v/>
      </c>
      <c r="N46" s="20">
        <f>M46-N32-Costs!N11</f>
        <v/>
      </c>
    </row>
    <row r="47">
      <c r="B47" s="29" t="inlineStr">
        <is>
          <t>Other assets</t>
        </is>
      </c>
      <c r="D47" s="20">
        <f>Assumptions!D87</f>
        <v/>
      </c>
      <c r="E47" s="20">
        <f>Assumptions!D87</f>
        <v/>
      </c>
      <c r="F47" s="20">
        <f>Assumptions!D87</f>
        <v/>
      </c>
      <c r="G47" s="20">
        <f>Assumptions!D87</f>
        <v/>
      </c>
      <c r="H47" s="20">
        <f>Assumptions!D87</f>
        <v/>
      </c>
      <c r="I47" s="20">
        <f>Assumptions!D87</f>
        <v/>
      </c>
      <c r="J47" s="20">
        <f>Assumptions!D87</f>
        <v/>
      </c>
      <c r="K47" s="20">
        <f>Assumptions!D87</f>
        <v/>
      </c>
      <c r="L47" s="20">
        <f>Assumptions!D87</f>
        <v/>
      </c>
      <c r="M47" s="20">
        <f>Assumptions!D87</f>
        <v/>
      </c>
      <c r="N47" s="20">
        <f>Assumptions!D87</f>
        <v/>
      </c>
    </row>
    <row r="48">
      <c r="B48" s="35" t="inlineStr">
        <is>
          <t>Total assets</t>
        </is>
      </c>
      <c r="D48" s="24">
        <f>SUM(D43:D47)</f>
        <v/>
      </c>
      <c r="E48" s="24">
        <f>SUM(E43:E47)</f>
        <v/>
      </c>
      <c r="F48" s="24">
        <f>SUM(F43:F47)</f>
        <v/>
      </c>
      <c r="G48" s="24">
        <f>SUM(G43:G47)</f>
        <v/>
      </c>
      <c r="H48" s="24">
        <f>SUM(H43:H47)</f>
        <v/>
      </c>
      <c r="I48" s="24">
        <f>SUM(I43:I47)</f>
        <v/>
      </c>
      <c r="J48" s="24">
        <f>SUM(J43:J47)</f>
        <v/>
      </c>
      <c r="K48" s="24">
        <f>SUM(K43:K47)</f>
        <v/>
      </c>
      <c r="L48" s="24">
        <f>SUM(L43:L47)</f>
        <v/>
      </c>
      <c r="M48" s="24">
        <f>SUM(M43:M47)</f>
        <v/>
      </c>
      <c r="N48" s="24">
        <f>SUM(N43:N47)</f>
        <v/>
      </c>
    </row>
    <row r="49">
      <c r="B49" s="29" t="inlineStr">
        <is>
          <t>Deferred revenue</t>
        </is>
      </c>
      <c r="D49" s="20">
        <f>D7*Assumptions!D71/365</f>
        <v/>
      </c>
      <c r="E49" s="20">
        <f>E7*Assumptions!E71/365</f>
        <v/>
      </c>
      <c r="F49" s="20">
        <f>F7*Assumptions!F71/365</f>
        <v/>
      </c>
      <c r="G49" s="20">
        <f>G7*Assumptions!G71/365</f>
        <v/>
      </c>
      <c r="H49" s="20">
        <f>H7*Assumptions!H71/365</f>
        <v/>
      </c>
      <c r="I49" s="20">
        <f>I7*Assumptions!I71/365</f>
        <v/>
      </c>
      <c r="J49" s="20">
        <f>J7*Assumptions!J71/365</f>
        <v/>
      </c>
      <c r="K49" s="20">
        <f>K7*Assumptions!K71/365</f>
        <v/>
      </c>
      <c r="L49" s="20">
        <f>L7*Assumptions!L71/365</f>
        <v/>
      </c>
      <c r="M49" s="20">
        <f>M7*Assumptions!M71/365</f>
        <v/>
      </c>
      <c r="N49" s="20">
        <f>N7*Assumptions!N71/365</f>
        <v/>
      </c>
    </row>
    <row r="50">
      <c r="B50" s="29" t="inlineStr">
        <is>
          <t>Other liabilities</t>
        </is>
      </c>
      <c r="D50" s="20">
        <f>Assumptions!D89</f>
        <v/>
      </c>
      <c r="E50" s="20">
        <f>Assumptions!D89</f>
        <v/>
      </c>
      <c r="F50" s="20">
        <f>Assumptions!D89</f>
        <v/>
      </c>
      <c r="G50" s="20">
        <f>Assumptions!D89</f>
        <v/>
      </c>
      <c r="H50" s="20">
        <f>Assumptions!D89</f>
        <v/>
      </c>
      <c r="I50" s="20">
        <f>Assumptions!D89</f>
        <v/>
      </c>
      <c r="J50" s="20">
        <f>Assumptions!D89</f>
        <v/>
      </c>
      <c r="K50" s="20">
        <f>Assumptions!D89</f>
        <v/>
      </c>
      <c r="L50" s="20">
        <f>Assumptions!D89</f>
        <v/>
      </c>
      <c r="M50" s="20">
        <f>Assumptions!D89</f>
        <v/>
      </c>
      <c r="N50" s="20">
        <f>Assumptions!D89</f>
        <v/>
      </c>
    </row>
    <row r="51">
      <c r="B51" s="35" t="inlineStr">
        <is>
          <t>Debt</t>
        </is>
      </c>
      <c r="D51" s="24">
        <f>Assumptions!D90+D35</f>
        <v/>
      </c>
      <c r="E51" s="24">
        <f>D51+E35</f>
        <v/>
      </c>
      <c r="F51" s="24">
        <f>E51+F35</f>
        <v/>
      </c>
      <c r="G51" s="24">
        <f>F51+G35</f>
        <v/>
      </c>
      <c r="H51" s="24">
        <f>G51+H35</f>
        <v/>
      </c>
      <c r="I51" s="24">
        <f>H51+I35</f>
        <v/>
      </c>
      <c r="J51" s="24">
        <f>I51+J35</f>
        <v/>
      </c>
      <c r="K51" s="24">
        <f>J51+K35</f>
        <v/>
      </c>
      <c r="L51" s="24">
        <f>K51+L35</f>
        <v/>
      </c>
      <c r="M51" s="24">
        <f>L51+M35</f>
        <v/>
      </c>
      <c r="N51" s="24">
        <f>M51+N35</f>
        <v/>
      </c>
    </row>
    <row r="52">
      <c r="B52" s="35" t="inlineStr">
        <is>
          <t>Total liabilities</t>
        </is>
      </c>
      <c r="D52" s="24">
        <f>D49+D50+D51</f>
        <v/>
      </c>
      <c r="E52" s="24">
        <f>E49+E50+E51</f>
        <v/>
      </c>
      <c r="F52" s="24">
        <f>F49+F50+F51</f>
        <v/>
      </c>
      <c r="G52" s="24">
        <f>G49+G50+G51</f>
        <v/>
      </c>
      <c r="H52" s="24">
        <f>H49+H50+H51</f>
        <v/>
      </c>
      <c r="I52" s="24">
        <f>I49+I50+I51</f>
        <v/>
      </c>
      <c r="J52" s="24">
        <f>J49+J50+J51</f>
        <v/>
      </c>
      <c r="K52" s="24">
        <f>K49+K50+K51</f>
        <v/>
      </c>
      <c r="L52" s="24">
        <f>L49+L50+L51</f>
        <v/>
      </c>
      <c r="M52" s="24">
        <f>M49+M50+M51</f>
        <v/>
      </c>
      <c r="N52" s="24">
        <f>N49+N50+N51</f>
        <v/>
      </c>
    </row>
    <row r="53">
      <c r="B53" s="29" t="inlineStr">
        <is>
          <t>Paid-in capital (incl SBC, net of tenders)</t>
        </is>
      </c>
      <c r="D53" s="20">
        <f>Assumptions!D91+D34-D14+D36</f>
        <v/>
      </c>
      <c r="E53" s="20">
        <f>D53+E34-E14+E36</f>
        <v/>
      </c>
      <c r="F53" s="20">
        <f>E53+F34-F14+F36</f>
        <v/>
      </c>
      <c r="G53" s="20">
        <f>F53+G34-G14+G36</f>
        <v/>
      </c>
      <c r="H53" s="20">
        <f>G53+H34-H14+H36</f>
        <v/>
      </c>
      <c r="I53" s="20">
        <f>H53+I34-I14+I36</f>
        <v/>
      </c>
      <c r="J53" s="20">
        <f>I53+J34-J14+J36</f>
        <v/>
      </c>
      <c r="K53" s="20">
        <f>J53+K34-K14+K36</f>
        <v/>
      </c>
      <c r="L53" s="20">
        <f>K53+L34-L14+L36</f>
        <v/>
      </c>
      <c r="M53" s="20">
        <f>L53+M34-M14+M36</f>
        <v/>
      </c>
      <c r="N53" s="20">
        <f>M53+N34-N14+N36</f>
        <v/>
      </c>
    </row>
    <row r="54">
      <c r="B54" s="29" t="inlineStr">
        <is>
          <t>Accumulated deficit</t>
        </is>
      </c>
      <c r="D54" s="20">
        <f>Assumptions!D92+D22</f>
        <v/>
      </c>
      <c r="E54" s="20">
        <f>D54+E22</f>
        <v/>
      </c>
      <c r="F54" s="20">
        <f>E54+F22</f>
        <v/>
      </c>
      <c r="G54" s="20">
        <f>F54+G22</f>
        <v/>
      </c>
      <c r="H54" s="20">
        <f>G54+H22</f>
        <v/>
      </c>
      <c r="I54" s="20">
        <f>H54+I22</f>
        <v/>
      </c>
      <c r="J54" s="20">
        <f>I54+J22</f>
        <v/>
      </c>
      <c r="K54" s="20">
        <f>J54+K22</f>
        <v/>
      </c>
      <c r="L54" s="20">
        <f>K54+L22</f>
        <v/>
      </c>
      <c r="M54" s="20">
        <f>L54+M22</f>
        <v/>
      </c>
      <c r="N54" s="20">
        <f>M54+N22</f>
        <v/>
      </c>
    </row>
    <row r="55">
      <c r="B55" s="35" t="inlineStr">
        <is>
          <t>Total equity</t>
        </is>
      </c>
      <c r="D55" s="24">
        <f>D53+D54</f>
        <v/>
      </c>
      <c r="E55" s="24">
        <f>E53+E54</f>
        <v/>
      </c>
      <c r="F55" s="24">
        <f>F53+F54</f>
        <v/>
      </c>
      <c r="G55" s="24">
        <f>G53+G54</f>
        <v/>
      </c>
      <c r="H55" s="24">
        <f>H53+H54</f>
        <v/>
      </c>
      <c r="I55" s="24">
        <f>I53+I54</f>
        <v/>
      </c>
      <c r="J55" s="24">
        <f>J53+J54</f>
        <v/>
      </c>
      <c r="K55" s="24">
        <f>K53+K54</f>
        <v/>
      </c>
      <c r="L55" s="24">
        <f>L53+L54</f>
        <v/>
      </c>
      <c r="M55" s="24">
        <f>M53+M54</f>
        <v/>
      </c>
      <c r="N55" s="24">
        <f>N53+N54</f>
        <v/>
      </c>
    </row>
    <row r="56">
      <c r="B56" s="29" t="inlineStr">
        <is>
          <t>Balance check (must be 0)</t>
        </is>
      </c>
      <c r="D56" s="41">
        <f>ROUND(D48-D52-D55,4)</f>
        <v/>
      </c>
      <c r="E56" s="41">
        <f>ROUND(E48-E52-E55,4)</f>
        <v/>
      </c>
      <c r="F56" s="41">
        <f>ROUND(F48-F52-F55,4)</f>
        <v/>
      </c>
      <c r="G56" s="41">
        <f>ROUND(G48-G52-G55,4)</f>
        <v/>
      </c>
      <c r="H56" s="41">
        <f>ROUND(H48-H52-H55,4)</f>
        <v/>
      </c>
      <c r="I56" s="41">
        <f>ROUND(I48-I52-I55,4)</f>
        <v/>
      </c>
      <c r="J56" s="41">
        <f>ROUND(J48-J52-J55,4)</f>
        <v/>
      </c>
      <c r="K56" s="41">
        <f>ROUND(K48-K52-K55,4)</f>
        <v/>
      </c>
      <c r="L56" s="41">
        <f>ROUND(L48-L52-L55,4)</f>
        <v/>
      </c>
      <c r="M56" s="41">
        <f>ROUND(M48-M52-M55,4)</f>
        <v/>
      </c>
      <c r="N56" s="41">
        <f>ROUND(N48-N52-N55,4)</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B2:P26"/>
  <sheetViews>
    <sheetView showGridLines="0" workbookViewId="0">
      <selection activeCell="A1" sqref="A1"/>
    </sheetView>
  </sheetViews>
  <sheetFormatPr baseColWidth="8" defaultRowHeight="15"/>
  <cols>
    <col width="2" customWidth="1" min="1" max="1"/>
    <col width="42" customWidth="1" min="2" max="2"/>
    <col width="3"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2" customWidth="1" min="15" max="15"/>
    <col width="58" customWidth="1" min="16" max="16"/>
  </cols>
  <sheetData>
    <row r="2">
      <c r="B2" s="9" t="inlineStr">
        <is>
          <t>KPIs and Unit Economics</t>
        </is>
      </c>
    </row>
    <row r="3">
      <c r="B3" s="10" t="inlineStr">
        <is>
          <t>Read-through of the build. All linked to the model; nothing typed twice.</t>
        </is>
      </c>
    </row>
    <row r="5">
      <c r="B5" s="28" t="n"/>
      <c r="D5" s="15" t="inlineStr">
        <is>
          <t>FY2022A</t>
        </is>
      </c>
      <c r="E5" s="15" t="inlineStr">
        <is>
          <t>FY2023A</t>
        </is>
      </c>
      <c r="F5" s="15" t="inlineStr">
        <is>
          <t>FY2024A</t>
        </is>
      </c>
      <c r="G5" s="15" t="inlineStr">
        <is>
          <t>FY2025A</t>
        </is>
      </c>
      <c r="H5" s="15" t="inlineStr">
        <is>
          <t>FY2026A</t>
        </is>
      </c>
      <c r="I5" s="15" t="inlineStr">
        <is>
          <t>FY2027E</t>
        </is>
      </c>
      <c r="J5" s="15" t="inlineStr">
        <is>
          <t>FY2028E</t>
        </is>
      </c>
      <c r="K5" s="15" t="inlineStr">
        <is>
          <t>FY2029E</t>
        </is>
      </c>
      <c r="L5" s="15" t="inlineStr">
        <is>
          <t>FY2030E</t>
        </is>
      </c>
      <c r="M5" s="15" t="inlineStr">
        <is>
          <t>FY2031E</t>
        </is>
      </c>
      <c r="N5" s="15" t="inlineStr">
        <is>
          <t>FY2032E</t>
        </is>
      </c>
    </row>
    <row r="6">
      <c r="B6" s="12" t="inlineStr">
        <is>
          <t>Growth and profitability</t>
        </is>
      </c>
      <c r="C6" s="13" t="n"/>
      <c r="D6" s="13" t="n"/>
      <c r="E6" s="13" t="n"/>
      <c r="F6" s="13" t="n"/>
      <c r="G6" s="13" t="n"/>
      <c r="H6" s="13" t="n"/>
      <c r="I6" s="13" t="n"/>
      <c r="J6" s="13" t="n"/>
      <c r="K6" s="13" t="n"/>
      <c r="L6" s="13" t="n"/>
      <c r="M6" s="13" t="n"/>
      <c r="N6" s="13" t="n"/>
    </row>
    <row r="7">
      <c r="B7" s="35" t="inlineStr">
        <is>
          <t>Revenue</t>
        </is>
      </c>
      <c r="D7" s="24">
        <f>Financials!D7</f>
        <v/>
      </c>
      <c r="E7" s="24">
        <f>Financials!E7</f>
        <v/>
      </c>
      <c r="F7" s="24">
        <f>Financials!F7</f>
        <v/>
      </c>
      <c r="G7" s="24">
        <f>Financials!G7</f>
        <v/>
      </c>
      <c r="H7" s="24">
        <f>Financials!H7</f>
        <v/>
      </c>
      <c r="I7" s="24">
        <f>Financials!I7</f>
        <v/>
      </c>
      <c r="J7" s="24">
        <f>Financials!J7</f>
        <v/>
      </c>
      <c r="K7" s="24">
        <f>Financials!K7</f>
        <v/>
      </c>
      <c r="L7" s="24">
        <f>Financials!L7</f>
        <v/>
      </c>
      <c r="M7" s="24">
        <f>Financials!M7</f>
        <v/>
      </c>
      <c r="N7" s="24">
        <f>Financials!N7</f>
        <v/>
      </c>
    </row>
    <row r="8">
      <c r="B8" s="29" t="inlineStr">
        <is>
          <t xml:space="preserve">  Revenue growth</t>
        </is>
      </c>
      <c r="D8" s="19" t="inlineStr"/>
      <c r="E8" s="19">
        <f>Financials!E7/Financials!D7-1</f>
        <v/>
      </c>
      <c r="F8" s="19">
        <f>Financials!F7/Financials!E7-1</f>
        <v/>
      </c>
      <c r="G8" s="19">
        <f>Financials!G7/Financials!F7-1</f>
        <v/>
      </c>
      <c r="H8" s="19">
        <f>Financials!H7/Financials!G7-1</f>
        <v/>
      </c>
      <c r="I8" s="19">
        <f>Financials!I7/Financials!H7-1</f>
        <v/>
      </c>
      <c r="J8" s="19">
        <f>Financials!J7/Financials!I7-1</f>
        <v/>
      </c>
      <c r="K8" s="19">
        <f>Financials!K7/Financials!J7-1</f>
        <v/>
      </c>
      <c r="L8" s="19">
        <f>Financials!L7/Financials!K7-1</f>
        <v/>
      </c>
      <c r="M8" s="19">
        <f>Financials!M7/Financials!L7-1</f>
        <v/>
      </c>
      <c r="N8" s="19">
        <f>Financials!N7/Financials!M7-1</f>
        <v/>
      </c>
    </row>
    <row r="9">
      <c r="B9" s="29" t="inlineStr">
        <is>
          <t>Gross margin</t>
        </is>
      </c>
      <c r="D9" s="19">
        <f>Financials!D9/Financials!D7</f>
        <v/>
      </c>
      <c r="E9" s="19">
        <f>Financials!E9/Financials!E7</f>
        <v/>
      </c>
      <c r="F9" s="19">
        <f>Financials!F9/Financials!F7</f>
        <v/>
      </c>
      <c r="G9" s="19">
        <f>Financials!G9/Financials!G7</f>
        <v/>
      </c>
      <c r="H9" s="19">
        <f>Financials!H9/Financials!H7</f>
        <v/>
      </c>
      <c r="I9" s="19">
        <f>Financials!I9/Financials!I7</f>
        <v/>
      </c>
      <c r="J9" s="19">
        <f>Financials!J9/Financials!J7</f>
        <v/>
      </c>
      <c r="K9" s="19">
        <f>Financials!K9/Financials!K7</f>
        <v/>
      </c>
      <c r="L9" s="19">
        <f>Financials!L9/Financials!L7</f>
        <v/>
      </c>
      <c r="M9" s="19">
        <f>Financials!M9/Financials!M7</f>
        <v/>
      </c>
      <c r="N9" s="19">
        <f>Financials!N9/Financials!N7</f>
        <v/>
      </c>
    </row>
    <row r="10">
      <c r="B10" s="29" t="inlineStr">
        <is>
          <t>Operating (EBIT) margin</t>
        </is>
      </c>
      <c r="D10" s="19">
        <f>Financials!D16/Financials!D7</f>
        <v/>
      </c>
      <c r="E10" s="19">
        <f>Financials!E16/Financials!E7</f>
        <v/>
      </c>
      <c r="F10" s="19">
        <f>Financials!F16/Financials!F7</f>
        <v/>
      </c>
      <c r="G10" s="19">
        <f>Financials!G16/Financials!G7</f>
        <v/>
      </c>
      <c r="H10" s="19">
        <f>Financials!H16/Financials!H7</f>
        <v/>
      </c>
      <c r="I10" s="19">
        <f>Financials!I16/Financials!I7</f>
        <v/>
      </c>
      <c r="J10" s="19">
        <f>Financials!J16/Financials!J7</f>
        <v/>
      </c>
      <c r="K10" s="19">
        <f>Financials!K16/Financials!K7</f>
        <v/>
      </c>
      <c r="L10" s="19">
        <f>Financials!L16/Financials!L7</f>
        <v/>
      </c>
      <c r="M10" s="19">
        <f>Financials!M16/Financials!M7</f>
        <v/>
      </c>
      <c r="N10" s="19">
        <f>Financials!N16/Financials!N7</f>
        <v/>
      </c>
    </row>
    <row r="11">
      <c r="B11" s="29" t="inlineStr">
        <is>
          <t>FCF margin</t>
        </is>
      </c>
      <c r="D11" s="19">
        <f>Financials!D39/Financials!D7</f>
        <v/>
      </c>
      <c r="E11" s="19">
        <f>Financials!E39/Financials!E7</f>
        <v/>
      </c>
      <c r="F11" s="19">
        <f>Financials!F39/Financials!F7</f>
        <v/>
      </c>
      <c r="G11" s="19">
        <f>Financials!G39/Financials!G7</f>
        <v/>
      </c>
      <c r="H11" s="19">
        <f>Financials!H39/Financials!H7</f>
        <v/>
      </c>
      <c r="I11" s="19">
        <f>Financials!I39/Financials!I7</f>
        <v/>
      </c>
      <c r="J11" s="19">
        <f>Financials!J39/Financials!J7</f>
        <v/>
      </c>
      <c r="K11" s="19">
        <f>Financials!K39/Financials!K7</f>
        <v/>
      </c>
      <c r="L11" s="19">
        <f>Financials!L39/Financials!L7</f>
        <v/>
      </c>
      <c r="M11" s="19">
        <f>Financials!M39/Financials!M7</f>
        <v/>
      </c>
      <c r="N11" s="19">
        <f>Financials!N39/Financials!N7</f>
        <v/>
      </c>
    </row>
    <row r="12">
      <c r="B12" s="35" t="inlineStr">
        <is>
          <t>Rule of 40 (growth + FCF margin)</t>
        </is>
      </c>
      <c r="D12" s="42" t="inlineStr"/>
      <c r="E12" s="42">
        <f>(Financials!E7/Financials!D7-1)+Financials!E39/Financials!E7</f>
        <v/>
      </c>
      <c r="F12" s="42">
        <f>(Financials!F7/Financials!E7-1)+Financials!F39/Financials!F7</f>
        <v/>
      </c>
      <c r="G12" s="42">
        <f>(Financials!G7/Financials!F7-1)+Financials!G39/Financials!G7</f>
        <v/>
      </c>
      <c r="H12" s="42">
        <f>(Financials!H7/Financials!G7-1)+Financials!H39/Financials!H7</f>
        <v/>
      </c>
      <c r="I12" s="42">
        <f>(Financials!I7/Financials!H7-1)+Financials!I39/Financials!I7</f>
        <v/>
      </c>
      <c r="J12" s="42">
        <f>(Financials!J7/Financials!I7-1)+Financials!J39/Financials!J7</f>
        <v/>
      </c>
      <c r="K12" s="42">
        <f>(Financials!K7/Financials!J7-1)+Financials!K39/Financials!K7</f>
        <v/>
      </c>
      <c r="L12" s="42">
        <f>(Financials!L7/Financials!K7-1)+Financials!L39/Financials!L7</f>
        <v/>
      </c>
      <c r="M12" s="42">
        <f>(Financials!M7/Financials!L7-1)+Financials!M39/Financials!M7</f>
        <v/>
      </c>
      <c r="N12" s="42">
        <f>(Financials!N7/Financials!M7-1)+Financials!N39/Financials!N7</f>
        <v/>
      </c>
      <c r="P12" s="3" t="inlineStr">
        <is>
          <t>Above 40% is the software health bar; the model clears it throughout the forecast.</t>
        </is>
      </c>
    </row>
    <row r="14">
      <c r="B14" s="12" t="inlineStr">
        <is>
          <t>Efficiency and mix</t>
        </is>
      </c>
      <c r="C14" s="13" t="n"/>
      <c r="D14" s="13" t="n"/>
      <c r="E14" s="13" t="n"/>
      <c r="F14" s="13" t="n"/>
      <c r="G14" s="13" t="n"/>
      <c r="H14" s="13" t="n"/>
      <c r="I14" s="13" t="n"/>
      <c r="J14" s="13" t="n"/>
      <c r="K14" s="13" t="n"/>
      <c r="L14" s="13" t="n"/>
      <c r="M14" s="13" t="n"/>
      <c r="N14" s="13" t="n"/>
    </row>
    <row r="15">
      <c r="B15" s="29" t="inlineStr">
        <is>
          <t>Revenue per head (USD 000)</t>
        </is>
      </c>
      <c r="D15" s="20">
        <f>Costs!D7*1000/Costs!D39</f>
        <v/>
      </c>
      <c r="E15" s="20">
        <f>Costs!E7*1000/Costs!E39</f>
        <v/>
      </c>
      <c r="F15" s="20">
        <f>Costs!F7*1000/Costs!F39</f>
        <v/>
      </c>
      <c r="G15" s="20">
        <f>Costs!G7*1000/Costs!G39</f>
        <v/>
      </c>
      <c r="H15" s="20">
        <f>Costs!H7*1000/Costs!H39</f>
        <v/>
      </c>
      <c r="I15" s="20">
        <f>Costs!I7*1000/Costs!I39</f>
        <v/>
      </c>
      <c r="J15" s="20">
        <f>Costs!J7*1000/Costs!J39</f>
        <v/>
      </c>
      <c r="K15" s="20">
        <f>Costs!K7*1000/Costs!K39</f>
        <v/>
      </c>
      <c r="L15" s="20">
        <f>Costs!L7*1000/Costs!L39</f>
        <v/>
      </c>
      <c r="M15" s="20">
        <f>Costs!M7*1000/Costs!M39</f>
        <v/>
      </c>
      <c r="N15" s="20">
        <f>Costs!N7*1000/Costs!N39</f>
        <v/>
      </c>
    </row>
    <row r="16">
      <c r="B16" s="29" t="inlineStr">
        <is>
          <t>Implied headcount (year end)</t>
        </is>
      </c>
      <c r="D16" s="20">
        <f>Costs!D39</f>
        <v/>
      </c>
      <c r="E16" s="20">
        <f>Costs!E39</f>
        <v/>
      </c>
      <c r="F16" s="20">
        <f>Costs!F39</f>
        <v/>
      </c>
      <c r="G16" s="20">
        <f>Costs!G39</f>
        <v/>
      </c>
      <c r="H16" s="20">
        <f>Costs!H39</f>
        <v/>
      </c>
      <c r="I16" s="20">
        <f>Costs!I39</f>
        <v/>
      </c>
      <c r="J16" s="20">
        <f>Costs!J39</f>
        <v/>
      </c>
      <c r="K16" s="20">
        <f>Costs!K39</f>
        <v/>
      </c>
      <c r="L16" s="20">
        <f>Costs!L39</f>
        <v/>
      </c>
      <c r="M16" s="20">
        <f>Costs!M39</f>
        <v/>
      </c>
      <c r="N16" s="20">
        <f>Costs!N39</f>
        <v/>
      </c>
    </row>
    <row r="17">
      <c r="B17" s="29" t="inlineStr">
        <is>
          <t>AI products, % of revenue</t>
        </is>
      </c>
      <c r="D17" s="19">
        <f>Revenue!D9/Revenue!D12</f>
        <v/>
      </c>
      <c r="E17" s="19">
        <f>Revenue!E9/Revenue!E12</f>
        <v/>
      </c>
      <c r="F17" s="19">
        <f>Revenue!F9/Revenue!F12</f>
        <v/>
      </c>
      <c r="G17" s="19">
        <f>Revenue!G9/Revenue!G12</f>
        <v/>
      </c>
      <c r="H17" s="19">
        <f>Revenue!H9/Revenue!H12</f>
        <v/>
      </c>
      <c r="I17" s="19">
        <f>Revenue!I9/Revenue!I12</f>
        <v/>
      </c>
      <c r="J17" s="19">
        <f>Revenue!J9/Revenue!J12</f>
        <v/>
      </c>
      <c r="K17" s="19">
        <f>Revenue!K9/Revenue!K12</f>
        <v/>
      </c>
      <c r="L17" s="19">
        <f>Revenue!L9/Revenue!L12</f>
        <v/>
      </c>
      <c r="M17" s="19">
        <f>Revenue!M9/Revenue!M12</f>
        <v/>
      </c>
      <c r="N17" s="19">
        <f>Revenue!N9/Revenue!N12</f>
        <v/>
      </c>
    </row>
    <row r="18">
      <c r="B18" s="29" t="inlineStr">
        <is>
          <t>Cloud/AI compute, % of revenue</t>
        </is>
      </c>
      <c r="D18" s="19">
        <f>(Costs!D8+Costs!D9)/Financials!D7</f>
        <v/>
      </c>
      <c r="E18" s="19">
        <f>(Costs!E8+Costs!E9)/Financials!E7</f>
        <v/>
      </c>
      <c r="F18" s="19">
        <f>(Costs!F8+Costs!F9)/Financials!F7</f>
        <v/>
      </c>
      <c r="G18" s="19">
        <f>(Costs!G8+Costs!G9)/Financials!G7</f>
        <v/>
      </c>
      <c r="H18" s="19">
        <f>(Costs!H8+Costs!H9)/Financials!H7</f>
        <v/>
      </c>
      <c r="I18" s="19">
        <f>(Costs!I8+Costs!I9)/Financials!I7</f>
        <v/>
      </c>
      <c r="J18" s="19">
        <f>(Costs!J8+Costs!J9)/Financials!J7</f>
        <v/>
      </c>
      <c r="K18" s="19">
        <f>(Costs!K8+Costs!K9)/Financials!K7</f>
        <v/>
      </c>
      <c r="L18" s="19">
        <f>(Costs!L8+Costs!L9)/Financials!L7</f>
        <v/>
      </c>
      <c r="M18" s="19">
        <f>(Costs!M8+Costs!M9)/Financials!M7</f>
        <v/>
      </c>
      <c r="N18" s="19">
        <f>(Costs!N8+Costs!N9)/Financials!N7</f>
        <v/>
      </c>
    </row>
    <row r="19">
      <c r="B19" s="29" t="inlineStr">
        <is>
          <t>Customers &gt;$1M / yr (count)</t>
        </is>
      </c>
      <c r="D19" s="20">
        <f>Assumptions!D62+Assumptions!D64</f>
        <v/>
      </c>
      <c r="E19" s="20">
        <f>Assumptions!E62+Assumptions!E64</f>
        <v/>
      </c>
      <c r="F19" s="20">
        <f>Assumptions!F62+Assumptions!F64</f>
        <v/>
      </c>
      <c r="G19" s="20">
        <f>Assumptions!G62+Assumptions!G64</f>
        <v/>
      </c>
      <c r="H19" s="20">
        <f>Assumptions!H62+Assumptions!H64</f>
        <v/>
      </c>
      <c r="I19" s="20">
        <f>Assumptions!I62+Assumptions!I64</f>
        <v/>
      </c>
      <c r="J19" s="20">
        <f>Assumptions!J62+Assumptions!J64</f>
        <v/>
      </c>
      <c r="K19" s="20">
        <f>Assumptions!K62+Assumptions!K64</f>
        <v/>
      </c>
      <c r="L19" s="20">
        <f>Assumptions!L62+Assumptions!L64</f>
        <v/>
      </c>
      <c r="M19" s="20">
        <f>Assumptions!M62+Assumptions!M64</f>
        <v/>
      </c>
      <c r="N19" s="20">
        <f>Assumptions!N62+Assumptions!N64</f>
        <v/>
      </c>
      <c r="P19" s="3" t="inlineStr">
        <is>
          <t>300+ Sep-2023, 500+ Dec-2024, 800+ Feb-2026 (company).</t>
        </is>
      </c>
    </row>
    <row r="21">
      <c r="B21" s="12" t="inlineStr">
        <is>
          <t>Capital and liquidity</t>
        </is>
      </c>
      <c r="C21" s="13" t="n"/>
      <c r="D21" s="13" t="n"/>
      <c r="E21" s="13" t="n"/>
      <c r="F21" s="13" t="n"/>
      <c r="G21" s="13" t="n"/>
      <c r="H21" s="13" t="n"/>
      <c r="I21" s="13" t="n"/>
      <c r="J21" s="13" t="n"/>
      <c r="K21" s="13" t="n"/>
      <c r="L21" s="13" t="n"/>
      <c r="M21" s="13" t="n"/>
      <c r="N21" s="13" t="n"/>
    </row>
    <row r="22">
      <c r="B22" s="29" t="inlineStr">
        <is>
          <t>Cash and investments (closing)</t>
        </is>
      </c>
      <c r="D22" s="20">
        <f>Financials!D43</f>
        <v/>
      </c>
      <c r="E22" s="20">
        <f>Financials!E43</f>
        <v/>
      </c>
      <c r="F22" s="20">
        <f>Financials!F43</f>
        <v/>
      </c>
      <c r="G22" s="20">
        <f>Financials!G43</f>
        <v/>
      </c>
      <c r="H22" s="20">
        <f>Financials!H43</f>
        <v/>
      </c>
      <c r="I22" s="20">
        <f>Financials!I43</f>
        <v/>
      </c>
      <c r="J22" s="20">
        <f>Financials!J43</f>
        <v/>
      </c>
      <c r="K22" s="20">
        <f>Financials!K43</f>
        <v/>
      </c>
      <c r="L22" s="20">
        <f>Financials!L43</f>
        <v/>
      </c>
      <c r="M22" s="20">
        <f>Financials!M43</f>
        <v/>
      </c>
      <c r="N22" s="20">
        <f>Financials!N43</f>
        <v/>
      </c>
    </row>
    <row r="23">
      <c r="B23" s="29" t="inlineStr">
        <is>
          <t>Debt (closing)</t>
        </is>
      </c>
      <c r="D23" s="20">
        <f>Financials!D51</f>
        <v/>
      </c>
      <c r="E23" s="20">
        <f>Financials!E51</f>
        <v/>
      </c>
      <c r="F23" s="20">
        <f>Financials!F51</f>
        <v/>
      </c>
      <c r="G23" s="20">
        <f>Financials!G51</f>
        <v/>
      </c>
      <c r="H23" s="20">
        <f>Financials!H51</f>
        <v/>
      </c>
      <c r="I23" s="20">
        <f>Financials!I51</f>
        <v/>
      </c>
      <c r="J23" s="20">
        <f>Financials!J51</f>
        <v/>
      </c>
      <c r="K23" s="20">
        <f>Financials!K51</f>
        <v/>
      </c>
      <c r="L23" s="20">
        <f>Financials!L51</f>
        <v/>
      </c>
      <c r="M23" s="20">
        <f>Financials!M51</f>
        <v/>
      </c>
      <c r="N23" s="20">
        <f>Financials!N51</f>
        <v/>
      </c>
    </row>
    <row r="24">
      <c r="B24" s="29" t="inlineStr">
        <is>
          <t>Deferred revenue (closing)</t>
        </is>
      </c>
      <c r="D24" s="20">
        <f>Financials!D49</f>
        <v/>
      </c>
      <c r="E24" s="20">
        <f>Financials!E49</f>
        <v/>
      </c>
      <c r="F24" s="20">
        <f>Financials!F49</f>
        <v/>
      </c>
      <c r="G24" s="20">
        <f>Financials!G49</f>
        <v/>
      </c>
      <c r="H24" s="20">
        <f>Financials!H49</f>
        <v/>
      </c>
      <c r="I24" s="20">
        <f>Financials!I49</f>
        <v/>
      </c>
      <c r="J24" s="20">
        <f>Financials!J49</f>
        <v/>
      </c>
      <c r="K24" s="20">
        <f>Financials!K49</f>
        <v/>
      </c>
      <c r="L24" s="20">
        <f>Financials!L49</f>
        <v/>
      </c>
      <c r="M24" s="20">
        <f>Financials!M49</f>
        <v/>
      </c>
      <c r="N24" s="20">
        <f>Financials!N49</f>
        <v/>
      </c>
    </row>
    <row r="25">
      <c r="B25" s="18" t="inlineStr">
        <is>
          <t>Cumulative paid-in equity (memo)</t>
        </is>
      </c>
      <c r="D25" s="20">
        <f>Assumptions!D91+Assumptions!D74</f>
        <v/>
      </c>
      <c r="E25" s="20">
        <f>D25+Assumptions!E74</f>
        <v/>
      </c>
      <c r="F25" s="20">
        <f>E25+Assumptions!F74</f>
        <v/>
      </c>
      <c r="G25" s="20">
        <f>F25+Assumptions!G74</f>
        <v/>
      </c>
      <c r="H25" s="20">
        <f>G25+Assumptions!H74</f>
        <v/>
      </c>
      <c r="I25" s="20">
        <f>H25+Assumptions!I74</f>
        <v/>
      </c>
      <c r="J25" s="20">
        <f>I25+Assumptions!J74</f>
        <v/>
      </c>
      <c r="K25" s="20">
        <f>J25+Assumptions!K74</f>
        <v/>
      </c>
      <c r="L25" s="20">
        <f>K25+Assumptions!L74</f>
        <v/>
      </c>
      <c r="M25" s="20">
        <f>L25+Assumptions!M74</f>
        <v/>
      </c>
      <c r="N25" s="20">
        <f>M25+Assumptions!N74</f>
        <v/>
      </c>
    </row>
    <row r="26">
      <c r="B26" s="29" t="inlineStr">
        <is>
          <t>Capital efficiency (revenue / cumulative equity)</t>
        </is>
      </c>
      <c r="D26" s="43">
        <f>Financials!D7/D25</f>
        <v/>
      </c>
      <c r="E26" s="43">
        <f>Financials!E7/E25</f>
        <v/>
      </c>
      <c r="F26" s="43">
        <f>Financials!F7/F25</f>
        <v/>
      </c>
      <c r="G26" s="43">
        <f>Financials!G7/G25</f>
        <v/>
      </c>
      <c r="H26" s="43">
        <f>Financials!H7/H25</f>
        <v/>
      </c>
      <c r="I26" s="43">
        <f>Financials!I7/I25</f>
        <v/>
      </c>
      <c r="J26" s="43">
        <f>Financials!J7/J25</f>
        <v/>
      </c>
      <c r="K26" s="43">
        <f>Financials!K7/K25</f>
        <v/>
      </c>
      <c r="L26" s="43">
        <f>Financials!L7/L25</f>
        <v/>
      </c>
      <c r="M26" s="43">
        <f>Financials!M7/M25</f>
        <v/>
      </c>
      <c r="N26" s="43">
        <f>Financials!N7/N25</f>
        <v/>
      </c>
      <c r="P26" s="3" t="inlineStr">
        <is>
          <t>Equity-only denominator by house convention; debt informs compute independence, not this ratio.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2026-07-21T18:20:57Z</dcterms:created>
  <dcterms:modified xmlns:dcterms="http://purl.org/dc/terms/" xmlns:xsi="http://www.w3.org/2001/XMLSchema-instance" xsi:type="dcterms:W3CDTF">2026-07-21T18:20:57Z</dcterms:modified>
</cp:coreProperties>
</file>