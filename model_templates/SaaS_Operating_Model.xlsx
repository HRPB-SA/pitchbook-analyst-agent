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Shared drives\Non Course Content\CFI Course Templates\Excel\"/>
    </mc:Choice>
  </mc:AlternateContent>
  <xr:revisionPtr revIDLastSave="0" documentId="13_ncr:1_{9ADEA5A3-955B-4A1D-99D6-A12114D3C6F0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Cover" sheetId="4" r:id="rId1"/>
    <sheet name="Monthly Schedule" sheetId="2" r:id="rId2"/>
    <sheet name="Financial Model" sheetId="3" r:id="rId3"/>
  </sheets>
  <definedNames>
    <definedName name="__123Graph_B">#REF!</definedName>
    <definedName name="__123Graph_D">#REF!</definedName>
    <definedName name="_2_0__123Grap">#REF!</definedName>
    <definedName name="_4_0__123Grap">#REF!</definedName>
    <definedName name="_fff2" localSheetId="2">#REF!</definedName>
    <definedName name="_fff2" localSheetId="1">#REF!</definedName>
    <definedName name="_fff2">#REF!</definedName>
    <definedName name="_Fil1">#REF!</definedName>
    <definedName name="_Fill">#REF!</definedName>
    <definedName name="_ggg2" localSheetId="2">#REF!</definedName>
    <definedName name="_ggg2" localSheetId="1">#REF!</definedName>
    <definedName name="_ggg2">#REF!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 localSheetId="2">#REF!</definedName>
    <definedName name="_MRG2" localSheetId="1">#REF!</definedName>
    <definedName name="_MRG2">#REF!</definedName>
    <definedName name="_Sort">#REF!</definedName>
    <definedName name="_Table2_In1">#REF!</definedName>
    <definedName name="_Table2_In2">#REF!</definedName>
    <definedName name="_Table2_Out">#REF!</definedName>
    <definedName name="a">#REF!</definedName>
    <definedName name="aaaaaa">#REF!</definedName>
    <definedName name="aaaaaaa" localSheetId="2">#REF!</definedName>
    <definedName name="aaaaaaa" localSheetId="1">#REF!</definedName>
    <definedName name="aaaaaaa">#REF!</definedName>
    <definedName name="aasdfa" localSheetId="2">#REF!</definedName>
    <definedName name="aasdfa" localSheetId="1">#REF!</definedName>
    <definedName name="aasdfa">#REF!</definedName>
    <definedName name="as" localSheetId="2">#REF!</definedName>
    <definedName name="as" localSheetId="1">#REF!</definedName>
    <definedName name="as">#REF!</definedName>
    <definedName name="asdfas" localSheetId="2">#REF!</definedName>
    <definedName name="asdfas" localSheetId="1">#REF!</definedName>
    <definedName name="asdfas">#REF!</definedName>
    <definedName name="asdfasaa" localSheetId="2">#REF!</definedName>
    <definedName name="asdfasaa" localSheetId="1">#REF!</definedName>
    <definedName name="asdfasaa">#REF!</definedName>
    <definedName name="asdfasdf" localSheetId="2">#REF!</definedName>
    <definedName name="asdfasdf" localSheetId="1">#REF!</definedName>
    <definedName name="asdfasdf">#REF!</definedName>
    <definedName name="asfag2" localSheetId="2">#REF!</definedName>
    <definedName name="asfag2" localSheetId="1">#REF!</definedName>
    <definedName name="asfag2">#REF!</definedName>
    <definedName name="asfasg" localSheetId="2">#REF!</definedName>
    <definedName name="asfasg" localSheetId="1">#REF!</definedName>
    <definedName name="asfasg">#REF!</definedName>
    <definedName name="ass" localSheetId="2">#REF!</definedName>
    <definedName name="ass" localSheetId="1">#REF!</definedName>
    <definedName name="ass">#REF!</definedName>
    <definedName name="asss" localSheetId="2">#REF!</definedName>
    <definedName name="asss" localSheetId="1">#REF!</definedName>
    <definedName name="asss">#REF!</definedName>
    <definedName name="az" localSheetId="2">#REF!</definedName>
    <definedName name="az" localSheetId="1">#REF!</definedName>
    <definedName name="az">#REF!</definedName>
    <definedName name="BadLink">#REF!</definedName>
    <definedName name="ccc" localSheetId="2">#REF!</definedName>
    <definedName name="ccc" localSheetId="1">#REF!</definedName>
    <definedName name="ccc">#REF!</definedName>
    <definedName name="construction" localSheetId="2">#REF!</definedName>
    <definedName name="construction" localSheetId="1">#REF!</definedName>
    <definedName name="construction">#REF!</definedName>
    <definedName name="Cottage" localSheetId="2">#REF!</definedName>
    <definedName name="Cottage" localSheetId="1">#REF!</definedName>
    <definedName name="Cottage">#REF!</definedName>
    <definedName name="dc" localSheetId="2">#REF!</definedName>
    <definedName name="dc" localSheetId="1">#REF!</definedName>
    <definedName name="dc">#REF!</definedName>
    <definedName name="del" localSheetId="2">#REF!</definedName>
    <definedName name="del" localSheetId="1">#REF!</definedName>
    <definedName name="del">#REF!</definedName>
    <definedName name="er" localSheetId="2">#REF!</definedName>
    <definedName name="er" localSheetId="1">#REF!</definedName>
    <definedName name="er">#REF!</definedName>
    <definedName name="fds" localSheetId="2">#REF!</definedName>
    <definedName name="fds" localSheetId="1">#REF!</definedName>
    <definedName name="fds">#REF!</definedName>
    <definedName name="ff" localSheetId="2">#REF!</definedName>
    <definedName name="ff" localSheetId="1">#REF!</definedName>
    <definedName name="ff">#REF!</definedName>
    <definedName name="filler" localSheetId="2">#REF!</definedName>
    <definedName name="filler" localSheetId="1">#REF!</definedName>
    <definedName name="filler">#REF!</definedName>
    <definedName name="filler2" localSheetId="2">#REF!</definedName>
    <definedName name="filler2" localSheetId="1">#REF!</definedName>
    <definedName name="filler2">#REF!</definedName>
    <definedName name="filler3" localSheetId="2">#REF!</definedName>
    <definedName name="filler3" localSheetId="1">#REF!</definedName>
    <definedName name="filler3">#REF!</definedName>
    <definedName name="fv" localSheetId="2">#REF!</definedName>
    <definedName name="fv" localSheetId="1">#REF!</definedName>
    <definedName name="fv">#REF!</definedName>
    <definedName name="gb" localSheetId="2">#REF!</definedName>
    <definedName name="gb" localSheetId="1">#REF!</definedName>
    <definedName name="gb">#REF!</definedName>
    <definedName name="gg" localSheetId="2">#REF!</definedName>
    <definedName name="gg" localSheetId="1">#REF!</definedName>
    <definedName name="gg">#REF!</definedName>
    <definedName name="ggg" localSheetId="2">#REF!</definedName>
    <definedName name="ggg" localSheetId="1">#REF!</definedName>
    <definedName name="ggg">#REF!</definedName>
    <definedName name="gggg2" localSheetId="2">#REF!</definedName>
    <definedName name="gggg2" localSheetId="1">#REF!</definedName>
    <definedName name="gggg2">#REF!</definedName>
    <definedName name="h" localSheetId="2">#REF!</definedName>
    <definedName name="h" localSheetId="1">#REF!</definedName>
    <definedName name="h">#REF!</definedName>
    <definedName name="hh" localSheetId="2">#REF!</definedName>
    <definedName name="hh" localSheetId="1">#REF!</definedName>
    <definedName name="hh">#REF!</definedName>
    <definedName name="hn" localSheetId="2">#REF!</definedName>
    <definedName name="hn" localSheetId="1">#REF!</definedName>
    <definedName name="hn">#REF!</definedName>
    <definedName name="klk">#REF!</definedName>
    <definedName name="MRG" localSheetId="2">#REF!</definedName>
    <definedName name="MRG" localSheetId="1">#REF!</definedName>
    <definedName name="MRG">#REF!</definedName>
    <definedName name="Name1" localSheetId="2">#REF!</definedName>
    <definedName name="Name1" localSheetId="1">#REF!</definedName>
    <definedName name="Name1">#REF!</definedName>
    <definedName name="newrange" localSheetId="2">#REF!</definedName>
    <definedName name="newrange" localSheetId="1">#REF!</definedName>
    <definedName name="newrange">#REF!</definedName>
    <definedName name="PJAM3Yr" localSheetId="2">#REF!</definedName>
    <definedName name="PJAM3Yr" localSheetId="1">#REF!</definedName>
    <definedName name="PJAM3Yr">#REF!</definedName>
    <definedName name="_xlnm.Print_Area" localSheetId="0">Cover!$B$2:$N$39</definedName>
    <definedName name="promte" localSheetId="2">#REF!</definedName>
    <definedName name="promte" localSheetId="1">#REF!</definedName>
    <definedName name="promte">#REF!</definedName>
    <definedName name="qw" localSheetId="2">#REF!</definedName>
    <definedName name="qw" localSheetId="1">#REF!</definedName>
    <definedName name="qw">#REF!</definedName>
    <definedName name="saa" localSheetId="2">#REF!</definedName>
    <definedName name="saa" localSheetId="1">#REF!</definedName>
    <definedName name="saa">#REF!</definedName>
    <definedName name="sas" localSheetId="2">#REF!</definedName>
    <definedName name="sas" localSheetId="1">#REF!</definedName>
    <definedName name="sas">#REF!</definedName>
    <definedName name="sdfass" localSheetId="2">#REF!</definedName>
    <definedName name="sdfass" localSheetId="1">#REF!</definedName>
    <definedName name="sdfass">#REF!</definedName>
    <definedName name="sx" localSheetId="2">#REF!</definedName>
    <definedName name="sx" localSheetId="1">#REF!</definedName>
    <definedName name="sx">#REF!</definedName>
    <definedName name="Table_3out">#REF!</definedName>
    <definedName name="Test" localSheetId="2">#REF!</definedName>
    <definedName name="Test" localSheetId="1">#REF!</definedName>
    <definedName name="Test">#REF!</definedName>
    <definedName name="Test2" localSheetId="2">#REF!</definedName>
    <definedName name="Test2" localSheetId="1">#REF!</definedName>
    <definedName name="Test2">#REF!</definedName>
    <definedName name="Test3" localSheetId="2">#REF!</definedName>
    <definedName name="Test3" localSheetId="1">#REF!</definedName>
    <definedName name="Test3">#REF!</definedName>
    <definedName name="test4" localSheetId="2">#REF!</definedName>
    <definedName name="test4" localSheetId="1">#REF!</definedName>
    <definedName name="test4">#REF!</definedName>
    <definedName name="we" localSheetId="2">#REF!</definedName>
    <definedName name="we" localSheetId="1">#REF!</definedName>
    <definedName name="we">#REF!</definedName>
    <definedName name="what" localSheetId="2">#REF!</definedName>
    <definedName name="what" localSheetId="1">#REF!</definedName>
    <definedName name="what">#REF!</definedName>
    <definedName name="wrn.Acq._.Model." localSheetId="2">#REF!</definedName>
    <definedName name="wrn.Acq._.Model." localSheetId="1">#REF!</definedName>
    <definedName name="wrn.Acq._.Model.">#REF!</definedName>
    <definedName name="wrn.Acquisition._.Model." localSheetId="2">#REF!</definedName>
    <definedName name="wrn.Acquisition._.Model." localSheetId="1">#REF!</definedName>
    <definedName name="wrn.Acquisition._.Model.">#REF!</definedName>
    <definedName name="wrn.ALL." localSheetId="2">#REF!</definedName>
    <definedName name="wrn.ALL." localSheetId="1">#REF!</definedName>
    <definedName name="wrn.ALL.">#REF!</definedName>
    <definedName name="wrn.Annual._.Summary." localSheetId="2">#REF!</definedName>
    <definedName name="wrn.Annual._.Summary." localSheetId="1">#REF!</definedName>
    <definedName name="wrn.Annual._.Summary.">#REF!</definedName>
    <definedName name="wrn.AnnualRentRoll." localSheetId="2">#REF!</definedName>
    <definedName name="wrn.AnnualRentRoll." localSheetId="1">#REF!</definedName>
    <definedName name="wrn.AnnualRentRoll.">#REF!</definedName>
    <definedName name="wrn.Assumptions." localSheetId="2">#REF!</definedName>
    <definedName name="wrn.Assumptions." localSheetId="1">#REF!</definedName>
    <definedName name="wrn.Assumptions.">#REF!</definedName>
    <definedName name="wrn.Birdie." localSheetId="2">#REF!</definedName>
    <definedName name="wrn.Birdie." localSheetId="1">#REF!</definedName>
    <definedName name="wrn.Birdie.">#REF!</definedName>
    <definedName name="wrn.Capx." localSheetId="2">#REF!</definedName>
    <definedName name="wrn.Capx." localSheetId="1">#REF!</definedName>
    <definedName name="wrn.Capx.">#REF!</definedName>
    <definedName name="wrn.CHART." localSheetId="2">#REF!</definedName>
    <definedName name="wrn.CHART." localSheetId="1">#REF!</definedName>
    <definedName name="wrn.CHART.">#REF!</definedName>
    <definedName name="wrn.Complete._.Review." localSheetId="2">#REF!</definedName>
    <definedName name="wrn.Complete._.Review." localSheetId="1">#REF!</definedName>
    <definedName name="wrn.Complete._.Review.">#REF!</definedName>
    <definedName name="wrn.Construction._.Costs." localSheetId="2">#REF!</definedName>
    <definedName name="wrn.Construction._.Costs." localSheetId="1">#REF!</definedName>
    <definedName name="wrn.Construction._.Costs.">#REF!</definedName>
    <definedName name="wrn.Cottage._.Summary." localSheetId="2">#REF!</definedName>
    <definedName name="wrn.Cottage._.Summary." localSheetId="1">#REF!</definedName>
    <definedName name="wrn.Cottage._.Summary.">#REF!</definedName>
    <definedName name="wrn.DETAIL._.SCHEDULES." localSheetId="2">#REF!</definedName>
    <definedName name="wrn.DETAIL._.SCHEDULES." localSheetId="1">#REF!</definedName>
    <definedName name="wrn.DETAIL._.SCHEDULES.">#REF!</definedName>
    <definedName name="wrn.Downside." localSheetId="2">#REF!</definedName>
    <definedName name="wrn.Downside." localSheetId="1">#REF!</definedName>
    <definedName name="wrn.Downside.">#REF!</definedName>
    <definedName name="wrn.ExitAndSalesAssumptions." localSheetId="2">#REF!</definedName>
    <definedName name="wrn.ExitAndSalesAssumptions." localSheetId="1">#REF!</definedName>
    <definedName name="wrn.ExitAndSalesAssumptions.">#REF!</definedName>
    <definedName name="wrn.Freq_Res." localSheetId="2">#REF!</definedName>
    <definedName name="wrn.Freq_Res." localSheetId="1">#REF!</definedName>
    <definedName name="wrn.Freq_Res.">#REF!</definedName>
    <definedName name="wrn.Golf._.Summary." localSheetId="2">#REF!</definedName>
    <definedName name="wrn.Golf._.Summary." localSheetId="1">#REF!</definedName>
    <definedName name="wrn.Golf._.Summary.">#REF!</definedName>
    <definedName name="wrn.Investment._.Review." localSheetId="2">#REF!</definedName>
    <definedName name="wrn.Investment._.Review." localSheetId="1">#REF!</definedName>
    <definedName name="wrn.Investment._.Review.">#REF!</definedName>
    <definedName name="wrn.Land._.Takedown._.Summary." localSheetId="2">#REF!</definedName>
    <definedName name="wrn.Land._.Takedown._.Summary." localSheetId="1">#REF!</definedName>
    <definedName name="wrn.Land._.Takedown._.Summary.">#REF!</definedName>
    <definedName name="wrn.LETTERED." localSheetId="2">#REF!</definedName>
    <definedName name="wrn.LETTERED." localSheetId="1">#REF!</definedName>
    <definedName name="wrn.LETTERED.">#REF!</definedName>
    <definedName name="wrn.Loan._.Summary." localSheetId="2">#REF!</definedName>
    <definedName name="wrn.Loan._.Summary." localSheetId="1">#REF!</definedName>
    <definedName name="wrn.Loan._.Summary.">#REF!</definedName>
    <definedName name="wrn.LoanInformation." localSheetId="2">#REF!</definedName>
    <definedName name="wrn.LoanInformation." localSheetId="1">#REF!</definedName>
    <definedName name="wrn.LoanInformation.">#REF!</definedName>
    <definedName name="wrn.Lot._.Inventory." localSheetId="2">#REF!</definedName>
    <definedName name="wrn.Lot._.Inventory." localSheetId="1">#REF!</definedName>
    <definedName name="wrn.Lot._.Inventory.">#REF!</definedName>
    <definedName name="wrn.Lot._.Summary." localSheetId="2">#REF!</definedName>
    <definedName name="wrn.Lot._.Summary." localSheetId="1">#REF!</definedName>
    <definedName name="wrn.Lot._.Summary.">#REF!</definedName>
    <definedName name="wrn.MARKETING." localSheetId="2">#REF!</definedName>
    <definedName name="wrn.MARKETING." localSheetId="1">#REF!</definedName>
    <definedName name="wrn.MARKETING.">#REF!</definedName>
    <definedName name="wrn.MINRENT." localSheetId="2">#REF!</definedName>
    <definedName name="wrn.MINRENT." localSheetId="1">#REF!</definedName>
    <definedName name="wrn.MINRENT.">#REF!</definedName>
    <definedName name="wrn.mktstd." localSheetId="2">#REF!</definedName>
    <definedName name="wrn.mktstd." localSheetId="1">#REF!</definedName>
    <definedName name="wrn.mktstd.">#REF!</definedName>
    <definedName name="wrn.MonthlyRentRoll." localSheetId="2">#REF!</definedName>
    <definedName name="wrn.MonthlyRentRoll." localSheetId="1">#REF!</definedName>
    <definedName name="wrn.MonthlyRentRoll.">#REF!</definedName>
    <definedName name="wrn.OperatingAssumtions." localSheetId="2">#REF!</definedName>
    <definedName name="wrn.OperatingAssumtions." localSheetId="1">#REF!</definedName>
    <definedName name="wrn.OperatingAssumtions.">#REF!</definedName>
    <definedName name="wrn.Operations._.Review." localSheetId="2">#REF!</definedName>
    <definedName name="wrn.Operations._.Review." localSheetId="1">#REF!</definedName>
    <definedName name="wrn.Operations._.Review.">#REF!</definedName>
    <definedName name="wrn.Ops._.Charlie._.Packet." localSheetId="2">#REF!</definedName>
    <definedName name="wrn.Ops._.Charlie._.Packet." localSheetId="1">#REF!</definedName>
    <definedName name="wrn.Ops._.Charlie._.Packet.">#REF!</definedName>
    <definedName name="wrn.PERCENTAGE._.RENT." localSheetId="2">#REF!</definedName>
    <definedName name="wrn.PERCENTAGE._.RENT." localSheetId="1">#REF!</definedName>
    <definedName name="wrn.PERCENTAGE._.RENT.">#REF!</definedName>
    <definedName name="wrn.Phase._.I." localSheetId="2">#REF!</definedName>
    <definedName name="wrn.Phase._.I." localSheetId="1">#REF!</definedName>
    <definedName name="wrn.Phase._.I.">#REF!</definedName>
    <definedName name="wrn.Presentation." localSheetId="2">#REF!</definedName>
    <definedName name="wrn.Presentation." localSheetId="1">#REF!</definedName>
    <definedName name="wrn.Presentation.">#REF!</definedName>
    <definedName name="wrn.Print." localSheetId="2">#REF!</definedName>
    <definedName name="wrn.Print." localSheetId="1">#REF!</definedName>
    <definedName name="wrn.Print.">#REF!</definedName>
    <definedName name="wrn.Print._.4." localSheetId="2">#REF!</definedName>
    <definedName name="wrn.Print._.4." localSheetId="1">#REF!</definedName>
    <definedName name="wrn.Print._.4.">#REF!</definedName>
    <definedName name="wrn.Print._.6." localSheetId="2">#REF!</definedName>
    <definedName name="wrn.Print._.6." localSheetId="1">#REF!</definedName>
    <definedName name="wrn.Print._.6.">#REF!</definedName>
    <definedName name="wrn.Print._.Entire._.Workbook." localSheetId="2">#REF!</definedName>
    <definedName name="wrn.Print._.Entire._.Workbook." localSheetId="1">#REF!</definedName>
    <definedName name="wrn.Print._.Entire._.Workbook.">#REF!</definedName>
    <definedName name="wrn.Print.B" localSheetId="2">#REF!</definedName>
    <definedName name="wrn.Print.B" localSheetId="1">#REF!</definedName>
    <definedName name="wrn.Print.B">#REF!</definedName>
    <definedName name="wrn.print2" localSheetId="2">#REF!</definedName>
    <definedName name="wrn.print2" localSheetId="1">#REF!</definedName>
    <definedName name="wrn.print2">#REF!</definedName>
    <definedName name="wrn.printb2" localSheetId="2">#REF!</definedName>
    <definedName name="wrn.printb2" localSheetId="1">#REF!</definedName>
    <definedName name="wrn.printb2">#REF!</definedName>
    <definedName name="wrn.Prints._.All." localSheetId="2">#REF!</definedName>
    <definedName name="wrn.Prints._.All." localSheetId="1">#REF!</definedName>
    <definedName name="wrn.Prints._.All.">#REF!</definedName>
    <definedName name="wrn.Prints._All.B" localSheetId="2">#REF!</definedName>
    <definedName name="wrn.Prints._All.B" localSheetId="1">#REF!</definedName>
    <definedName name="wrn.Prints._All.B">#REF!</definedName>
    <definedName name="wrn.Proforma._.Review." localSheetId="2">#REF!</definedName>
    <definedName name="wrn.Proforma._.Review." localSheetId="1">#REF!</definedName>
    <definedName name="wrn.Proforma._.Review.">#REF!</definedName>
    <definedName name="wrn.PropertyInformation." localSheetId="2">#REF!</definedName>
    <definedName name="wrn.PropertyInformation." localSheetId="1">#REF!</definedName>
    <definedName name="wrn.PropertyInformation.">#REF!</definedName>
    <definedName name="wrn.Quarterly._.Summary." localSheetId="2">#REF!</definedName>
    <definedName name="wrn.Quarterly._.Summary." localSheetId="1">#REF!</definedName>
    <definedName name="wrn.Quarterly._.Summary.">#REF!</definedName>
    <definedName name="wrn.RATES." localSheetId="2">#REF!</definedName>
    <definedName name="wrn.RATES." localSheetId="1">#REF!</definedName>
    <definedName name="wrn.RATES.">#REF!</definedName>
    <definedName name="wrn.RV._.SAR." localSheetId="2">#REF!</definedName>
    <definedName name="wrn.RV._.SAR." localSheetId="1">#REF!</definedName>
    <definedName name="wrn.RV._.SAR.">#REF!</definedName>
    <definedName name="wrn.Scenario." localSheetId="2">#REF!</definedName>
    <definedName name="wrn.Scenario." localSheetId="1">#REF!</definedName>
    <definedName name="wrn.Scenario.">#REF!</definedName>
    <definedName name="wrn.SCHAs." localSheetId="2">#REF!</definedName>
    <definedName name="wrn.SCHAs." localSheetId="1">#REF!</definedName>
    <definedName name="wrn.SCHAs.">#REF!</definedName>
    <definedName name="wrn.SCHEDULES._.ABC." localSheetId="2">#REF!</definedName>
    <definedName name="wrn.SCHEDULES._.ABC." localSheetId="1">#REF!</definedName>
    <definedName name="wrn.SCHEDULES._.ABC.">#REF!</definedName>
    <definedName name="wrn.Summary." localSheetId="2">#REF!</definedName>
    <definedName name="wrn.Summary." localSheetId="1">#REF!</definedName>
    <definedName name="wrn.Summary.">#REF!</definedName>
    <definedName name="wrn.SupplyDemand." localSheetId="2">#REF!</definedName>
    <definedName name="wrn.SupplyDemand." localSheetId="1">#REF!</definedName>
    <definedName name="wrn.SupplyDemand.">#REF!</definedName>
    <definedName name="wrn.TEST." localSheetId="2">#REF!</definedName>
    <definedName name="wrn.TEST." localSheetId="1">#REF!</definedName>
    <definedName name="wrn.TEST.">#REF!</definedName>
    <definedName name="wrn.Tycon._.Model." localSheetId="2">#REF!</definedName>
    <definedName name="wrn.Tycon._.Model." localSheetId="1">#REF!</definedName>
    <definedName name="wrn.Tycon._.Model.">#REF!</definedName>
    <definedName name="wrn.valuation." localSheetId="2">#REF!</definedName>
    <definedName name="wrn.valuation." localSheetId="1">#REF!</definedName>
    <definedName name="wrn.valuation.">#REF!</definedName>
    <definedName name="wrnprintall2" localSheetId="2">#REF!</definedName>
    <definedName name="wrnprintall2" localSheetId="1">#REF!</definedName>
    <definedName name="wrnprintall2">#REF!</definedName>
    <definedName name="wrnprintallb2" localSheetId="2">#REF!</definedName>
    <definedName name="wrnprintallb2" localSheetId="1">#REF!</definedName>
    <definedName name="wrnprintallb2">#REF!</definedName>
    <definedName name="xfg" localSheetId="2">#REF!</definedName>
    <definedName name="xfg" localSheetId="1">#REF!</definedName>
    <definedName name="xfg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EvKoyBZMcRuRUBAMcuuXG4mZnHw=="/>
    </ext>
  </extLst>
</workbook>
</file>

<file path=xl/calcChain.xml><?xml version="1.0" encoding="utf-8"?>
<calcChain xmlns="http://schemas.openxmlformats.org/spreadsheetml/2006/main">
  <c r="B203" i="3" l="1"/>
  <c r="B202" i="3"/>
  <c r="B201" i="3"/>
  <c r="B200" i="3"/>
  <c r="B199" i="3"/>
  <c r="B198" i="3"/>
  <c r="B188" i="3"/>
  <c r="B187" i="3"/>
  <c r="B186" i="3"/>
  <c r="B185" i="3"/>
  <c r="B184" i="3"/>
  <c r="B183" i="3"/>
  <c r="O146" i="2"/>
  <c r="N146" i="2"/>
  <c r="M146" i="2"/>
  <c r="L146" i="2"/>
  <c r="K146" i="2"/>
  <c r="J146" i="2"/>
  <c r="I146" i="2"/>
  <c r="H146" i="2"/>
  <c r="G146" i="2"/>
  <c r="F146" i="2"/>
  <c r="E146" i="2"/>
  <c r="D146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O96" i="2"/>
  <c r="N96" i="2"/>
  <c r="M96" i="2"/>
  <c r="L96" i="2"/>
  <c r="K96" i="2"/>
  <c r="J96" i="2"/>
  <c r="I96" i="2"/>
  <c r="H96" i="2"/>
  <c r="G96" i="2"/>
  <c r="F96" i="2"/>
  <c r="E96" i="2"/>
  <c r="D96" i="2"/>
  <c r="O71" i="2"/>
  <c r="N71" i="2"/>
  <c r="M71" i="2"/>
  <c r="L71" i="2"/>
  <c r="K71" i="2"/>
  <c r="J71" i="2"/>
  <c r="I71" i="2"/>
  <c r="H71" i="2"/>
  <c r="G71" i="2"/>
  <c r="F71" i="2"/>
  <c r="E71" i="2"/>
  <c r="D71" i="2"/>
  <c r="O46" i="2"/>
  <c r="N46" i="2"/>
  <c r="M46" i="2"/>
  <c r="L46" i="2"/>
  <c r="K46" i="2"/>
  <c r="J46" i="2"/>
  <c r="I46" i="2"/>
  <c r="H46" i="2"/>
  <c r="G46" i="2"/>
  <c r="F46" i="2"/>
  <c r="E46" i="2"/>
  <c r="D46" i="2"/>
  <c r="F21" i="2"/>
  <c r="G21" i="2" s="1"/>
  <c r="H21" i="2" s="1"/>
  <c r="I21" i="2" s="1"/>
  <c r="J21" i="2" s="1"/>
  <c r="K21" i="2" s="1"/>
  <c r="L21" i="2" s="1"/>
  <c r="M21" i="2" s="1"/>
  <c r="N21" i="2" s="1"/>
  <c r="O21" i="2" s="1"/>
  <c r="E21" i="2"/>
  <c r="D5" i="3" l="1"/>
  <c r="D86" i="3" s="1"/>
  <c r="D226" i="3" s="1"/>
  <c r="D175" i="3" l="1"/>
  <c r="D215" i="3"/>
  <c r="D115" i="3"/>
  <c r="D145" i="3"/>
  <c r="C253" i="3" l="1"/>
  <c r="C254" i="3" s="1"/>
  <c r="C255" i="3" s="1"/>
  <c r="C256" i="3" s="1"/>
  <c r="C257" i="3" s="1"/>
  <c r="E251" i="3"/>
  <c r="F251" i="3" s="1"/>
  <c r="G251" i="3" s="1"/>
  <c r="H251" i="3" s="1"/>
  <c r="I251" i="3" s="1"/>
  <c r="I217" i="3"/>
  <c r="H217" i="3"/>
  <c r="G217" i="3"/>
  <c r="F217" i="3"/>
  <c r="E217" i="3"/>
  <c r="D217" i="3"/>
  <c r="D208" i="3"/>
  <c r="D209" i="3" s="1"/>
  <c r="D211" i="3" s="1"/>
  <c r="D105" i="3" s="1"/>
  <c r="I203" i="3"/>
  <c r="H202" i="3"/>
  <c r="G201" i="3"/>
  <c r="F200" i="3"/>
  <c r="E199" i="3"/>
  <c r="D198" i="3"/>
  <c r="D204" i="3" s="1"/>
  <c r="D194" i="3" s="1"/>
  <c r="D195" i="3" s="1"/>
  <c r="I188" i="3"/>
  <c r="H187" i="3"/>
  <c r="G186" i="3"/>
  <c r="F185" i="3"/>
  <c r="E184" i="3"/>
  <c r="D183" i="3"/>
  <c r="D189" i="3" s="1"/>
  <c r="D179" i="3" s="1"/>
  <c r="D180" i="3" s="1"/>
  <c r="D123" i="3" s="1"/>
  <c r="I163" i="3"/>
  <c r="H163" i="3"/>
  <c r="G163" i="3"/>
  <c r="F163" i="3"/>
  <c r="E163" i="3"/>
  <c r="D163" i="3"/>
  <c r="I162" i="3"/>
  <c r="H162" i="3"/>
  <c r="G162" i="3"/>
  <c r="F162" i="3"/>
  <c r="E162" i="3"/>
  <c r="D162" i="3"/>
  <c r="I158" i="3"/>
  <c r="I159" i="3" s="1"/>
  <c r="H158" i="3"/>
  <c r="G158" i="3"/>
  <c r="G231" i="3" s="1"/>
  <c r="F158" i="3"/>
  <c r="F231" i="3" s="1"/>
  <c r="E158" i="3"/>
  <c r="D158" i="3"/>
  <c r="D136" i="3"/>
  <c r="E136" i="3" s="1"/>
  <c r="I111" i="3"/>
  <c r="I164" i="3" s="1"/>
  <c r="H111" i="3"/>
  <c r="H164" i="3" s="1"/>
  <c r="G111" i="3"/>
  <c r="G164" i="3" s="1"/>
  <c r="F111" i="3"/>
  <c r="F164" i="3" s="1"/>
  <c r="E111" i="3"/>
  <c r="E164" i="3" s="1"/>
  <c r="D111" i="3"/>
  <c r="D164" i="3" s="1"/>
  <c r="D51" i="3"/>
  <c r="D53" i="3" s="1"/>
  <c r="D99" i="3" s="1"/>
  <c r="E49" i="3"/>
  <c r="D43" i="3"/>
  <c r="D45" i="3" s="1"/>
  <c r="D97" i="3" s="1"/>
  <c r="E41" i="3"/>
  <c r="E43" i="3" s="1"/>
  <c r="E45" i="3" s="1"/>
  <c r="E97" i="3" s="1"/>
  <c r="D31" i="3"/>
  <c r="E5" i="3"/>
  <c r="E86" i="3" s="1"/>
  <c r="E226" i="3" s="1"/>
  <c r="O154" i="2"/>
  <c r="N154" i="2"/>
  <c r="M154" i="2"/>
  <c r="L154" i="2"/>
  <c r="K154" i="2"/>
  <c r="J154" i="2"/>
  <c r="I154" i="2"/>
  <c r="H154" i="2"/>
  <c r="G154" i="2"/>
  <c r="F154" i="2"/>
  <c r="E154" i="2"/>
  <c r="D154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O79" i="2"/>
  <c r="N79" i="2"/>
  <c r="M79" i="2"/>
  <c r="L79" i="2"/>
  <c r="K79" i="2"/>
  <c r="K91" i="2" s="1"/>
  <c r="J79" i="2"/>
  <c r="J91" i="2" s="1"/>
  <c r="I79" i="2"/>
  <c r="I91" i="2" s="1"/>
  <c r="H79" i="2"/>
  <c r="H91" i="2" s="1"/>
  <c r="G79" i="2"/>
  <c r="G91" i="2" s="1"/>
  <c r="F79" i="2"/>
  <c r="F91" i="2" s="1"/>
  <c r="E79" i="2"/>
  <c r="M141" i="2" s="1"/>
  <c r="D79" i="2"/>
  <c r="D91" i="2" s="1"/>
  <c r="O54" i="2"/>
  <c r="O66" i="2" s="1"/>
  <c r="N54" i="2"/>
  <c r="N66" i="2" s="1"/>
  <c r="M54" i="2"/>
  <c r="M66" i="2" s="1"/>
  <c r="L54" i="2"/>
  <c r="L66" i="2" s="1"/>
  <c r="K54" i="2"/>
  <c r="G141" i="2" s="1"/>
  <c r="J54" i="2"/>
  <c r="I54" i="2"/>
  <c r="I66" i="2" s="1"/>
  <c r="H54" i="2"/>
  <c r="H66" i="2" s="1"/>
  <c r="G54" i="2"/>
  <c r="G66" i="2" s="1"/>
  <c r="F54" i="2"/>
  <c r="F66" i="2" s="1"/>
  <c r="E54" i="2"/>
  <c r="E66" i="2" s="1"/>
  <c r="D54" i="2"/>
  <c r="L116" i="2" s="1"/>
  <c r="B46" i="2"/>
  <c r="B71" i="2" s="1"/>
  <c r="B96" i="2" s="1"/>
  <c r="B121" i="2" s="1"/>
  <c r="B146" i="2" s="1"/>
  <c r="D31" i="2"/>
  <c r="D30" i="2"/>
  <c r="O29" i="2"/>
  <c r="O41" i="2" s="1"/>
  <c r="N29" i="2"/>
  <c r="N41" i="2" s="1"/>
  <c r="M29" i="2"/>
  <c r="M41" i="2" s="1"/>
  <c r="L29" i="2"/>
  <c r="L41" i="2" s="1"/>
  <c r="K29" i="2"/>
  <c r="J29" i="2"/>
  <c r="J41" i="2" s="1"/>
  <c r="I29" i="2"/>
  <c r="I41" i="2" s="1"/>
  <c r="H29" i="2"/>
  <c r="H41" i="2" s="1"/>
  <c r="G29" i="2"/>
  <c r="G41" i="2" s="1"/>
  <c r="F29" i="2"/>
  <c r="F41" i="2" s="1"/>
  <c r="E29" i="2"/>
  <c r="E41" i="2" s="1"/>
  <c r="D29" i="2"/>
  <c r="D25" i="2"/>
  <c r="D26" i="2" s="1"/>
  <c r="E23" i="2" s="1"/>
  <c r="J141" i="2" l="1"/>
  <c r="G166" i="2"/>
  <c r="I141" i="2"/>
  <c r="N91" i="2"/>
  <c r="E175" i="3"/>
  <c r="E215" i="3"/>
  <c r="E115" i="3"/>
  <c r="E145" i="3"/>
  <c r="E198" i="3"/>
  <c r="E204" i="3" s="1"/>
  <c r="E194" i="3" s="1"/>
  <c r="F166" i="2"/>
  <c r="D116" i="2"/>
  <c r="H141" i="2"/>
  <c r="L166" i="2"/>
  <c r="M166" i="2"/>
  <c r="J116" i="2"/>
  <c r="K116" i="2"/>
  <c r="D32" i="2"/>
  <c r="E28" i="2" s="1"/>
  <c r="H165" i="3"/>
  <c r="I165" i="3"/>
  <c r="G165" i="3"/>
  <c r="D165" i="3"/>
  <c r="E165" i="3"/>
  <c r="F116" i="2"/>
  <c r="F141" i="2"/>
  <c r="K141" i="2"/>
  <c r="D39" i="2"/>
  <c r="L141" i="2"/>
  <c r="D41" i="2"/>
  <c r="O166" i="2"/>
  <c r="M91" i="2"/>
  <c r="M116" i="2"/>
  <c r="N141" i="2"/>
  <c r="E116" i="2"/>
  <c r="J66" i="2"/>
  <c r="E91" i="2"/>
  <c r="E166" i="2"/>
  <c r="D231" i="3"/>
  <c r="D159" i="3"/>
  <c r="I116" i="2"/>
  <c r="K41" i="2"/>
  <c r="G116" i="2"/>
  <c r="O141" i="2"/>
  <c r="E192" i="3"/>
  <c r="D124" i="3"/>
  <c r="N166" i="2"/>
  <c r="L91" i="2"/>
  <c r="H166" i="2"/>
  <c r="E51" i="3"/>
  <c r="E53" i="3" s="1"/>
  <c r="E99" i="3" s="1"/>
  <c r="F49" i="3"/>
  <c r="D66" i="2"/>
  <c r="O91" i="2"/>
  <c r="F136" i="3"/>
  <c r="E177" i="3"/>
  <c r="E25" i="2"/>
  <c r="E26" i="2" s="1"/>
  <c r="F23" i="2" s="1"/>
  <c r="O116" i="2"/>
  <c r="F165" i="3"/>
  <c r="H116" i="2"/>
  <c r="I231" i="3"/>
  <c r="D166" i="2"/>
  <c r="F41" i="3"/>
  <c r="E159" i="3"/>
  <c r="E231" i="3"/>
  <c r="E141" i="2"/>
  <c r="K166" i="2"/>
  <c r="H159" i="3"/>
  <c r="H231" i="3"/>
  <c r="D104" i="3"/>
  <c r="E207" i="3"/>
  <c r="E209" i="3" s="1"/>
  <c r="D133" i="3"/>
  <c r="C243" i="3" s="1"/>
  <c r="K66" i="2"/>
  <c r="I166" i="2"/>
  <c r="N116" i="2"/>
  <c r="D141" i="2"/>
  <c r="J166" i="2"/>
  <c r="E183" i="3"/>
  <c r="E189" i="3" s="1"/>
  <c r="E179" i="3" s="1"/>
  <c r="F159" i="3"/>
  <c r="F5" i="3"/>
  <c r="F86" i="3" s="1"/>
  <c r="F226" i="3" s="1"/>
  <c r="G159" i="3"/>
  <c r="D35" i="2" l="1"/>
  <c r="F175" i="3"/>
  <c r="F215" i="3"/>
  <c r="F115" i="3"/>
  <c r="F145" i="3"/>
  <c r="E104" i="3"/>
  <c r="E148" i="3" s="1"/>
  <c r="E195" i="3"/>
  <c r="E124" i="3" s="1"/>
  <c r="D94" i="2"/>
  <c r="F9" i="3" s="1"/>
  <c r="D119" i="2"/>
  <c r="G9" i="3" s="1"/>
  <c r="D44" i="2"/>
  <c r="D9" i="3" s="1"/>
  <c r="D148" i="3"/>
  <c r="D230" i="3"/>
  <c r="E30" i="2"/>
  <c r="E31" i="2"/>
  <c r="F25" i="2"/>
  <c r="F26" i="2" s="1"/>
  <c r="G23" i="2" s="1"/>
  <c r="E133" i="3"/>
  <c r="E211" i="3"/>
  <c r="E105" i="3" s="1"/>
  <c r="F207" i="3"/>
  <c r="F209" i="3" s="1"/>
  <c r="E180" i="3"/>
  <c r="G136" i="3"/>
  <c r="F43" i="3"/>
  <c r="F45" i="3" s="1"/>
  <c r="F97" i="3" s="1"/>
  <c r="G41" i="3"/>
  <c r="D69" i="2"/>
  <c r="E9" i="3" s="1"/>
  <c r="F183" i="3"/>
  <c r="F199" i="3"/>
  <c r="F184" i="3"/>
  <c r="F198" i="3"/>
  <c r="G5" i="3"/>
  <c r="G86" i="3" s="1"/>
  <c r="G226" i="3" s="1"/>
  <c r="F51" i="3"/>
  <c r="F53" i="3" s="1"/>
  <c r="F99" i="3" s="1"/>
  <c r="G49" i="3"/>
  <c r="D169" i="2"/>
  <c r="I9" i="3" s="1"/>
  <c r="D144" i="2"/>
  <c r="H9" i="3" s="1"/>
  <c r="F204" i="3" l="1"/>
  <c r="F194" i="3" s="1"/>
  <c r="G175" i="3"/>
  <c r="G215" i="3"/>
  <c r="G115" i="3"/>
  <c r="G145" i="3"/>
  <c r="F192" i="3"/>
  <c r="F195" i="3" s="1"/>
  <c r="E230" i="3"/>
  <c r="F189" i="3"/>
  <c r="F179" i="3" s="1"/>
  <c r="F104" i="3" s="1"/>
  <c r="E39" i="2"/>
  <c r="H49" i="3"/>
  <c r="G51" i="3"/>
  <c r="G53" i="3" s="1"/>
  <c r="G99" i="3" s="1"/>
  <c r="F177" i="3"/>
  <c r="E123" i="3"/>
  <c r="F211" i="3"/>
  <c r="F105" i="3" s="1"/>
  <c r="G207" i="3"/>
  <c r="G209" i="3" s="1"/>
  <c r="F133" i="3"/>
  <c r="G199" i="3"/>
  <c r="G200" i="3"/>
  <c r="G184" i="3"/>
  <c r="G183" i="3"/>
  <c r="G198" i="3"/>
  <c r="G185" i="3"/>
  <c r="H5" i="3"/>
  <c r="H86" i="3" s="1"/>
  <c r="H226" i="3" s="1"/>
  <c r="E32" i="2"/>
  <c r="G43" i="3"/>
  <c r="G45" i="3" s="1"/>
  <c r="G97" i="3" s="1"/>
  <c r="H41" i="3"/>
  <c r="H136" i="3"/>
  <c r="G25" i="2"/>
  <c r="G26" i="2" s="1"/>
  <c r="H23" i="2" s="1"/>
  <c r="H175" i="3" l="1"/>
  <c r="H215" i="3"/>
  <c r="H115" i="3"/>
  <c r="H145" i="3"/>
  <c r="F180" i="3"/>
  <c r="F123" i="3" s="1"/>
  <c r="H25" i="2"/>
  <c r="H26" i="2" s="1"/>
  <c r="I23" i="2" s="1"/>
  <c r="H43" i="3"/>
  <c r="H45" i="3" s="1"/>
  <c r="H97" i="3" s="1"/>
  <c r="I41" i="3"/>
  <c r="I43" i="3" s="1"/>
  <c r="I45" i="3" s="1"/>
  <c r="I97" i="3" s="1"/>
  <c r="H200" i="3"/>
  <c r="H183" i="3"/>
  <c r="H184" i="3"/>
  <c r="H199" i="3"/>
  <c r="H198" i="3"/>
  <c r="H186" i="3"/>
  <c r="H185" i="3"/>
  <c r="I5" i="3"/>
  <c r="I86" i="3" s="1"/>
  <c r="I226" i="3" s="1"/>
  <c r="H201" i="3"/>
  <c r="G204" i="3"/>
  <c r="G194" i="3" s="1"/>
  <c r="G189" i="3"/>
  <c r="G179" i="3" s="1"/>
  <c r="G192" i="3"/>
  <c r="F124" i="3"/>
  <c r="I136" i="3"/>
  <c r="G133" i="3"/>
  <c r="H207" i="3"/>
  <c r="H209" i="3" s="1"/>
  <c r="G211" i="3"/>
  <c r="G105" i="3" s="1"/>
  <c r="F148" i="3"/>
  <c r="F230" i="3"/>
  <c r="H51" i="3"/>
  <c r="H53" i="3" s="1"/>
  <c r="H99" i="3" s="1"/>
  <c r="I49" i="3"/>
  <c r="I51" i="3" s="1"/>
  <c r="I53" i="3" s="1"/>
  <c r="I99" i="3" s="1"/>
  <c r="E33" i="2"/>
  <c r="F28" i="2"/>
  <c r="E35" i="2"/>
  <c r="I175" i="3" l="1"/>
  <c r="I215" i="3"/>
  <c r="I115" i="3"/>
  <c r="I145" i="3"/>
  <c r="G177" i="3"/>
  <c r="G180" i="3" s="1"/>
  <c r="G104" i="3"/>
  <c r="G230" i="3" s="1"/>
  <c r="G195" i="3"/>
  <c r="H192" i="3" s="1"/>
  <c r="H204" i="3"/>
  <c r="H194" i="3" s="1"/>
  <c r="I25" i="2"/>
  <c r="I26" i="2" s="1"/>
  <c r="J23" i="2" s="1"/>
  <c r="F31" i="2"/>
  <c r="F30" i="2"/>
  <c r="I186" i="3"/>
  <c r="I183" i="3"/>
  <c r="I199" i="3"/>
  <c r="I200" i="3"/>
  <c r="I198" i="3"/>
  <c r="I187" i="3"/>
  <c r="I202" i="3"/>
  <c r="I185" i="3"/>
  <c r="I201" i="3"/>
  <c r="I184" i="3"/>
  <c r="H189" i="3"/>
  <c r="H179" i="3" s="1"/>
  <c r="I207" i="3"/>
  <c r="I209" i="3" s="1"/>
  <c r="H133" i="3"/>
  <c r="H211" i="3"/>
  <c r="H105" i="3" s="1"/>
  <c r="F39" i="2" l="1"/>
  <c r="G124" i="3"/>
  <c r="G148" i="3"/>
  <c r="H195" i="3"/>
  <c r="H124" i="3" s="1"/>
  <c r="H104" i="3"/>
  <c r="H230" i="3" s="1"/>
  <c r="J25" i="2"/>
  <c r="J26" i="2" s="1"/>
  <c r="K23" i="2" s="1"/>
  <c r="H148" i="3"/>
  <c r="I189" i="3"/>
  <c r="I179" i="3" s="1"/>
  <c r="G123" i="3"/>
  <c r="H177" i="3"/>
  <c r="H180" i="3" s="1"/>
  <c r="I211" i="3"/>
  <c r="I105" i="3" s="1"/>
  <c r="I133" i="3"/>
  <c r="F32" i="2"/>
  <c r="I204" i="3"/>
  <c r="I194" i="3" s="1"/>
  <c r="I192" i="3" l="1"/>
  <c r="I195" i="3" s="1"/>
  <c r="I124" i="3" s="1"/>
  <c r="K25" i="2"/>
  <c r="K26" i="2" s="1"/>
  <c r="L23" i="2" s="1"/>
  <c r="F35" i="2"/>
  <c r="G28" i="2"/>
  <c r="F33" i="2"/>
  <c r="H123" i="3"/>
  <c r="I177" i="3"/>
  <c r="I180" i="3" s="1"/>
  <c r="I123" i="3" s="1"/>
  <c r="I104" i="3"/>
  <c r="I148" i="3" l="1"/>
  <c r="I230" i="3"/>
  <c r="L25" i="2"/>
  <c r="L26" i="2" s="1"/>
  <c r="M23" i="2" s="1"/>
  <c r="G31" i="2"/>
  <c r="G30" i="2"/>
  <c r="G39" i="2" s="1"/>
  <c r="M25" i="2" l="1"/>
  <c r="M26" i="2" s="1"/>
  <c r="N23" i="2" s="1"/>
  <c r="G32" i="2"/>
  <c r="N25" i="2" l="1"/>
  <c r="N26" i="2" s="1"/>
  <c r="O23" i="2" s="1"/>
  <c r="G35" i="2"/>
  <c r="H28" i="2"/>
  <c r="G33" i="2"/>
  <c r="O25" i="2" l="1"/>
  <c r="O26" i="2" s="1"/>
  <c r="H31" i="2"/>
  <c r="H30" i="2"/>
  <c r="H39" i="2" l="1"/>
  <c r="D7" i="3"/>
  <c r="D48" i="2"/>
  <c r="H32" i="2"/>
  <c r="D11" i="3" l="1"/>
  <c r="D29" i="3"/>
  <c r="E29" i="3" s="1"/>
  <c r="F29" i="3" s="1"/>
  <c r="G29" i="3" s="1"/>
  <c r="H29" i="3" s="1"/>
  <c r="I29" i="3" s="1"/>
  <c r="H33" i="2"/>
  <c r="I28" i="2"/>
  <c r="H35" i="2"/>
  <c r="D50" i="2"/>
  <c r="D51" i="2" s="1"/>
  <c r="E48" i="2" s="1"/>
  <c r="I30" i="2" l="1"/>
  <c r="I31" i="2"/>
  <c r="E50" i="2"/>
  <c r="E51" i="2"/>
  <c r="F48" i="2" s="1"/>
  <c r="D17" i="3"/>
  <c r="D12" i="3"/>
  <c r="I32" i="2" l="1"/>
  <c r="J28" i="2" s="1"/>
  <c r="F50" i="2"/>
  <c r="F51" i="2" s="1"/>
  <c r="G48" i="2" s="1"/>
  <c r="D34" i="3"/>
  <c r="D119" i="3"/>
  <c r="D150" i="3" s="1"/>
  <c r="D23" i="3"/>
  <c r="D89" i="3"/>
  <c r="I39" i="2"/>
  <c r="I33" i="2" l="1"/>
  <c r="I35" i="2"/>
  <c r="G50" i="2"/>
  <c r="G51" i="2" s="1"/>
  <c r="H48" i="2" s="1"/>
  <c r="J30" i="2"/>
  <c r="J31" i="2"/>
  <c r="J39" i="2" l="1"/>
  <c r="H50" i="2"/>
  <c r="H51" i="2" s="1"/>
  <c r="I48" i="2" s="1"/>
  <c r="J32" i="2"/>
  <c r="I50" i="2" l="1"/>
  <c r="I51" i="2" s="1"/>
  <c r="J48" i="2" s="1"/>
  <c r="K28" i="2"/>
  <c r="J33" i="2"/>
  <c r="J35" i="2"/>
  <c r="J50" i="2" l="1"/>
  <c r="J51" i="2" s="1"/>
  <c r="K48" i="2" s="1"/>
  <c r="K31" i="2"/>
  <c r="K30" i="2"/>
  <c r="K39" i="2" l="1"/>
  <c r="K32" i="2"/>
  <c r="K50" i="2"/>
  <c r="K51" i="2" s="1"/>
  <c r="L48" i="2" s="1"/>
  <c r="L50" i="2" l="1"/>
  <c r="L51" i="2" s="1"/>
  <c r="M48" i="2" s="1"/>
  <c r="L28" i="2"/>
  <c r="K35" i="2"/>
  <c r="K33" i="2"/>
  <c r="M50" i="2" l="1"/>
  <c r="M51" i="2" s="1"/>
  <c r="N48" i="2" s="1"/>
  <c r="L31" i="2"/>
  <c r="L30" i="2"/>
  <c r="L39" i="2" l="1"/>
  <c r="N50" i="2"/>
  <c r="N51" i="2" s="1"/>
  <c r="O48" i="2" s="1"/>
  <c r="L32" i="2"/>
  <c r="O50" i="2" l="1"/>
  <c r="O51" i="2" s="1"/>
  <c r="L33" i="2"/>
  <c r="M28" i="2"/>
  <c r="L35" i="2"/>
  <c r="E7" i="3" l="1"/>
  <c r="D73" i="2"/>
  <c r="M30" i="2"/>
  <c r="M31" i="2"/>
  <c r="M32" i="2" l="1"/>
  <c r="M33" i="2" s="1"/>
  <c r="M39" i="2"/>
  <c r="D75" i="2"/>
  <c r="D76" i="2" s="1"/>
  <c r="E73" i="2" s="1"/>
  <c r="E28" i="3"/>
  <c r="E31" i="3" s="1"/>
  <c r="E11" i="3"/>
  <c r="M35" i="2" l="1"/>
  <c r="N28" i="2"/>
  <c r="N30" i="2" s="1"/>
  <c r="E17" i="3"/>
  <c r="E12" i="3"/>
  <c r="E75" i="2"/>
  <c r="E76" i="2"/>
  <c r="F73" i="2" s="1"/>
  <c r="N31" i="2" l="1"/>
  <c r="N32" i="2" s="1"/>
  <c r="N35" i="2" s="1"/>
  <c r="F75" i="2"/>
  <c r="F76" i="2" s="1"/>
  <c r="G73" i="2" s="1"/>
  <c r="N39" i="2"/>
  <c r="E34" i="3"/>
  <c r="E119" i="3"/>
  <c r="E150" i="3" s="1"/>
  <c r="E89" i="3"/>
  <c r="E23" i="3"/>
  <c r="N33" i="2" l="1"/>
  <c r="O28" i="2"/>
  <c r="O30" i="2" s="1"/>
  <c r="G75" i="2"/>
  <c r="G76" i="2"/>
  <c r="H73" i="2" s="1"/>
  <c r="O31" i="2" l="1"/>
  <c r="O39" i="2"/>
  <c r="O32" i="2"/>
  <c r="H75" i="2"/>
  <c r="H76" i="2" s="1"/>
  <c r="I73" i="2" s="1"/>
  <c r="I75" i="2" l="1"/>
  <c r="I76" i="2" s="1"/>
  <c r="J73" i="2" s="1"/>
  <c r="O33" i="2"/>
  <c r="D53" i="2"/>
  <c r="O35" i="2"/>
  <c r="D43" i="2"/>
  <c r="D16" i="3" s="1"/>
  <c r="D88" i="3" l="1"/>
  <c r="D90" i="3" s="1"/>
  <c r="D35" i="3"/>
  <c r="D21" i="3"/>
  <c r="D92" i="3" s="1"/>
  <c r="D130" i="3" s="1"/>
  <c r="D56" i="2"/>
  <c r="D55" i="2"/>
  <c r="D57" i="2" s="1"/>
  <c r="J75" i="2"/>
  <c r="J76" i="2" s="1"/>
  <c r="K73" i="2" s="1"/>
  <c r="K75" i="2" l="1"/>
  <c r="K76" i="2" s="1"/>
  <c r="L73" i="2" s="1"/>
  <c r="D64" i="2"/>
  <c r="D153" i="3"/>
  <c r="E53" i="2"/>
  <c r="D60" i="2"/>
  <c r="D37" i="3"/>
  <c r="D95" i="3" s="1"/>
  <c r="D120" i="3"/>
  <c r="D151" i="3" s="1"/>
  <c r="D233" i="3" s="1"/>
  <c r="D121" i="3"/>
  <c r="D152" i="3" s="1"/>
  <c r="D100" i="3"/>
  <c r="D93" i="3"/>
  <c r="D98" i="3"/>
  <c r="D131" i="3"/>
  <c r="D154" i="3" s="1"/>
  <c r="D232" i="3" s="1"/>
  <c r="D234" i="3" l="1"/>
  <c r="L75" i="2"/>
  <c r="L76" i="2" s="1"/>
  <c r="M73" i="2" s="1"/>
  <c r="E56" i="2"/>
  <c r="E55" i="2"/>
  <c r="D94" i="3"/>
  <c r="D219" i="3" s="1"/>
  <c r="D101" i="3"/>
  <c r="D220" i="3"/>
  <c r="D96" i="3"/>
  <c r="D132" i="3"/>
  <c r="D134" i="3" s="1"/>
  <c r="D222" i="3" l="1"/>
  <c r="D221" i="3"/>
  <c r="M75" i="2"/>
  <c r="M76" i="2" s="1"/>
  <c r="N73" i="2" s="1"/>
  <c r="D106" i="3"/>
  <c r="D228" i="3"/>
  <c r="D229" i="3" s="1"/>
  <c r="D235" i="3" s="1"/>
  <c r="D102" i="3"/>
  <c r="E64" i="2"/>
  <c r="E57" i="2"/>
  <c r="N75" i="2" l="1"/>
  <c r="N76" i="2" s="1"/>
  <c r="O73" i="2" s="1"/>
  <c r="F53" i="2"/>
  <c r="E58" i="2"/>
  <c r="E60" i="2"/>
  <c r="D108" i="3"/>
  <c r="D109" i="3" s="1"/>
  <c r="O75" i="2" l="1"/>
  <c r="O76" i="2" s="1"/>
  <c r="D137" i="3"/>
  <c r="D147" i="3"/>
  <c r="D155" i="3" s="1"/>
  <c r="D167" i="3" s="1"/>
  <c r="D170" i="3" s="1"/>
  <c r="D171" i="3" s="1"/>
  <c r="F56" i="2"/>
  <c r="F55" i="2"/>
  <c r="F64" i="2" s="1"/>
  <c r="F57" i="2" l="1"/>
  <c r="G53" i="2" s="1"/>
  <c r="F7" i="3"/>
  <c r="D98" i="2"/>
  <c r="D118" i="3"/>
  <c r="E169" i="3"/>
  <c r="D138" i="3"/>
  <c r="D139" i="3" s="1"/>
  <c r="F58" i="2" l="1"/>
  <c r="F60" i="2"/>
  <c r="F11" i="3"/>
  <c r="F28" i="3"/>
  <c r="F31" i="3" s="1"/>
  <c r="G56" i="2"/>
  <c r="G55" i="2"/>
  <c r="C242" i="3"/>
  <c r="D122" i="3"/>
  <c r="D125" i="3" s="1"/>
  <c r="D141" i="3" s="1"/>
  <c r="D100" i="2"/>
  <c r="D101" i="2" s="1"/>
  <c r="E98" i="2" s="1"/>
  <c r="G64" i="2" l="1"/>
  <c r="E100" i="2"/>
  <c r="E101" i="2" s="1"/>
  <c r="F98" i="2" s="1"/>
  <c r="G57" i="2"/>
  <c r="F17" i="3"/>
  <c r="F12" i="3"/>
  <c r="F100" i="2" l="1"/>
  <c r="F101" i="2" s="1"/>
  <c r="G98" i="2" s="1"/>
  <c r="H53" i="2"/>
  <c r="G60" i="2"/>
  <c r="G58" i="2"/>
  <c r="F34" i="3"/>
  <c r="F119" i="3"/>
  <c r="F150" i="3" s="1"/>
  <c r="F23" i="3"/>
  <c r="F89" i="3"/>
  <c r="H56" i="2" l="1"/>
  <c r="H55" i="2"/>
  <c r="H64" i="2" s="1"/>
  <c r="G100" i="2"/>
  <c r="G101" i="2" s="1"/>
  <c r="H98" i="2" s="1"/>
  <c r="H100" i="2" l="1"/>
  <c r="H101" i="2" s="1"/>
  <c r="I98" i="2" s="1"/>
  <c r="H57" i="2"/>
  <c r="I100" i="2" l="1"/>
  <c r="I101" i="2" s="1"/>
  <c r="J98" i="2" s="1"/>
  <c r="H60" i="2"/>
  <c r="H58" i="2"/>
  <c r="I53" i="2"/>
  <c r="I56" i="2" l="1"/>
  <c r="I55" i="2"/>
  <c r="J100" i="2"/>
  <c r="J101" i="2"/>
  <c r="K98" i="2" s="1"/>
  <c r="I57" i="2" l="1"/>
  <c r="I58" i="2" s="1"/>
  <c r="I64" i="2"/>
  <c r="K100" i="2"/>
  <c r="K101" i="2" s="1"/>
  <c r="L98" i="2" s="1"/>
  <c r="I60" i="2" l="1"/>
  <c r="J53" i="2"/>
  <c r="J56" i="2" s="1"/>
  <c r="L100" i="2"/>
  <c r="L101" i="2"/>
  <c r="M98" i="2" s="1"/>
  <c r="J55" i="2" l="1"/>
  <c r="J57" i="2" s="1"/>
  <c r="J64" i="2"/>
  <c r="M100" i="2"/>
  <c r="M101" i="2" s="1"/>
  <c r="N98" i="2" s="1"/>
  <c r="N100" i="2" l="1"/>
  <c r="N101" i="2" s="1"/>
  <c r="O98" i="2" s="1"/>
  <c r="K53" i="2"/>
  <c r="J60" i="2"/>
  <c r="J58" i="2"/>
  <c r="K56" i="2" l="1"/>
  <c r="K55" i="2"/>
  <c r="O100" i="2"/>
  <c r="O101" i="2"/>
  <c r="K64" i="2" l="1"/>
  <c r="G7" i="3"/>
  <c r="D123" i="2"/>
  <c r="K57" i="2"/>
  <c r="L53" i="2" l="1"/>
  <c r="K60" i="2"/>
  <c r="K58" i="2"/>
  <c r="D125" i="2"/>
  <c r="D126" i="2" s="1"/>
  <c r="E123" i="2" s="1"/>
  <c r="G11" i="3"/>
  <c r="G28" i="3"/>
  <c r="G31" i="3" s="1"/>
  <c r="E125" i="2" l="1"/>
  <c r="E126" i="2" s="1"/>
  <c r="F123" i="2" s="1"/>
  <c r="G17" i="3"/>
  <c r="G12" i="3"/>
  <c r="L56" i="2"/>
  <c r="L55" i="2"/>
  <c r="F125" i="2" l="1"/>
  <c r="F126" i="2" s="1"/>
  <c r="G123" i="2" s="1"/>
  <c r="G34" i="3"/>
  <c r="G119" i="3"/>
  <c r="G150" i="3" s="1"/>
  <c r="L64" i="2"/>
  <c r="L57" i="2"/>
  <c r="G23" i="3"/>
  <c r="G89" i="3"/>
  <c r="G125" i="2" l="1"/>
  <c r="G126" i="2" s="1"/>
  <c r="H123" i="2" s="1"/>
  <c r="M53" i="2"/>
  <c r="L58" i="2"/>
  <c r="L60" i="2"/>
  <c r="H125" i="2" l="1"/>
  <c r="H126" i="2" s="1"/>
  <c r="I123" i="2" s="1"/>
  <c r="M56" i="2"/>
  <c r="M55" i="2"/>
  <c r="M64" i="2" s="1"/>
  <c r="I125" i="2" l="1"/>
  <c r="I126" i="2" s="1"/>
  <c r="J123" i="2" s="1"/>
  <c r="M57" i="2"/>
  <c r="J125" i="2" l="1"/>
  <c r="J126" i="2" s="1"/>
  <c r="K123" i="2" s="1"/>
  <c r="M58" i="2"/>
  <c r="M60" i="2"/>
  <c r="N53" i="2"/>
  <c r="K125" i="2" l="1"/>
  <c r="K126" i="2" s="1"/>
  <c r="L123" i="2" s="1"/>
  <c r="N56" i="2"/>
  <c r="N55" i="2"/>
  <c r="N64" i="2" l="1"/>
  <c r="L125" i="2"/>
  <c r="L126" i="2" s="1"/>
  <c r="M123" i="2" s="1"/>
  <c r="N57" i="2"/>
  <c r="M125" i="2" l="1"/>
  <c r="M126" i="2" s="1"/>
  <c r="N123" i="2" s="1"/>
  <c r="N60" i="2"/>
  <c r="O53" i="2"/>
  <c r="N58" i="2"/>
  <c r="N125" i="2" l="1"/>
  <c r="N126" i="2" s="1"/>
  <c r="O123" i="2" s="1"/>
  <c r="O55" i="2"/>
  <c r="O56" i="2"/>
  <c r="O57" i="2" l="1"/>
  <c r="D78" i="2" s="1"/>
  <c r="O64" i="2"/>
  <c r="O125" i="2"/>
  <c r="O126" i="2" s="1"/>
  <c r="D68" i="2" l="1"/>
  <c r="E16" i="3" s="1"/>
  <c r="E35" i="3" s="1"/>
  <c r="O58" i="2"/>
  <c r="O60" i="2"/>
  <c r="D148" i="2"/>
  <c r="H7" i="3"/>
  <c r="D81" i="2"/>
  <c r="D80" i="2"/>
  <c r="D89" i="2" l="1"/>
  <c r="E21" i="3"/>
  <c r="E92" i="3" s="1"/>
  <c r="E130" i="3" s="1"/>
  <c r="E153" i="3" s="1"/>
  <c r="E88" i="3"/>
  <c r="E90" i="3" s="1"/>
  <c r="E121" i="3" s="1"/>
  <c r="E152" i="3" s="1"/>
  <c r="E37" i="3"/>
  <c r="E95" i="3" s="1"/>
  <c r="E120" i="3"/>
  <c r="E151" i="3" s="1"/>
  <c r="E233" i="3" s="1"/>
  <c r="D82" i="2"/>
  <c r="H11" i="3"/>
  <c r="H28" i="3"/>
  <c r="H31" i="3" s="1"/>
  <c r="D150" i="2"/>
  <c r="D151" i="2" s="1"/>
  <c r="E148" i="2" s="1"/>
  <c r="E131" i="3" l="1"/>
  <c r="E154" i="3" s="1"/>
  <c r="E232" i="3" s="1"/>
  <c r="E100" i="3"/>
  <c r="E98" i="3"/>
  <c r="E93" i="3"/>
  <c r="E96" i="3" s="1"/>
  <c r="E91" i="3"/>
  <c r="E150" i="2"/>
  <c r="E151" i="2" s="1"/>
  <c r="F148" i="2" s="1"/>
  <c r="H17" i="3"/>
  <c r="H12" i="3"/>
  <c r="E220" i="3"/>
  <c r="E78" i="2"/>
  <c r="D85" i="2"/>
  <c r="E234" i="3"/>
  <c r="E101" i="3" l="1"/>
  <c r="E228" i="3" s="1"/>
  <c r="E229" i="3" s="1"/>
  <c r="E235" i="3" s="1"/>
  <c r="E94" i="3"/>
  <c r="E219" i="3" s="1"/>
  <c r="E221" i="3" s="1"/>
  <c r="E132" i="3"/>
  <c r="E134" i="3" s="1"/>
  <c r="E81" i="2"/>
  <c r="E80" i="2"/>
  <c r="E89" i="2" s="1"/>
  <c r="H23" i="3"/>
  <c r="H89" i="3"/>
  <c r="H34" i="3"/>
  <c r="H119" i="3"/>
  <c r="H150" i="3" s="1"/>
  <c r="F150" i="2"/>
  <c r="F151" i="2" s="1"/>
  <c r="G148" i="2" s="1"/>
  <c r="E222" i="3" l="1"/>
  <c r="E102" i="3"/>
  <c r="E106" i="3"/>
  <c r="E108" i="3" s="1"/>
  <c r="E109" i="3" s="1"/>
  <c r="G150" i="2"/>
  <c r="G151" i="2" s="1"/>
  <c r="H148" i="2" s="1"/>
  <c r="E82" i="2"/>
  <c r="H150" i="2" l="1"/>
  <c r="H151" i="2" s="1"/>
  <c r="I148" i="2" s="1"/>
  <c r="E147" i="3"/>
  <c r="E155" i="3" s="1"/>
  <c r="E167" i="3" s="1"/>
  <c r="E170" i="3" s="1"/>
  <c r="E171" i="3" s="1"/>
  <c r="E137" i="3"/>
  <c r="F78" i="2"/>
  <c r="E83" i="2"/>
  <c r="E85" i="2"/>
  <c r="F81" i="2" l="1"/>
  <c r="F80" i="2"/>
  <c r="E138" i="3"/>
  <c r="E139" i="3" s="1"/>
  <c r="F169" i="3"/>
  <c r="E118" i="3"/>
  <c r="E122" i="3" s="1"/>
  <c r="E125" i="3" s="1"/>
  <c r="I150" i="2"/>
  <c r="I151" i="2" s="1"/>
  <c r="J148" i="2" s="1"/>
  <c r="F89" i="2" l="1"/>
  <c r="E141" i="3"/>
  <c r="J150" i="2"/>
  <c r="J151" i="2" s="1"/>
  <c r="K148" i="2" s="1"/>
  <c r="F82" i="2"/>
  <c r="G78" i="2" l="1"/>
  <c r="F83" i="2"/>
  <c r="F85" i="2"/>
  <c r="K150" i="2"/>
  <c r="K151" i="2"/>
  <c r="L148" i="2" s="1"/>
  <c r="L150" i="2" l="1"/>
  <c r="L151" i="2" s="1"/>
  <c r="M148" i="2" s="1"/>
  <c r="G81" i="2"/>
  <c r="G80" i="2"/>
  <c r="G82" i="2" l="1"/>
  <c r="H78" i="2" s="1"/>
  <c r="G89" i="2"/>
  <c r="M150" i="2"/>
  <c r="M151" i="2" s="1"/>
  <c r="N148" i="2" s="1"/>
  <c r="G85" i="2" l="1"/>
  <c r="G83" i="2"/>
  <c r="N150" i="2"/>
  <c r="N151" i="2" s="1"/>
  <c r="O148" i="2" s="1"/>
  <c r="H81" i="2"/>
  <c r="H80" i="2"/>
  <c r="H89" i="2" l="1"/>
  <c r="O150" i="2"/>
  <c r="O151" i="2" s="1"/>
  <c r="I7" i="3" s="1"/>
  <c r="H82" i="2"/>
  <c r="I11" i="3" l="1"/>
  <c r="I28" i="3"/>
  <c r="I31" i="3" s="1"/>
  <c r="H83" i="2"/>
  <c r="H85" i="2"/>
  <c r="I78" i="2"/>
  <c r="I80" i="2" l="1"/>
  <c r="I81" i="2"/>
  <c r="I17" i="3"/>
  <c r="I12" i="3"/>
  <c r="I82" i="2" l="1"/>
  <c r="I83" i="2" s="1"/>
  <c r="I34" i="3"/>
  <c r="I119" i="3"/>
  <c r="I150" i="3" s="1"/>
  <c r="I23" i="3"/>
  <c r="I89" i="3"/>
  <c r="I89" i="2"/>
  <c r="I85" i="2" l="1"/>
  <c r="J78" i="2"/>
  <c r="J80" i="2" s="1"/>
  <c r="J81" i="2" l="1"/>
  <c r="J82" i="2" s="1"/>
  <c r="J89" i="2"/>
  <c r="K78" i="2" l="1"/>
  <c r="J85" i="2"/>
  <c r="J83" i="2"/>
  <c r="K80" i="2" l="1"/>
  <c r="K81" i="2"/>
  <c r="K89" i="2" l="1"/>
  <c r="K82" i="2"/>
  <c r="K83" i="2" s="1"/>
  <c r="L78" i="2" l="1"/>
  <c r="L80" i="2" s="1"/>
  <c r="K85" i="2"/>
  <c r="L81" i="2" l="1"/>
  <c r="L82" i="2" s="1"/>
  <c r="L89" i="2" l="1"/>
  <c r="L85" i="2"/>
  <c r="L83" i="2"/>
  <c r="M78" i="2"/>
  <c r="M81" i="2"/>
  <c r="M80" i="2"/>
  <c r="M82" i="2" s="1"/>
  <c r="M85" i="2" l="1"/>
  <c r="N78" i="2"/>
  <c r="M83" i="2"/>
  <c r="M89" i="2"/>
  <c r="N80" i="2" l="1"/>
  <c r="N81" i="2"/>
  <c r="N89" i="2" l="1"/>
  <c r="N82" i="2"/>
  <c r="N85" i="2" l="1"/>
  <c r="N83" i="2"/>
  <c r="O78" i="2"/>
  <c r="O81" i="2" l="1"/>
  <c r="O80" i="2"/>
  <c r="O82" i="2" l="1"/>
  <c r="O85" i="2" s="1"/>
  <c r="O89" i="2"/>
  <c r="D103" i="2" l="1"/>
  <c r="D106" i="2" s="1"/>
  <c r="D93" i="2"/>
  <c r="F16" i="3" s="1"/>
  <c r="F88" i="3" s="1"/>
  <c r="F90" i="3" s="1"/>
  <c r="O83" i="2"/>
  <c r="D105" i="2" l="1"/>
  <c r="D114" i="2" s="1"/>
  <c r="F35" i="3"/>
  <c r="F37" i="3" s="1"/>
  <c r="F95" i="3" s="1"/>
  <c r="F21" i="3"/>
  <c r="F92" i="3" s="1"/>
  <c r="F130" i="3" s="1"/>
  <c r="F153" i="3" s="1"/>
  <c r="F91" i="3"/>
  <c r="F121" i="3"/>
  <c r="F152" i="3" s="1"/>
  <c r="F100" i="3"/>
  <c r="F98" i="3"/>
  <c r="F131" i="3"/>
  <c r="F154" i="3" s="1"/>
  <c r="F232" i="3" s="1"/>
  <c r="D107" i="2" l="1"/>
  <c r="F234" i="3"/>
  <c r="F93" i="3"/>
  <c r="F96" i="3" s="1"/>
  <c r="F120" i="3"/>
  <c r="F151" i="3" s="1"/>
  <c r="F233" i="3" s="1"/>
  <c r="F220" i="3"/>
  <c r="F132" i="3"/>
  <c r="F134" i="3" s="1"/>
  <c r="D110" i="2"/>
  <c r="E103" i="2"/>
  <c r="F94" i="3" l="1"/>
  <c r="F219" i="3" s="1"/>
  <c r="F221" i="3" s="1"/>
  <c r="F101" i="3"/>
  <c r="F106" i="3" s="1"/>
  <c r="E106" i="2"/>
  <c r="E105" i="2"/>
  <c r="E114" i="2" l="1"/>
  <c r="F102" i="3"/>
  <c r="F228" i="3"/>
  <c r="F229" i="3" s="1"/>
  <c r="F235" i="3" s="1"/>
  <c r="F222" i="3"/>
  <c r="F108" i="3"/>
  <c r="F109" i="3" s="1"/>
  <c r="E107" i="2"/>
  <c r="F103" i="2" l="1"/>
  <c r="E110" i="2"/>
  <c r="E108" i="2"/>
  <c r="F147" i="3"/>
  <c r="F155" i="3" s="1"/>
  <c r="F167" i="3" s="1"/>
  <c r="F170" i="3" s="1"/>
  <c r="F171" i="3" s="1"/>
  <c r="F137" i="3"/>
  <c r="G169" i="3" l="1"/>
  <c r="F118" i="3"/>
  <c r="F122" i="3" s="1"/>
  <c r="F125" i="3" s="1"/>
  <c r="F138" i="3"/>
  <c r="F139" i="3" s="1"/>
  <c r="F105" i="2"/>
  <c r="F106" i="2"/>
  <c r="F107" i="2" s="1"/>
  <c r="G103" i="2" l="1"/>
  <c r="F110" i="2"/>
  <c r="F108" i="2"/>
  <c r="F141" i="3"/>
  <c r="F114" i="2"/>
  <c r="G106" i="2" l="1"/>
  <c r="G105" i="2"/>
  <c r="G114" i="2" l="1"/>
  <c r="G107" i="2"/>
  <c r="H103" i="2" l="1"/>
  <c r="G108" i="2"/>
  <c r="G110" i="2"/>
  <c r="H106" i="2" l="1"/>
  <c r="H105" i="2"/>
  <c r="H114" i="2" l="1"/>
  <c r="H107" i="2"/>
  <c r="H110" i="2" l="1"/>
  <c r="I103" i="2"/>
  <c r="H108" i="2"/>
  <c r="I106" i="2" l="1"/>
  <c r="I105" i="2"/>
  <c r="I114" i="2" l="1"/>
  <c r="I107" i="2"/>
  <c r="I108" i="2" l="1"/>
  <c r="I110" i="2"/>
  <c r="J103" i="2"/>
  <c r="J106" i="2" l="1"/>
  <c r="J105" i="2"/>
  <c r="J114" i="2" l="1"/>
  <c r="J107" i="2"/>
  <c r="J108" i="2" l="1"/>
  <c r="J110" i="2"/>
  <c r="K103" i="2"/>
  <c r="K106" i="2" l="1"/>
  <c r="K105" i="2"/>
  <c r="K114" i="2" l="1"/>
  <c r="K107" i="2"/>
  <c r="L103" i="2" l="1"/>
  <c r="K108" i="2"/>
  <c r="K110" i="2"/>
  <c r="L105" i="2" l="1"/>
  <c r="L106" i="2"/>
  <c r="L107" i="2" l="1"/>
  <c r="M103" i="2" s="1"/>
  <c r="L114" i="2"/>
  <c r="L110" i="2" l="1"/>
  <c r="L108" i="2"/>
  <c r="M106" i="2"/>
  <c r="M105" i="2"/>
  <c r="M114" i="2" s="1"/>
  <c r="M107" i="2" l="1"/>
  <c r="M110" i="2" l="1"/>
  <c r="M108" i="2"/>
  <c r="N103" i="2"/>
  <c r="N106" i="2" l="1"/>
  <c r="N105" i="2"/>
  <c r="N114" i="2" l="1"/>
  <c r="N107" i="2"/>
  <c r="N108" i="2" l="1"/>
  <c r="N110" i="2"/>
  <c r="O103" i="2"/>
  <c r="O106" i="2" l="1"/>
  <c r="O105" i="2"/>
  <c r="O114" i="2" l="1"/>
  <c r="O107" i="2"/>
  <c r="O108" i="2" l="1"/>
  <c r="D128" i="2"/>
  <c r="O110" i="2"/>
  <c r="D118" i="2"/>
  <c r="G16" i="3" s="1"/>
  <c r="G35" i="3" l="1"/>
  <c r="G21" i="3"/>
  <c r="G92" i="3" s="1"/>
  <c r="G130" i="3" s="1"/>
  <c r="G88" i="3"/>
  <c r="G90" i="3" s="1"/>
  <c r="D130" i="2"/>
  <c r="D131" i="2"/>
  <c r="D139" i="2" l="1"/>
  <c r="G93" i="3"/>
  <c r="G91" i="3"/>
  <c r="G121" i="3"/>
  <c r="G152" i="3" s="1"/>
  <c r="G100" i="3"/>
  <c r="G98" i="3"/>
  <c r="G131" i="3"/>
  <c r="G154" i="3" s="1"/>
  <c r="G232" i="3" s="1"/>
  <c r="D132" i="2"/>
  <c r="G153" i="3"/>
  <c r="G37" i="3"/>
  <c r="G95" i="3" s="1"/>
  <c r="G120" i="3"/>
  <c r="G151" i="3" s="1"/>
  <c r="G233" i="3" s="1"/>
  <c r="G132" i="3" l="1"/>
  <c r="G134" i="3" s="1"/>
  <c r="G220" i="3"/>
  <c r="G96" i="3"/>
  <c r="D135" i="2"/>
  <c r="E128" i="2"/>
  <c r="G234" i="3"/>
  <c r="G101" i="3"/>
  <c r="G94" i="3"/>
  <c r="G219" i="3" s="1"/>
  <c r="G221" i="3" l="1"/>
  <c r="G106" i="3"/>
  <c r="G102" i="3"/>
  <c r="G228" i="3"/>
  <c r="G229" i="3" s="1"/>
  <c r="G235" i="3" s="1"/>
  <c r="E130" i="2"/>
  <c r="E131" i="2"/>
  <c r="G222" i="3"/>
  <c r="E132" i="2" l="1"/>
  <c r="E133" i="2" s="1"/>
  <c r="E139" i="2"/>
  <c r="G108" i="3"/>
  <c r="G109" i="3" s="1"/>
  <c r="F128" i="2" l="1"/>
  <c r="E135" i="2"/>
  <c r="G147" i="3"/>
  <c r="G155" i="3" s="1"/>
  <c r="G167" i="3" s="1"/>
  <c r="G170" i="3" s="1"/>
  <c r="G171" i="3" s="1"/>
  <c r="G137" i="3"/>
  <c r="F130" i="2"/>
  <c r="F131" i="2"/>
  <c r="F132" i="2" l="1"/>
  <c r="F135" i="2" s="1"/>
  <c r="F139" i="2"/>
  <c r="G138" i="3"/>
  <c r="G139" i="3" s="1"/>
  <c r="G118" i="3"/>
  <c r="G122" i="3" s="1"/>
  <c r="G125" i="3" s="1"/>
  <c r="H169" i="3"/>
  <c r="G141" i="3" l="1"/>
  <c r="F133" i="2"/>
  <c r="G128" i="2"/>
  <c r="G130" i="2" s="1"/>
  <c r="G131" i="2" l="1"/>
  <c r="G139" i="2"/>
  <c r="G132" i="2"/>
  <c r="G133" i="2" l="1"/>
  <c r="G135" i="2"/>
  <c r="H128" i="2"/>
  <c r="H130" i="2" l="1"/>
  <c r="H131" i="2"/>
  <c r="H139" i="2" l="1"/>
  <c r="H132" i="2"/>
  <c r="H135" i="2" l="1"/>
  <c r="H133" i="2"/>
  <c r="I128" i="2"/>
  <c r="I130" i="2" l="1"/>
  <c r="I131" i="2"/>
  <c r="I132" i="2" s="1"/>
  <c r="I135" i="2" l="1"/>
  <c r="J128" i="2"/>
  <c r="I133" i="2"/>
  <c r="I139" i="2"/>
  <c r="J130" i="2" l="1"/>
  <c r="J131" i="2"/>
  <c r="J132" i="2" s="1"/>
  <c r="J135" i="2" l="1"/>
  <c r="J133" i="2"/>
  <c r="K128" i="2"/>
  <c r="J139" i="2"/>
  <c r="K131" i="2" l="1"/>
  <c r="K130" i="2"/>
  <c r="K132" i="2"/>
  <c r="K135" i="2" l="1"/>
  <c r="K133" i="2"/>
  <c r="L128" i="2"/>
  <c r="K139" i="2"/>
  <c r="L130" i="2" l="1"/>
  <c r="L131" i="2"/>
  <c r="L132" i="2" s="1"/>
  <c r="M128" i="2" l="1"/>
  <c r="L135" i="2"/>
  <c r="L133" i="2"/>
  <c r="L139" i="2"/>
  <c r="M130" i="2" l="1"/>
  <c r="M131" i="2"/>
  <c r="M132" i="2" s="1"/>
  <c r="N128" i="2" l="1"/>
  <c r="M135" i="2"/>
  <c r="M133" i="2"/>
  <c r="M139" i="2"/>
  <c r="N131" i="2" l="1"/>
  <c r="N130" i="2"/>
  <c r="N139" i="2" s="1"/>
  <c r="N132" i="2"/>
  <c r="O128" i="2" l="1"/>
  <c r="N133" i="2"/>
  <c r="N135" i="2"/>
  <c r="O130" i="2" l="1"/>
  <c r="O131" i="2"/>
  <c r="O139" i="2" l="1"/>
  <c r="O132" i="2"/>
  <c r="D153" i="2" l="1"/>
  <c r="O135" i="2"/>
  <c r="O133" i="2"/>
  <c r="D143" i="2"/>
  <c r="H16" i="3" s="1"/>
  <c r="H88" i="3" l="1"/>
  <c r="H90" i="3" s="1"/>
  <c r="H35" i="3"/>
  <c r="H21" i="3"/>
  <c r="H92" i="3" s="1"/>
  <c r="H130" i="3" s="1"/>
  <c r="D156" i="2"/>
  <c r="D155" i="2"/>
  <c r="D164" i="2" s="1"/>
  <c r="D157" i="2" l="1"/>
  <c r="H153" i="3"/>
  <c r="H37" i="3"/>
  <c r="H95" i="3" s="1"/>
  <c r="H120" i="3"/>
  <c r="H151" i="3" s="1"/>
  <c r="H233" i="3" s="1"/>
  <c r="H91" i="3"/>
  <c r="H121" i="3"/>
  <c r="H152" i="3" s="1"/>
  <c r="H93" i="3"/>
  <c r="H100" i="3"/>
  <c r="H98" i="3"/>
  <c r="H131" i="3"/>
  <c r="H154" i="3" s="1"/>
  <c r="H232" i="3" s="1"/>
  <c r="H234" i="3" l="1"/>
  <c r="H220" i="3"/>
  <c r="H96" i="3"/>
  <c r="H132" i="3"/>
  <c r="H134" i="3" s="1"/>
  <c r="H94" i="3"/>
  <c r="H219" i="3" s="1"/>
  <c r="H101" i="3"/>
  <c r="D160" i="2"/>
  <c r="E153" i="2"/>
  <c r="H221" i="3" l="1"/>
  <c r="H222" i="3"/>
  <c r="H228" i="3"/>
  <c r="H229" i="3" s="1"/>
  <c r="H235" i="3" s="1"/>
  <c r="H102" i="3"/>
  <c r="H106" i="3"/>
  <c r="E156" i="2"/>
  <c r="E155" i="2"/>
  <c r="E164" i="2" l="1"/>
  <c r="E157" i="2"/>
  <c r="H108" i="3"/>
  <c r="H109" i="3" s="1"/>
  <c r="H147" i="3" l="1"/>
  <c r="H155" i="3" s="1"/>
  <c r="H167" i="3" s="1"/>
  <c r="H170" i="3" s="1"/>
  <c r="H171" i="3" s="1"/>
  <c r="H137" i="3"/>
  <c r="E158" i="2"/>
  <c r="E160" i="2"/>
  <c r="F153" i="2"/>
  <c r="F156" i="2" l="1"/>
  <c r="F155" i="2"/>
  <c r="F164" i="2" s="1"/>
  <c r="H138" i="3"/>
  <c r="H139" i="3" s="1"/>
  <c r="I169" i="3"/>
  <c r="H118" i="3"/>
  <c r="H122" i="3" s="1"/>
  <c r="H125" i="3" s="1"/>
  <c r="H141" i="3" l="1"/>
  <c r="F157" i="2"/>
  <c r="F158" i="2" l="1"/>
  <c r="F160" i="2"/>
  <c r="G153" i="2"/>
  <c r="G156" i="2" l="1"/>
  <c r="G155" i="2"/>
  <c r="G164" i="2" s="1"/>
  <c r="G157" i="2" l="1"/>
  <c r="H153" i="2" l="1"/>
  <c r="G158" i="2"/>
  <c r="G160" i="2"/>
  <c r="H155" i="2" l="1"/>
  <c r="H156" i="2"/>
  <c r="H157" i="2"/>
  <c r="H164" i="2" l="1"/>
  <c r="I153" i="2"/>
  <c r="H158" i="2"/>
  <c r="H160" i="2"/>
  <c r="I156" i="2" l="1"/>
  <c r="I155" i="2"/>
  <c r="I164" i="2" s="1"/>
  <c r="I157" i="2" l="1"/>
  <c r="I160" i="2" l="1"/>
  <c r="I158" i="2"/>
  <c r="J153" i="2"/>
  <c r="J155" i="2" l="1"/>
  <c r="J156" i="2"/>
  <c r="J164" i="2" l="1"/>
  <c r="J157" i="2"/>
  <c r="J160" i="2" l="1"/>
  <c r="K153" i="2"/>
  <c r="J158" i="2"/>
  <c r="K155" i="2" l="1"/>
  <c r="K156" i="2"/>
  <c r="K164" i="2" l="1"/>
  <c r="K157" i="2"/>
  <c r="K158" i="2" l="1"/>
  <c r="K160" i="2"/>
  <c r="L153" i="2"/>
  <c r="L156" i="2" l="1"/>
  <c r="L155" i="2"/>
  <c r="L157" i="2" l="1"/>
  <c r="L164" i="2"/>
  <c r="L158" i="2"/>
  <c r="L160" i="2"/>
  <c r="M153" i="2"/>
  <c r="M155" i="2" l="1"/>
  <c r="M156" i="2"/>
  <c r="M157" i="2" s="1"/>
  <c r="M160" i="2" l="1"/>
  <c r="N153" i="2"/>
  <c r="M158" i="2"/>
  <c r="M164" i="2"/>
  <c r="N155" i="2" l="1"/>
  <c r="N156" i="2"/>
  <c r="N164" i="2" l="1"/>
  <c r="N157" i="2"/>
  <c r="N160" i="2" l="1"/>
  <c r="O153" i="2"/>
  <c r="N158" i="2"/>
  <c r="O155" i="2" l="1"/>
  <c r="O156" i="2"/>
  <c r="O164" i="2" l="1"/>
  <c r="O157" i="2"/>
  <c r="O160" i="2" l="1"/>
  <c r="O158" i="2"/>
  <c r="D168" i="2"/>
  <c r="I16" i="3" s="1"/>
  <c r="I88" i="3" l="1"/>
  <c r="I90" i="3" s="1"/>
  <c r="I35" i="3"/>
  <c r="I21" i="3"/>
  <c r="I92" i="3" s="1"/>
  <c r="I130" i="3" s="1"/>
  <c r="I37" i="3" l="1"/>
  <c r="I95" i="3" s="1"/>
  <c r="I120" i="3"/>
  <c r="I151" i="3" s="1"/>
  <c r="I233" i="3" s="1"/>
  <c r="I153" i="3"/>
  <c r="I91" i="3"/>
  <c r="I121" i="3"/>
  <c r="I152" i="3" s="1"/>
  <c r="I93" i="3"/>
  <c r="I100" i="3"/>
  <c r="I98" i="3"/>
  <c r="I131" i="3"/>
  <c r="I154" i="3" s="1"/>
  <c r="I232" i="3" s="1"/>
  <c r="I94" i="3" l="1"/>
  <c r="I219" i="3" s="1"/>
  <c r="I101" i="3"/>
  <c r="I132" i="3"/>
  <c r="I134" i="3" s="1"/>
  <c r="I234" i="3"/>
  <c r="I96" i="3"/>
  <c r="I220" i="3"/>
  <c r="I222" i="3" l="1"/>
  <c r="I228" i="3"/>
  <c r="I229" i="3" s="1"/>
  <c r="I235" i="3" s="1"/>
  <c r="I106" i="3"/>
  <c r="I102" i="3"/>
  <c r="I221" i="3"/>
  <c r="I108" i="3" l="1"/>
  <c r="I109" i="3" s="1"/>
  <c r="C237" i="3"/>
  <c r="C240" i="3" s="1"/>
  <c r="C239" i="3" a="1"/>
  <c r="C239" i="3" s="1"/>
  <c r="C241" i="3" l="1"/>
  <c r="C251" i="3" s="1"/>
  <c r="I147" i="3"/>
  <c r="I155" i="3" s="1"/>
  <c r="I167" i="3" s="1"/>
  <c r="I170" i="3" s="1"/>
  <c r="I171" i="3" s="1"/>
  <c r="I118" i="3" s="1"/>
  <c r="I122" i="3" s="1"/>
  <c r="I125" i="3" s="1"/>
  <c r="I137" i="3"/>
  <c r="I138" i="3" s="1"/>
  <c r="I139" i="3" s="1"/>
  <c r="C244" i="3" l="1"/>
  <c r="C246" i="3"/>
  <c r="C247" i="3"/>
  <c r="I1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1" authorId="0" shapeId="0" xr:uid="{00000000-0006-0000-0100-000001000000}">
      <text>
        <r>
          <rPr>
            <sz val="11"/>
            <color theme="1"/>
            <rFont val="Calibri"/>
            <family val="2"/>
          </rPr>
          <t>======
ID#AAAAUhjfHEw
Mon Oo Khin    (2022-01-26 18:09:07)
Renewals of original contracts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PV4uwsiuMleTwsJS5DJX5pfOk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11"/>
            <color theme="1"/>
            <rFont val="Calibri"/>
            <family val="2"/>
          </rPr>
          <t>======
ID#AAAAUhjfHEs
Mon Oo Khin    (2022-01-26 18:09:07)
Assume that all professional services and other are not on subscription basis.</t>
        </r>
      </text>
    </comment>
    <comment ref="B21" authorId="0" shapeId="0" xr:uid="{00000000-0006-0000-0200-000003000000}">
      <text>
        <r>
          <rPr>
            <sz val="11"/>
            <color theme="1"/>
            <rFont val="Calibri"/>
            <family val="2"/>
          </rPr>
          <t>======
ID#AAAAUhjfHEk
Mon Oo Khin    (2022-01-26 18:09:07)
Includes costs relating to maintaining the data center capacity</t>
        </r>
      </text>
    </comment>
    <comment ref="B23" authorId="0" shapeId="0" xr:uid="{00000000-0006-0000-0200-000002000000}">
      <text>
        <r>
          <rPr>
            <sz val="11"/>
            <color theme="1"/>
            <rFont val="Calibri"/>
            <family val="2"/>
          </rPr>
          <t>======
ID#AAAAUhjfHEo
Mon Oo Khin    (2022-01-26 18:09:07)
Related to personnel costs for providing the professional services. Hence higher as a % of the related revenue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tCDes9cKTgC/KgfkAloeaZhIiNQ=="/>
    </ext>
  </extLst>
</comments>
</file>

<file path=xl/sharedStrings.xml><?xml version="1.0" encoding="utf-8"?>
<sst xmlns="http://schemas.openxmlformats.org/spreadsheetml/2006/main" count="332" uniqueCount="181">
  <si>
    <t>Strictly Confidential</t>
  </si>
  <si>
    <t>Table of Contents</t>
  </si>
  <si>
    <t>https://corporatefinanceinstitute.com/</t>
  </si>
  <si>
    <t>Monthly Schedule</t>
  </si>
  <si>
    <t>Assumptions</t>
  </si>
  <si>
    <t xml:space="preserve">  </t>
  </si>
  <si>
    <t>Customer Churn rate</t>
  </si>
  <si>
    <t>Average months paid upfront</t>
  </si>
  <si>
    <t>Renewal rate</t>
  </si>
  <si>
    <t>ARPA (Average Revenue per Account per Month)- New Accounts</t>
  </si>
  <si>
    <t>Number of customer accounts</t>
  </si>
  <si>
    <t>Opening balance</t>
  </si>
  <si>
    <t>New customer additions</t>
  </si>
  <si>
    <t>Customer churn</t>
  </si>
  <si>
    <t>Total number of customer accounts</t>
  </si>
  <si>
    <t>MRR opening balance</t>
  </si>
  <si>
    <t>New MRR</t>
  </si>
  <si>
    <t>Churned MRR</t>
  </si>
  <si>
    <t>Expansion MRR</t>
  </si>
  <si>
    <t>Net MRR</t>
  </si>
  <si>
    <t>% growth</t>
  </si>
  <si>
    <t>ARPA (Average Revenue per Account per Month) - across installed based</t>
  </si>
  <si>
    <t>% MRR Churn Rate</t>
  </si>
  <si>
    <t>% MRR Expansion Rate</t>
  </si>
  <si>
    <t>% Net MRR Churn Rate</t>
  </si>
  <si>
    <t>Subscription billings</t>
  </si>
  <si>
    <t>Annualized run rate in 2017</t>
  </si>
  <si>
    <t>Subscription billings in 2017</t>
  </si>
  <si>
    <t>Annualized run rate in 2018</t>
  </si>
  <si>
    <t>Subscription billings in 2018</t>
  </si>
  <si>
    <t>Annualized run rate in 2019</t>
  </si>
  <si>
    <t>Subscription billings in 2019</t>
  </si>
  <si>
    <t>Annualized run rate in 2020</t>
  </si>
  <si>
    <t>Subscription billings in 2020</t>
  </si>
  <si>
    <t>Annualized run rate in 2021</t>
  </si>
  <si>
    <t>Subscription billings in 2021</t>
  </si>
  <si>
    <t>Annualized run rate in 2022</t>
  </si>
  <si>
    <t>Subscription billings in 2022</t>
  </si>
  <si>
    <t>Other assumptions</t>
  </si>
  <si>
    <t>Average bill size for professional services and other per account</t>
  </si>
  <si>
    <t>Professional services and other billings</t>
  </si>
  <si>
    <t>Total billings</t>
  </si>
  <si>
    <t>Revenue</t>
  </si>
  <si>
    <t>Subscription revenue</t>
  </si>
  <si>
    <t>Professional services and other revenue</t>
  </si>
  <si>
    <t>Cost of revenue</t>
  </si>
  <si>
    <t>Cost of subscription revenue</t>
  </si>
  <si>
    <t>% of subscription revenue</t>
  </si>
  <si>
    <t>Cost of professional services and other revenue</t>
  </si>
  <si>
    <t>% of professional services and other revenue</t>
  </si>
  <si>
    <t>Sales and marketing expenses</t>
  </si>
  <si>
    <t>Sales and marketing staff headcount</t>
  </si>
  <si>
    <t>New accounts per headcount</t>
  </si>
  <si>
    <t>Salary (fixed component)</t>
  </si>
  <si>
    <t>Fixed component of sales and marketing expenses</t>
  </si>
  <si>
    <t>Commission rate</t>
  </si>
  <si>
    <t>Total commissions (including deferred portion)</t>
  </si>
  <si>
    <t>Annual commission expense (excludes deferred portion)</t>
  </si>
  <si>
    <t>Total sales and marketing expense</t>
  </si>
  <si>
    <t>Research and  development expenses</t>
  </si>
  <si>
    <t>Research and development headcount</t>
  </si>
  <si>
    <t>Personnel related research and development expense</t>
  </si>
  <si>
    <t>Data center and infrastructure related costs</t>
  </si>
  <si>
    <t>Total research and development expense</t>
  </si>
  <si>
    <t>General and administrative expenses</t>
  </si>
  <si>
    <t>General and administrative headcount</t>
  </si>
  <si>
    <t>Rental expense and other</t>
  </si>
  <si>
    <t>Balance sheet items</t>
  </si>
  <si>
    <t>Number of days in a year</t>
  </si>
  <si>
    <t>Current Assets</t>
  </si>
  <si>
    <t>Accounts Receivable Days (billings based)</t>
  </si>
  <si>
    <t>Prepaid expenses and other (% of revenue)</t>
  </si>
  <si>
    <t>Liabilities</t>
  </si>
  <si>
    <t xml:space="preserve">Accounts Payable Days </t>
  </si>
  <si>
    <t>Capital Expenditures</t>
  </si>
  <si>
    <t>Technology</t>
  </si>
  <si>
    <t>Property and equipment</t>
  </si>
  <si>
    <t>Depreciation</t>
  </si>
  <si>
    <t>Technology - Straight-line Years</t>
  </si>
  <si>
    <t>Property and Equipment - Straight-line Years</t>
  </si>
  <si>
    <t>Financing</t>
  </si>
  <si>
    <t>Interest Rate</t>
  </si>
  <si>
    <t>Debt Issued (Repaid)</t>
  </si>
  <si>
    <t>Equity Raised (Repurchased)</t>
  </si>
  <si>
    <t>Dividends Paid</t>
  </si>
  <si>
    <t>Valuation</t>
  </si>
  <si>
    <t>Tax Rate</t>
  </si>
  <si>
    <t>WACC</t>
  </si>
  <si>
    <t>Terminal uFCF Multiple</t>
  </si>
  <si>
    <t>Income Statement</t>
  </si>
  <si>
    <t>Total revenue</t>
  </si>
  <si>
    <t>Gross profit</t>
  </si>
  <si>
    <t>% margin</t>
  </si>
  <si>
    <t>Sales and marketing</t>
  </si>
  <si>
    <t>% of revenue</t>
  </si>
  <si>
    <t>Research and development</t>
  </si>
  <si>
    <t>General and administrative</t>
  </si>
  <si>
    <t>EBITDA</t>
  </si>
  <si>
    <t>Depreciation and amortization</t>
  </si>
  <si>
    <t>Interest</t>
  </si>
  <si>
    <t>Earnings Before Tax</t>
  </si>
  <si>
    <t>Taxes</t>
  </si>
  <si>
    <t>Net Income</t>
  </si>
  <si>
    <t>Dividends paid</t>
  </si>
  <si>
    <t>Balance sheet</t>
  </si>
  <si>
    <t>ASSETS</t>
  </si>
  <si>
    <t>Current</t>
  </si>
  <si>
    <t>Cash</t>
  </si>
  <si>
    <t>Accounts Receivable</t>
  </si>
  <si>
    <t>Deferred commissions</t>
  </si>
  <si>
    <t>Prepaid expenses and other current assets</t>
  </si>
  <si>
    <t>Total Current Assets</t>
  </si>
  <si>
    <t>Property &amp; Equipment</t>
  </si>
  <si>
    <t>Total Assets</t>
  </si>
  <si>
    <t>LIABILITIES &amp; SHAREHOLDER EQUITY</t>
  </si>
  <si>
    <t>Accounts Payable</t>
  </si>
  <si>
    <t>Deferred Revenue</t>
  </si>
  <si>
    <t xml:space="preserve">Total Current Liabilities </t>
  </si>
  <si>
    <t>Debt</t>
  </si>
  <si>
    <t>Total Liabilities</t>
  </si>
  <si>
    <t>Shareholder Equity</t>
  </si>
  <si>
    <t>Share Capital</t>
  </si>
  <si>
    <t>Retained Earnings</t>
  </si>
  <si>
    <t>Total Shareholder Equity</t>
  </si>
  <si>
    <t>Total Liabilities &amp; Shareholder Equity</t>
  </si>
  <si>
    <t>Check:</t>
  </si>
  <si>
    <t>Cash flow statement</t>
  </si>
  <si>
    <t>Cash Flow from Operating Activities</t>
  </si>
  <si>
    <t>Changes in non cash working capital</t>
  </si>
  <si>
    <t>Deferred Commissions</t>
  </si>
  <si>
    <t>Prepaid expenses and other</t>
  </si>
  <si>
    <t>Cash Flow from Investing Activities</t>
  </si>
  <si>
    <t>Cash Flow from Financing Activities</t>
  </si>
  <si>
    <t>Increase (decrease) in Debt</t>
  </si>
  <si>
    <t>Equity Issued (repurchased)</t>
  </si>
  <si>
    <t>Total Cash Flow</t>
  </si>
  <si>
    <t>Opening cash balance</t>
  </si>
  <si>
    <t>Increase (Decrease)</t>
  </si>
  <si>
    <t>Closing cash balance</t>
  </si>
  <si>
    <t>Depreciation and amortization schedule</t>
  </si>
  <si>
    <t>Capital expenditure</t>
  </si>
  <si>
    <t>Closing balance</t>
  </si>
  <si>
    <t>Total</t>
  </si>
  <si>
    <t>Property and Equipment</t>
  </si>
  <si>
    <t>Debt schedule</t>
  </si>
  <si>
    <t>Issuance / (repayment) of debt</t>
  </si>
  <si>
    <t>Interest on debt</t>
  </si>
  <si>
    <t>Metrics</t>
  </si>
  <si>
    <t>Lifetime value (LTV)</t>
  </si>
  <si>
    <t>Customer acquisition cost (CAC)</t>
  </si>
  <si>
    <t>LTV : CAC ratio</t>
  </si>
  <si>
    <t>Months to recover customer acquisition costs</t>
  </si>
  <si>
    <t>EBIT</t>
  </si>
  <si>
    <t>Tax effected EBIT</t>
  </si>
  <si>
    <t>Plus: Depreciation and amortization</t>
  </si>
  <si>
    <t>Less: Capital Expenditures</t>
  </si>
  <si>
    <t>Plus: Changes in Deferred Revenue</t>
  </si>
  <si>
    <t>Less: Changes in Deferred Commissions</t>
  </si>
  <si>
    <t>Less: Changes in Non Deferred Working Capital</t>
  </si>
  <si>
    <t>Unlevered free cash flow</t>
  </si>
  <si>
    <t>Terminal value</t>
  </si>
  <si>
    <t>Present value of uFCF</t>
  </si>
  <si>
    <t>Present value of Terminal Value</t>
  </si>
  <si>
    <t>Enterprise value</t>
  </si>
  <si>
    <t>Plus: Cash</t>
  </si>
  <si>
    <t>Less: Debt</t>
  </si>
  <si>
    <t>Equity value</t>
  </si>
  <si>
    <t>2018E Enterprise value / uFCF</t>
  </si>
  <si>
    <t>2019E Enterprise value / uFCF</t>
  </si>
  <si>
    <t>Sensitivity analysis (Implied Enterprise Value)</t>
  </si>
  <si>
    <t>Illustrative WACC</t>
  </si>
  <si>
    <t>Illustrative Terminal uFCF multiple</t>
  </si>
  <si>
    <t>© 2015 to 2024 CFI Education Inc.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</si>
  <si>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</si>
  <si>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</si>
  <si>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</si>
  <si>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</si>
  <si>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</si>
  <si>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 xml:space="preserve"> </t>
  </si>
  <si>
    <t>SaaS Financial Model</t>
  </si>
  <si>
    <t>Financial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</si>
</sst>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\ &quot;months&quot;"/>
    <numFmt numFmtId="165" formatCode="_(* #,##0_);_(* \(#,##0\);_(* &quot;-&quot;??_);_(@_)"/>
    <numFmt numFmtId="166" formatCode="0.0%"/>
    <numFmt numFmtId="167" formatCode="0.0&quot;x&quot;"/>
    <numFmt numFmtId="168" formatCode=";;;"/>
    <numFmt numFmtId="169" formatCode="_(#,##0_)_%;\(#,##0\)_%;_(&quot;–&quot;_)_%;_(@_)_%"/>
    <numFmt numFmtId="170" formatCode="&quot;Yes&quot;;&quot;ERROR&quot;;&quot;No&quot;;&quot;ERROR&quot;"/>
    <numFmt numFmtId="171" formatCode="0000\F_)"/>
    <numFmt numFmtId="172" formatCode="_(#,##0_);\(#,##0\);_(&quot;–&quot;_);_(@_)"/>
  </numFmts>
  <fonts count="42" x14ac:knownFonts="1">
    <font>
      <sz val="11"/>
      <color theme="1"/>
      <name val="Calibri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sz val="10"/>
      <color theme="0"/>
      <name val="Arial Narrow"/>
      <family val="2"/>
    </font>
    <font>
      <b/>
      <sz val="14"/>
      <color theme="0"/>
      <name val="Arial Narrow"/>
      <family val="2"/>
    </font>
    <font>
      <i/>
      <sz val="8"/>
      <color theme="1"/>
      <name val="Arial"/>
      <family val="2"/>
    </font>
    <font>
      <i/>
      <sz val="8"/>
      <color rgb="FF0000FF"/>
      <name val="Arial"/>
      <family val="2"/>
    </font>
    <font>
      <sz val="8"/>
      <color theme="1"/>
      <name val="Arial Narrow"/>
      <family val="2"/>
    </font>
    <font>
      <sz val="10"/>
      <color theme="0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Open Sans"/>
      <family val="2"/>
    </font>
    <font>
      <u/>
      <sz val="10"/>
      <color theme="10"/>
      <name val="Arial"/>
      <family val="2"/>
    </font>
    <font>
      <sz val="12"/>
      <color rgb="FF000000"/>
      <name val="Open Sans"/>
      <family val="2"/>
    </font>
    <font>
      <sz val="12"/>
      <color theme="1"/>
      <name val="Open Sans"/>
      <family val="2"/>
    </font>
    <font>
      <sz val="12"/>
      <color rgb="FF002060"/>
      <name val="Open Sans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sz val="11"/>
      <color theme="1"/>
      <name val="Calibri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b/>
      <sz val="12"/>
      <color rgb="FF3271D2"/>
      <name val="Open Sans"/>
      <family val="2"/>
    </font>
    <font>
      <sz val="8"/>
      <color theme="1"/>
      <name val="Open Sans"/>
      <family val="2"/>
    </font>
    <font>
      <b/>
      <sz val="8"/>
      <color theme="1"/>
      <name val="Open Sans"/>
      <family val="2"/>
    </font>
    <font>
      <i/>
      <sz val="10"/>
      <color theme="1"/>
      <name val="Open Sans"/>
      <family val="2"/>
    </font>
    <font>
      <i/>
      <sz val="10"/>
      <color rgb="FF0000FF"/>
      <name val="Open Sans"/>
      <family val="2"/>
    </font>
    <font>
      <sz val="10"/>
      <color rgb="FF0000FF"/>
      <name val="Open Sans"/>
      <family val="2"/>
    </font>
    <font>
      <b/>
      <i/>
      <sz val="10"/>
      <color theme="1"/>
      <name val="Open Sans"/>
      <family val="2"/>
    </font>
    <font>
      <b/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color rgb="FF3271D2"/>
      <name val="Open Sans"/>
      <family val="2"/>
    </font>
    <font>
      <sz val="10"/>
      <color rgb="FF3271D2"/>
      <name val="Open Sans"/>
      <family val="2"/>
    </font>
    <font>
      <sz val="10"/>
      <color rgb="FF000000"/>
      <name val="Open Sans"/>
      <family val="2"/>
    </font>
    <font>
      <sz val="10"/>
      <color rgb="FF00745A"/>
      <name val="Open Sans"/>
      <family val="2"/>
    </font>
    <font>
      <b/>
      <sz val="10"/>
      <color rgb="FF00745A"/>
      <name val="Open Sans"/>
      <family val="2"/>
    </font>
    <font>
      <i/>
      <sz val="10"/>
      <color rgb="FF00745A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 style="thin">
        <color rgb="FF3271D2"/>
      </top>
      <bottom style="medium">
        <color rgb="FF3271D2"/>
      </bottom>
      <diagonal/>
    </border>
  </borders>
  <cellStyleXfs count="4">
    <xf numFmtId="0" fontId="0" fillId="0" borderId="0"/>
    <xf numFmtId="0" fontId="11" fillId="0" borderId="1"/>
    <xf numFmtId="0" fontId="16" fillId="0" borderId="1" applyNumberFormat="0" applyFill="0" applyBorder="0" applyAlignment="0" applyProtection="0"/>
    <xf numFmtId="0" fontId="18" fillId="0" borderId="1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7" fillId="0" borderId="0" xfId="0" applyFont="1"/>
    <xf numFmtId="9" fontId="8" fillId="0" borderId="0" xfId="0" applyNumberFormat="1" applyFont="1" applyAlignment="1">
      <alignment horizontal="center"/>
    </xf>
    <xf numFmtId="37" fontId="9" fillId="0" borderId="0" xfId="0" applyNumberFormat="1" applyFont="1"/>
    <xf numFmtId="0" fontId="12" fillId="2" borderId="1" xfId="1" applyFont="1" applyFill="1"/>
    <xf numFmtId="0" fontId="12" fillId="0" borderId="1" xfId="1" applyFont="1"/>
    <xf numFmtId="0" fontId="12" fillId="3" borderId="8" xfId="1" applyFont="1" applyFill="1" applyBorder="1"/>
    <xf numFmtId="0" fontId="12" fillId="3" borderId="9" xfId="1" applyFont="1" applyFill="1" applyBorder="1"/>
    <xf numFmtId="0" fontId="12" fillId="3" borderId="10" xfId="1" applyFont="1" applyFill="1" applyBorder="1"/>
    <xf numFmtId="0" fontId="12" fillId="3" borderId="11" xfId="1" applyFont="1" applyFill="1" applyBorder="1"/>
    <xf numFmtId="0" fontId="12" fillId="3" borderId="1" xfId="1" applyFont="1" applyFill="1"/>
    <xf numFmtId="0" fontId="12" fillId="3" borderId="12" xfId="1" applyFont="1" applyFill="1" applyBorder="1"/>
    <xf numFmtId="0" fontId="12" fillId="0" borderId="11" xfId="1" applyFont="1" applyBorder="1"/>
    <xf numFmtId="0" fontId="12" fillId="0" borderId="12" xfId="1" applyFont="1" applyBorder="1"/>
    <xf numFmtId="0" fontId="13" fillId="0" borderId="1" xfId="1" applyFont="1" applyProtection="1">
      <protection locked="0"/>
    </xf>
    <xf numFmtId="0" fontId="14" fillId="0" borderId="1" xfId="1" applyFont="1" applyAlignment="1">
      <alignment horizontal="right"/>
    </xf>
    <xf numFmtId="0" fontId="12" fillId="0" borderId="1" xfId="1" applyFont="1" applyProtection="1">
      <protection locked="0"/>
    </xf>
    <xf numFmtId="0" fontId="15" fillId="0" borderId="1" xfId="1" applyFont="1"/>
    <xf numFmtId="0" fontId="14" fillId="0" borderId="13" xfId="1" applyFont="1" applyBorder="1" applyProtection="1">
      <protection locked="0"/>
    </xf>
    <xf numFmtId="0" fontId="2" fillId="0" borderId="1" xfId="1" applyFont="1"/>
    <xf numFmtId="169" fontId="17" fillId="0" borderId="1" xfId="2" applyNumberFormat="1" applyFont="1" applyFill="1" applyBorder="1" applyProtection="1">
      <protection locked="0"/>
    </xf>
    <xf numFmtId="169" fontId="19" fillId="0" borderId="1" xfId="3" applyNumberFormat="1" applyFont="1" applyFill="1" applyBorder="1" applyAlignment="1" applyProtection="1">
      <alignment horizontal="left"/>
      <protection locked="0"/>
    </xf>
    <xf numFmtId="170" fontId="19" fillId="0" borderId="1" xfId="3" applyNumberFormat="1" applyFont="1" applyFill="1" applyBorder="1" applyAlignment="1" applyProtection="1">
      <alignment horizontal="center"/>
      <protection locked="0"/>
    </xf>
    <xf numFmtId="0" fontId="20" fillId="0" borderId="1" xfId="1" applyFont="1"/>
    <xf numFmtId="0" fontId="21" fillId="0" borderId="1" xfId="3" applyFont="1" applyFill="1" applyBorder="1" applyProtection="1">
      <protection locked="0"/>
    </xf>
    <xf numFmtId="169" fontId="20" fillId="0" borderId="1" xfId="1" applyNumberFormat="1" applyFont="1"/>
    <xf numFmtId="169" fontId="17" fillId="0" borderId="1" xfId="3" applyNumberFormat="1" applyFont="1" applyFill="1" applyBorder="1"/>
    <xf numFmtId="0" fontId="20" fillId="0" borderId="1" xfId="3" applyFont="1" applyFill="1" applyBorder="1"/>
    <xf numFmtId="0" fontId="22" fillId="4" borderId="1" xfId="1" applyFont="1" applyFill="1"/>
    <xf numFmtId="0" fontId="2" fillId="4" borderId="1" xfId="1" applyFont="1" applyFill="1"/>
    <xf numFmtId="169" fontId="23" fillId="4" borderId="1" xfId="1" applyNumberFormat="1" applyFont="1" applyFill="1"/>
    <xf numFmtId="0" fontId="10" fillId="4" borderId="1" xfId="1" applyFont="1" applyFill="1"/>
    <xf numFmtId="0" fontId="12" fillId="0" borderId="14" xfId="1" applyFont="1" applyBorder="1"/>
    <xf numFmtId="0" fontId="12" fillId="0" borderId="15" xfId="1" applyFont="1" applyBorder="1"/>
    <xf numFmtId="0" fontId="12" fillId="0" borderId="16" xfId="1" applyFont="1" applyBorder="1"/>
    <xf numFmtId="0" fontId="14" fillId="0" borderId="1" xfId="1" applyFont="1" applyAlignment="1" applyProtection="1">
      <alignment horizontal="left"/>
      <protection locked="0"/>
    </xf>
    <xf numFmtId="0" fontId="2" fillId="0" borderId="1" xfId="1" applyFont="1" applyAlignment="1">
      <alignment horizontal="centerContinuous"/>
    </xf>
    <xf numFmtId="0" fontId="12" fillId="0" borderId="1" xfId="1" applyFont="1" applyAlignment="1">
      <alignment horizontal="centerContinuous"/>
    </xf>
    <xf numFmtId="0" fontId="14" fillId="0" borderId="1" xfId="1" applyFont="1" applyAlignment="1" applyProtection="1">
      <alignment horizontal="centerContinuous"/>
      <protection locked="0"/>
    </xf>
    <xf numFmtId="0" fontId="0" fillId="0" borderId="1" xfId="0" applyBorder="1"/>
    <xf numFmtId="37" fontId="6" fillId="0" borderId="1" xfId="0" applyNumberFormat="1" applyFont="1" applyBorder="1" applyAlignment="1">
      <alignment horizontal="left" vertical="top"/>
    </xf>
    <xf numFmtId="37" fontId="4" fillId="0" borderId="1" xfId="0" applyNumberFormat="1" applyFont="1" applyBorder="1" applyAlignment="1">
      <alignment vertical="top"/>
    </xf>
    <xf numFmtId="0" fontId="12" fillId="0" borderId="0" xfId="0" applyFont="1"/>
    <xf numFmtId="37" fontId="27" fillId="5" borderId="1" xfId="0" applyNumberFormat="1" applyFont="1" applyFill="1" applyBorder="1" applyAlignment="1">
      <alignment vertical="center"/>
    </xf>
    <xf numFmtId="37" fontId="22" fillId="5" borderId="1" xfId="0" applyNumberFormat="1" applyFont="1" applyFill="1" applyBorder="1" applyAlignment="1">
      <alignment vertical="center"/>
    </xf>
    <xf numFmtId="37" fontId="28" fillId="0" borderId="0" xfId="0" applyNumberFormat="1" applyFont="1" applyAlignment="1">
      <alignment vertical="center"/>
    </xf>
    <xf numFmtId="37" fontId="28" fillId="0" borderId="0" xfId="0" applyNumberFormat="1" applyFont="1"/>
    <xf numFmtId="0" fontId="28" fillId="0" borderId="0" xfId="0" applyFont="1"/>
    <xf numFmtId="0" fontId="29" fillId="0" borderId="0" xfId="0" applyFont="1"/>
    <xf numFmtId="37" fontId="29" fillId="0" borderId="0" xfId="0" applyNumberFormat="1" applyFont="1"/>
    <xf numFmtId="0" fontId="1" fillId="0" borderId="0" xfId="0" applyFont="1"/>
    <xf numFmtId="0" fontId="30" fillId="0" borderId="0" xfId="0" applyFont="1"/>
    <xf numFmtId="37" fontId="1" fillId="0" borderId="0" xfId="0" applyNumberFormat="1" applyFont="1"/>
    <xf numFmtId="3" fontId="32" fillId="0" borderId="0" xfId="0" applyNumberFormat="1" applyFont="1" applyAlignment="1">
      <alignment horizontal="center" wrapText="1"/>
    </xf>
    <xf numFmtId="9" fontId="31" fillId="0" borderId="0" xfId="0" applyNumberFormat="1" applyFont="1" applyAlignment="1">
      <alignment horizontal="center"/>
    </xf>
    <xf numFmtId="0" fontId="26" fillId="0" borderId="0" xfId="0" applyFont="1"/>
    <xf numFmtId="165" fontId="32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0" fontId="26" fillId="0" borderId="2" xfId="0" applyFont="1" applyBorder="1"/>
    <xf numFmtId="0" fontId="1" fillId="0" borderId="2" xfId="0" applyFont="1" applyBorder="1"/>
    <xf numFmtId="37" fontId="26" fillId="0" borderId="2" xfId="0" applyNumberFormat="1" applyFont="1" applyBorder="1"/>
    <xf numFmtId="0" fontId="1" fillId="0" borderId="0" xfId="0" applyFont="1" applyAlignment="1">
      <alignment horizontal="left"/>
    </xf>
    <xf numFmtId="9" fontId="30" fillId="0" borderId="0" xfId="0" applyNumberFormat="1" applyFont="1"/>
    <xf numFmtId="0" fontId="33" fillId="0" borderId="0" xfId="0" applyFont="1"/>
    <xf numFmtId="166" fontId="33" fillId="0" borderId="0" xfId="0" applyNumberFormat="1" applyFont="1"/>
    <xf numFmtId="37" fontId="26" fillId="0" borderId="0" xfId="0" applyNumberFormat="1" applyFont="1"/>
    <xf numFmtId="37" fontId="5" fillId="3" borderId="1" xfId="0" applyNumberFormat="1" applyFont="1" applyFill="1" applyBorder="1" applyAlignment="1">
      <alignment vertical="top"/>
    </xf>
    <xf numFmtId="37" fontId="4" fillId="3" borderId="1" xfId="0" applyNumberFormat="1" applyFont="1" applyFill="1" applyBorder="1" applyAlignment="1">
      <alignment vertical="top"/>
    </xf>
    <xf numFmtId="9" fontId="29" fillId="0" borderId="0" xfId="0" applyNumberFormat="1" applyFont="1"/>
    <xf numFmtId="167" fontId="28" fillId="0" borderId="0" xfId="0" applyNumberFormat="1" applyFont="1"/>
    <xf numFmtId="9" fontId="33" fillId="0" borderId="0" xfId="0" applyNumberFormat="1" applyFont="1"/>
    <xf numFmtId="0" fontId="30" fillId="0" borderId="0" xfId="0" applyFont="1" applyAlignment="1">
      <alignment horizontal="left"/>
    </xf>
    <xf numFmtId="4" fontId="31" fillId="0" borderId="0" xfId="0" applyNumberFormat="1" applyFont="1"/>
    <xf numFmtId="9" fontId="1" fillId="0" borderId="0" xfId="0" applyNumberFormat="1" applyFont="1"/>
    <xf numFmtId="165" fontId="26" fillId="0" borderId="0" xfId="0" applyNumberFormat="1" applyFont="1"/>
    <xf numFmtId="37" fontId="25" fillId="0" borderId="0" xfId="0" applyNumberFormat="1" applyFont="1" applyAlignment="1">
      <alignment vertical="center"/>
    </xf>
    <xf numFmtId="37" fontId="1" fillId="0" borderId="0" xfId="0" applyNumberFormat="1" applyFont="1" applyAlignment="1">
      <alignment vertical="center"/>
    </xf>
    <xf numFmtId="37" fontId="1" fillId="0" borderId="0" xfId="0" applyNumberFormat="1" applyFont="1" applyAlignment="1">
      <alignment horizontal="left"/>
    </xf>
    <xf numFmtId="165" fontId="26" fillId="0" borderId="2" xfId="0" applyNumberFormat="1" applyFont="1" applyBorder="1" applyAlignment="1">
      <alignment horizontal="right" wrapText="1"/>
    </xf>
    <xf numFmtId="167" fontId="1" fillId="0" borderId="0" xfId="0" applyNumberFormat="1" applyFont="1"/>
    <xf numFmtId="39" fontId="1" fillId="0" borderId="0" xfId="0" applyNumberFormat="1" applyFont="1"/>
    <xf numFmtId="165" fontId="26" fillId="0" borderId="0" xfId="0" applyNumberFormat="1" applyFont="1" applyAlignment="1">
      <alignment horizontal="right" wrapText="1"/>
    </xf>
    <xf numFmtId="165" fontId="1" fillId="0" borderId="0" xfId="0" applyNumberFormat="1" applyFont="1"/>
    <xf numFmtId="167" fontId="26" fillId="0" borderId="0" xfId="0" applyNumberFormat="1" applyFont="1"/>
    <xf numFmtId="168" fontId="1" fillId="0" borderId="0" xfId="0" applyNumberFormat="1" applyFont="1"/>
    <xf numFmtId="9" fontId="26" fillId="0" borderId="2" xfId="0" applyNumberFormat="1" applyFont="1" applyBorder="1"/>
    <xf numFmtId="37" fontId="27" fillId="0" borderId="1" xfId="0" applyNumberFormat="1" applyFont="1" applyBorder="1" applyAlignment="1">
      <alignment vertical="center"/>
    </xf>
    <xf numFmtId="37" fontId="22" fillId="0" borderId="1" xfId="0" applyNumberFormat="1" applyFont="1" applyBorder="1" applyAlignment="1">
      <alignment vertical="center"/>
    </xf>
    <xf numFmtId="171" fontId="35" fillId="0" borderId="17" xfId="0" applyNumberFormat="1" applyFont="1" applyBorder="1"/>
    <xf numFmtId="171" fontId="26" fillId="6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37" fontId="26" fillId="6" borderId="1" xfId="0" applyNumberFormat="1" applyFont="1" applyFill="1" applyBorder="1"/>
    <xf numFmtId="37" fontId="1" fillId="6" borderId="1" xfId="0" applyNumberFormat="1" applyFont="1" applyFill="1" applyBorder="1"/>
    <xf numFmtId="37" fontId="26" fillId="0" borderId="1" xfId="0" applyNumberFormat="1" applyFont="1" applyBorder="1"/>
    <xf numFmtId="0" fontId="1" fillId="0" borderId="1" xfId="0" applyFont="1" applyBorder="1"/>
    <xf numFmtId="171" fontId="26" fillId="0" borderId="17" xfId="0" applyNumberFormat="1" applyFont="1" applyBorder="1"/>
    <xf numFmtId="37" fontId="25" fillId="0" borderId="1" xfId="0" applyNumberFormat="1" applyFont="1" applyBorder="1" applyAlignment="1">
      <alignment vertical="center"/>
    </xf>
    <xf numFmtId="171" fontId="35" fillId="0" borderId="17" xfId="0" applyNumberFormat="1" applyFont="1" applyBorder="1" applyAlignment="1">
      <alignment vertical="center"/>
    </xf>
    <xf numFmtId="9" fontId="36" fillId="0" borderId="3" xfId="0" applyNumberFormat="1" applyFont="1" applyBorder="1" applyAlignment="1">
      <alignment horizontal="center"/>
    </xf>
    <xf numFmtId="164" fontId="37" fillId="0" borderId="3" xfId="0" applyNumberFormat="1" applyFont="1" applyBorder="1" applyAlignment="1">
      <alignment horizontal="center"/>
    </xf>
    <xf numFmtId="3" fontId="37" fillId="0" borderId="3" xfId="0" applyNumberFormat="1" applyFont="1" applyBorder="1" applyAlignment="1">
      <alignment horizontal="center" wrapText="1"/>
    </xf>
    <xf numFmtId="171" fontId="34" fillId="6" borderId="1" xfId="0" applyNumberFormat="1" applyFont="1" applyFill="1" applyBorder="1" applyAlignment="1">
      <alignment horizontal="left"/>
    </xf>
    <xf numFmtId="17" fontId="34" fillId="6" borderId="1" xfId="0" applyNumberFormat="1" applyFont="1" applyFill="1" applyBorder="1"/>
    <xf numFmtId="165" fontId="37" fillId="0" borderId="0" xfId="0" applyNumberFormat="1" applyFont="1" applyAlignment="1">
      <alignment horizontal="right" wrapText="1"/>
    </xf>
    <xf numFmtId="166" fontId="36" fillId="0" borderId="0" xfId="0" applyNumberFormat="1" applyFont="1"/>
    <xf numFmtId="17" fontId="35" fillId="6" borderId="1" xfId="0" applyNumberFormat="1" applyFont="1" applyFill="1" applyBorder="1"/>
    <xf numFmtId="37" fontId="37" fillId="0" borderId="0" xfId="0" applyNumberFormat="1" applyFont="1"/>
    <xf numFmtId="0" fontId="37" fillId="0" borderId="4" xfId="0" applyFont="1" applyBorder="1" applyAlignment="1">
      <alignment horizontal="center" wrapText="1"/>
    </xf>
    <xf numFmtId="9" fontId="36" fillId="0" borderId="0" xfId="0" applyNumberFormat="1" applyFont="1" applyAlignment="1">
      <alignment horizontal="right" wrapText="1"/>
    </xf>
    <xf numFmtId="9" fontId="37" fillId="0" borderId="0" xfId="0" applyNumberFormat="1" applyFont="1" applyAlignment="1">
      <alignment horizontal="right" wrapText="1"/>
    </xf>
    <xf numFmtId="9" fontId="36" fillId="0" borderId="5" xfId="0" applyNumberFormat="1" applyFont="1" applyBorder="1" applyAlignment="1">
      <alignment horizontal="right" wrapText="1"/>
    </xf>
    <xf numFmtId="167" fontId="37" fillId="0" borderId="3" xfId="0" applyNumberFormat="1" applyFont="1" applyBorder="1" applyAlignment="1">
      <alignment horizontal="right" wrapText="1"/>
    </xf>
    <xf numFmtId="9" fontId="34" fillId="0" borderId="2" xfId="0" applyNumberFormat="1" applyFont="1" applyBorder="1"/>
    <xf numFmtId="167" fontId="34" fillId="0" borderId="0" xfId="0" applyNumberFormat="1" applyFont="1"/>
    <xf numFmtId="39" fontId="37" fillId="0" borderId="0" xfId="0" applyNumberFormat="1" applyFont="1"/>
    <xf numFmtId="172" fontId="34" fillId="0" borderId="0" xfId="0" applyNumberFormat="1" applyFont="1" applyAlignment="1">
      <alignment vertical="center"/>
    </xf>
    <xf numFmtId="165" fontId="38" fillId="0" borderId="0" xfId="0" applyNumberFormat="1" applyFont="1" applyAlignment="1">
      <alignment horizontal="right" wrapText="1"/>
    </xf>
    <xf numFmtId="165" fontId="38" fillId="0" borderId="6" xfId="0" applyNumberFormat="1" applyFont="1" applyBorder="1"/>
    <xf numFmtId="165" fontId="38" fillId="0" borderId="2" xfId="0" applyNumberFormat="1" applyFont="1" applyBorder="1"/>
    <xf numFmtId="165" fontId="38" fillId="0" borderId="7" xfId="0" applyNumberFormat="1" applyFont="1" applyBorder="1"/>
    <xf numFmtId="165" fontId="38" fillId="0" borderId="0" xfId="0" applyNumberFormat="1" applyFont="1"/>
    <xf numFmtId="9" fontId="39" fillId="0" borderId="0" xfId="0" applyNumberFormat="1" applyFont="1"/>
    <xf numFmtId="37" fontId="38" fillId="0" borderId="0" xfId="0" applyNumberFormat="1" applyFont="1"/>
    <xf numFmtId="37" fontId="39" fillId="0" borderId="0" xfId="0" applyNumberFormat="1" applyFont="1"/>
    <xf numFmtId="165" fontId="40" fillId="0" borderId="0" xfId="0" applyNumberFormat="1" applyFont="1" applyAlignment="1">
      <alignment horizontal="right" wrapText="1"/>
    </xf>
    <xf numFmtId="37" fontId="40" fillId="0" borderId="0" xfId="0" applyNumberFormat="1" applyFont="1"/>
    <xf numFmtId="9" fontId="41" fillId="0" borderId="0" xfId="0" applyNumberFormat="1" applyFont="1"/>
    <xf numFmtId="0" fontId="38" fillId="0" borderId="0" xfId="0" applyFont="1" applyAlignment="1">
      <alignment horizontal="left"/>
    </xf>
    <xf numFmtId="37" fontId="26" fillId="0" borderId="0" xfId="0" applyNumberFormat="1" applyFont="1" applyAlignment="1">
      <alignment horizontal="center"/>
    </xf>
    <xf numFmtId="0" fontId="1" fillId="0" borderId="0" xfId="0" applyFont="1"/>
    <xf numFmtId="0" fontId="26" fillId="0" borderId="0" xfId="0" applyFont="1" applyAlignment="1">
      <alignment vertical="center" textRotation="90" wrapText="1"/>
    </xf>
  </cellXfs>
  <cellStyles count="4">
    <cellStyle name="Hyperlink 2" xfId="2" xr:uid="{24ABC9A6-67EC-4DE2-8ACD-8FECA4D5D22A}"/>
    <cellStyle name="Hyperlink 2 2" xfId="3" xr:uid="{5B1BDC41-2977-477D-BC3F-5EAD6C9685CC}"/>
    <cellStyle name="Normal" xfId="0" builtinId="0"/>
    <cellStyle name="Normal 2 2 2" xfId="1" xr:uid="{446D3DB7-C589-44CF-A13C-922EC71E9EFC}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15240</xdr:rowOff>
    </xdr:from>
    <xdr:to>
      <xdr:col>5</xdr:col>
      <xdr:colOff>47719</xdr:colOff>
      <xdr:row>7</xdr:row>
      <xdr:rowOff>20382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D91B9-01CC-4FD7-8411-B99F8102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" y="510540"/>
          <a:ext cx="4448269" cy="1243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0</xdr:row>
      <xdr:rowOff>60960</xdr:rowOff>
    </xdr:from>
    <xdr:to>
      <xdr:col>1</xdr:col>
      <xdr:colOff>1880692</xdr:colOff>
      <xdr:row>0</xdr:row>
      <xdr:rowOff>594046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87BAA-3FF3-4393-A693-85661186A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60960"/>
          <a:ext cx="1854022" cy="5330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30480</xdr:rowOff>
    </xdr:from>
    <xdr:to>
      <xdr:col>1</xdr:col>
      <xdr:colOff>1869262</xdr:colOff>
      <xdr:row>0</xdr:row>
      <xdr:rowOff>563566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580DF-A225-48E4-95D4-A3506476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" y="30480"/>
          <a:ext cx="1854022" cy="533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8C61-3A65-4742-86F8-CA2D8F5D14F7}">
  <sheetPr>
    <pageSetUpPr fitToPage="1"/>
  </sheetPr>
  <dimension ref="A1:N40"/>
  <sheetViews>
    <sheetView showGridLines="0" tabSelected="1" zoomScaleNormal="100" zoomScaleSheetLayoutView="85" workbookViewId="0">
      <selection activeCell="A2" sqref="A2"/>
    </sheetView>
  </sheetViews>
  <sheetFormatPr defaultColWidth="9.15625" defaultRowHeight="19.5" customHeight="1" x14ac:dyDescent="0.75"/>
  <cols>
    <col min="1" max="1" width="4.68359375" style="6" customWidth="1"/>
    <col min="2" max="2" width="4.83984375" style="6" customWidth="1"/>
    <col min="3" max="3" width="36.68359375" style="6" customWidth="1"/>
    <col min="4" max="11" width="10.68359375" style="6" customWidth="1"/>
    <col min="12" max="12" width="26.68359375" style="6" customWidth="1"/>
    <col min="13" max="13" width="10.68359375" style="6" customWidth="1"/>
    <col min="14" max="14" width="4.83984375" style="6" customWidth="1"/>
    <col min="15" max="15" width="9.15625" style="6" customWidth="1"/>
    <col min="16" max="16384" width="9.15625" style="6"/>
  </cols>
  <sheetData>
    <row r="1" spans="1:14" ht="19.5" customHeight="1" thickBot="1" x14ac:dyDescent="0.8">
      <c r="A1" s="5"/>
    </row>
    <row r="2" spans="1:14" ht="19.5" customHeight="1" thickTop="1" x14ac:dyDescent="0.7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 ht="19.5" customHeight="1" x14ac:dyDescent="0.75"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9.5" customHeight="1" x14ac:dyDescent="0.75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4" ht="19.5" customHeight="1" x14ac:dyDescent="0.75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4" ht="19.5" customHeight="1" x14ac:dyDescent="0.75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 spans="1:14" ht="19.5" customHeight="1" x14ac:dyDescent="0.7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14" ht="19.5" customHeight="1" x14ac:dyDescent="0.7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ht="19.5" customHeight="1" x14ac:dyDescent="0.7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</row>
    <row r="10" spans="1:14" ht="19.5" customHeight="1" x14ac:dyDescent="0.75">
      <c r="B10" s="13"/>
      <c r="N10" s="14"/>
    </row>
    <row r="11" spans="1:14" ht="28.5" customHeight="1" x14ac:dyDescent="1.3">
      <c r="B11" s="13"/>
      <c r="C11" s="15" t="s">
        <v>179</v>
      </c>
      <c r="M11" s="16" t="s">
        <v>0</v>
      </c>
      <c r="N11" s="14"/>
    </row>
    <row r="12" spans="1:14" ht="19.5" customHeight="1" x14ac:dyDescent="0.75">
      <c r="B12" s="13"/>
      <c r="C12" s="17"/>
      <c r="K12" s="18"/>
      <c r="N12" s="14"/>
    </row>
    <row r="13" spans="1:14" ht="19.5" customHeight="1" x14ac:dyDescent="0.9">
      <c r="B13" s="13"/>
      <c r="C13" s="19" t="s">
        <v>1</v>
      </c>
      <c r="D13" s="20"/>
      <c r="E13" s="20"/>
      <c r="F13" s="20"/>
      <c r="G13" s="20"/>
      <c r="H13" s="36"/>
      <c r="I13" s="37"/>
      <c r="J13" s="37"/>
      <c r="K13" s="37"/>
      <c r="L13" s="38"/>
      <c r="M13" s="39"/>
      <c r="N13" s="14"/>
    </row>
    <row r="14" spans="1:14" ht="19.5" customHeight="1" x14ac:dyDescent="0.75">
      <c r="B14" s="13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4"/>
    </row>
    <row r="15" spans="1:14" ht="19.5" customHeight="1" x14ac:dyDescent="0.8">
      <c r="B15" s="13"/>
      <c r="C15" s="21" t="s">
        <v>3</v>
      </c>
      <c r="D15" s="20"/>
      <c r="E15" s="20"/>
      <c r="F15" s="20"/>
      <c r="G15" s="20"/>
      <c r="H15" s="22"/>
      <c r="M15" s="23"/>
      <c r="N15" s="14"/>
    </row>
    <row r="16" spans="1:14" ht="19.5" customHeight="1" x14ac:dyDescent="0.8">
      <c r="B16" s="13"/>
      <c r="C16" s="21" t="s">
        <v>180</v>
      </c>
      <c r="D16" s="20"/>
      <c r="E16" s="20"/>
      <c r="F16" s="20"/>
      <c r="G16" s="20"/>
      <c r="H16" s="22"/>
      <c r="M16" s="23"/>
      <c r="N16" s="14"/>
    </row>
    <row r="17" spans="2:14" ht="19.5" customHeight="1" x14ac:dyDescent="0.8">
      <c r="B17" s="13"/>
      <c r="C17" s="40"/>
      <c r="D17" s="20"/>
      <c r="E17" s="20"/>
      <c r="F17" s="20"/>
      <c r="G17" s="20"/>
      <c r="H17" s="22"/>
      <c r="M17" s="23"/>
      <c r="N17" s="14"/>
    </row>
    <row r="18" spans="2:14" ht="19.5" customHeight="1" x14ac:dyDescent="0.8">
      <c r="B18" s="13"/>
      <c r="C18" s="24"/>
      <c r="D18" s="20"/>
      <c r="E18" s="20"/>
      <c r="F18" s="20"/>
      <c r="G18" s="20"/>
      <c r="H18" s="22"/>
      <c r="L18" s="22"/>
      <c r="M18" s="23"/>
      <c r="N18" s="14"/>
    </row>
    <row r="19" spans="2:14" ht="19.5" customHeight="1" x14ac:dyDescent="0.8">
      <c r="B19" s="13"/>
      <c r="C19" s="24"/>
      <c r="D19" s="20"/>
      <c r="E19" s="20"/>
      <c r="F19" s="20"/>
      <c r="G19" s="20"/>
      <c r="H19" s="22"/>
      <c r="L19" s="22"/>
      <c r="M19" s="23"/>
      <c r="N19" s="14"/>
    </row>
    <row r="20" spans="2:14" ht="19.5" customHeight="1" x14ac:dyDescent="0.8">
      <c r="B20" s="13"/>
      <c r="C20" s="25"/>
      <c r="D20" s="20"/>
      <c r="E20" s="20"/>
      <c r="F20" s="20"/>
      <c r="G20" s="20"/>
      <c r="H20" s="22"/>
      <c r="L20" s="22"/>
      <c r="M20" s="23"/>
      <c r="N20" s="14"/>
    </row>
    <row r="21" spans="2:14" ht="19.5" customHeight="1" x14ac:dyDescent="0.8">
      <c r="B21" s="13"/>
      <c r="C21" s="25"/>
      <c r="D21" s="20"/>
      <c r="E21" s="20"/>
      <c r="F21" s="20"/>
      <c r="G21" s="20"/>
      <c r="H21" s="22"/>
      <c r="L21" s="22"/>
      <c r="M21" s="23"/>
      <c r="N21" s="14"/>
    </row>
    <row r="22" spans="2:14" ht="19.5" customHeight="1" x14ac:dyDescent="0.8">
      <c r="B22" s="13"/>
      <c r="C22" s="25"/>
      <c r="D22" s="20"/>
      <c r="E22" s="20"/>
      <c r="F22" s="20"/>
      <c r="G22" s="20"/>
      <c r="H22" s="22"/>
      <c r="L22" s="22"/>
      <c r="M22" s="23"/>
      <c r="N22" s="14"/>
    </row>
    <row r="23" spans="2:14" ht="19.5" customHeight="1" x14ac:dyDescent="0.8">
      <c r="B23" s="13"/>
      <c r="C23" s="25"/>
      <c r="D23" s="20"/>
      <c r="E23" s="20"/>
      <c r="F23" s="20"/>
      <c r="G23" s="20"/>
      <c r="N23" s="14"/>
    </row>
    <row r="24" spans="2:14" ht="19.5" customHeight="1" x14ac:dyDescent="0.8">
      <c r="B24" s="13"/>
      <c r="C24" s="25"/>
      <c r="D24" s="20"/>
      <c r="E24" s="20"/>
      <c r="F24" s="20"/>
      <c r="G24" s="20"/>
      <c r="N24" s="14"/>
    </row>
    <row r="25" spans="2:14" ht="19.5" customHeight="1" x14ac:dyDescent="0.8">
      <c r="B25" s="13"/>
      <c r="C25" s="25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4"/>
    </row>
    <row r="26" spans="2:14" ht="19.5" customHeight="1" x14ac:dyDescent="0.8">
      <c r="B26" s="13"/>
      <c r="C26" s="26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4"/>
    </row>
    <row r="27" spans="2:14" ht="19.5" customHeight="1" x14ac:dyDescent="0.8">
      <c r="B27" s="13"/>
      <c r="C27" s="26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/>
    </row>
    <row r="28" spans="2:14" ht="19.5" customHeight="1" x14ac:dyDescent="0.8">
      <c r="B28" s="13"/>
      <c r="C28" s="2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4"/>
    </row>
    <row r="29" spans="2:14" ht="19.5" customHeight="1" x14ac:dyDescent="0.8">
      <c r="B29" s="13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4"/>
    </row>
    <row r="30" spans="2:14" ht="19.5" customHeight="1" x14ac:dyDescent="0.8">
      <c r="B30" s="13"/>
      <c r="C30" s="28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4"/>
    </row>
    <row r="31" spans="2:14" ht="19.5" customHeight="1" x14ac:dyDescent="0.8">
      <c r="B31" s="13"/>
      <c r="C31" s="29" t="s">
        <v>172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4"/>
    </row>
    <row r="32" spans="2:14" ht="19.5" customHeight="1" x14ac:dyDescent="0.75">
      <c r="B32" s="13"/>
      <c r="C32" s="31" t="s">
        <v>173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14"/>
    </row>
    <row r="33" spans="2:14" ht="19.5" customHeight="1" x14ac:dyDescent="0.75">
      <c r="B33" s="13"/>
      <c r="C33" s="31" t="s">
        <v>174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14"/>
    </row>
    <row r="34" spans="2:14" ht="19.5" customHeight="1" x14ac:dyDescent="0.75">
      <c r="B34" s="13"/>
      <c r="C34" s="31" t="s">
        <v>175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14"/>
    </row>
    <row r="35" spans="2:14" ht="19.5" customHeight="1" x14ac:dyDescent="0.75">
      <c r="B35" s="13"/>
      <c r="C35" s="31" t="s">
        <v>176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14"/>
    </row>
    <row r="36" spans="2:14" ht="19.5" customHeight="1" x14ac:dyDescent="0.75">
      <c r="B36" s="13"/>
      <c r="C36" s="31" t="s">
        <v>177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14"/>
    </row>
    <row r="37" spans="2:14" ht="19.5" customHeight="1" x14ac:dyDescent="0.75">
      <c r="B37" s="13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14"/>
    </row>
    <row r="38" spans="2:14" ht="19.5" customHeight="1" x14ac:dyDescent="0.75">
      <c r="B38" s="13"/>
      <c r="C38" s="31" t="s">
        <v>2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14"/>
    </row>
    <row r="39" spans="2:14" ht="19.5" customHeight="1" thickBot="1" x14ac:dyDescent="0.8"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5" t="s">
        <v>178</v>
      </c>
    </row>
    <row r="40" spans="2:14" ht="19.5" customHeight="1" thickTop="1" x14ac:dyDescent="0.75"/>
  </sheetData>
  <hyperlinks>
    <hyperlink ref="C15" location="'Monthly Schedule'!A1" tooltip="Monthly Schedule" display="Monthly Schedule" xr:uid="{48AC3F15-4449-4137-8066-0AF84201795F}"/>
    <hyperlink ref="C38" r:id="rId1" xr:uid="{48346339-084A-4838-9B1B-2EEB01A4E1E9}"/>
    <hyperlink ref="C16" location="'Financial Model'!A1" tooltip="Financial Model" display="Financial Model" xr:uid="{F34B83F5-93B8-429A-A6BE-68692E8CC950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showGridLines="0" workbookViewId="0">
      <pane ySplit="2" topLeftCell="A3" activePane="bottomLeft" state="frozen"/>
      <selection pane="bottomLeft" activeCell="A3" sqref="A3"/>
    </sheetView>
  </sheetViews>
  <sheetFormatPr defaultColWidth="14.41796875" defaultRowHeight="15" customHeight="1" outlineLevelRow="2" x14ac:dyDescent="0.65"/>
  <cols>
    <col min="1" max="1" width="4.578125" style="51" customWidth="1"/>
    <col min="2" max="2" width="51" style="51" customWidth="1"/>
    <col min="3" max="3" width="9.41796875" style="51" bestFit="1" customWidth="1"/>
    <col min="4" max="4" width="9.3125" style="51" bestFit="1" customWidth="1"/>
    <col min="5" max="27" width="8.83984375" style="51" customWidth="1"/>
    <col min="28" max="16384" width="14.41796875" style="51"/>
  </cols>
  <sheetData>
    <row r="1" spans="1:27" customFormat="1" ht="50.1" customHeight="1" x14ac:dyDescent="0.55000000000000004"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customFormat="1" ht="9.75" customHeight="1" x14ac:dyDescent="0.55000000000000004"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customFormat="1" ht="11.25" customHeight="1" x14ac:dyDescent="0.55000000000000004"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43" customFormat="1" ht="15" customHeight="1" x14ac:dyDescent="0.75">
      <c r="A4" s="43" t="s">
        <v>178</v>
      </c>
      <c r="B4" s="44" t="s">
        <v>4</v>
      </c>
      <c r="C4" s="45"/>
      <c r="D4" s="45"/>
      <c r="E4" s="45"/>
      <c r="F4" s="45"/>
      <c r="G4" s="45" t="s">
        <v>5</v>
      </c>
      <c r="H4" s="45"/>
      <c r="I4" s="45"/>
      <c r="J4" s="45"/>
      <c r="K4" s="45"/>
      <c r="L4" s="45"/>
      <c r="M4" s="45"/>
      <c r="N4" s="45"/>
      <c r="O4" s="45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43" customFormat="1" ht="15" customHeight="1" x14ac:dyDescent="0.75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1.25" customHeight="1" outlineLevel="1" x14ac:dyDescent="0.65">
      <c r="B6" s="52" t="s">
        <v>6</v>
      </c>
      <c r="C6" s="99">
        <v>0.03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ht="11.25" customHeight="1" outlineLevel="1" x14ac:dyDescent="0.65">
      <c r="B7" s="51" t="s">
        <v>7</v>
      </c>
      <c r="C7" s="100">
        <v>12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ht="11.25" customHeight="1" outlineLevel="1" x14ac:dyDescent="0.65">
      <c r="B8" s="52" t="s">
        <v>8</v>
      </c>
      <c r="C8" s="99">
        <v>0.95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ht="11.25" customHeight="1" outlineLevel="1" x14ac:dyDescent="0.65">
      <c r="B9" s="52" t="s">
        <v>9</v>
      </c>
      <c r="C9" s="101">
        <v>100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ht="11.25" customHeight="1" outlineLevel="1" x14ac:dyDescent="0.65">
      <c r="B10" s="52"/>
      <c r="C10" s="54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ht="11.25" customHeight="1" outlineLevel="1" x14ac:dyDescent="0.65">
      <c r="B11" s="52" t="s">
        <v>6</v>
      </c>
      <c r="C11" s="99">
        <v>0.03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ht="11.25" customHeight="1" outlineLevel="1" x14ac:dyDescent="0.65">
      <c r="B12" s="51" t="s">
        <v>7</v>
      </c>
      <c r="C12" s="100">
        <v>12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ht="11.25" customHeight="1" outlineLevel="1" x14ac:dyDescent="0.65">
      <c r="B13" s="52" t="s">
        <v>8</v>
      </c>
      <c r="C13" s="99">
        <v>0.95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ht="11.25" customHeight="1" outlineLevel="1" x14ac:dyDescent="0.65">
      <c r="B14" s="52" t="s">
        <v>9</v>
      </c>
      <c r="C14" s="101">
        <v>100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11.25" customHeight="1" outlineLevel="1" x14ac:dyDescent="0.65">
      <c r="B15" s="52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ht="11.25" customHeight="1" outlineLevel="1" x14ac:dyDescent="0.65">
      <c r="B16" s="52" t="s">
        <v>6</v>
      </c>
      <c r="C16" s="99">
        <v>0.03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1.25" customHeight="1" outlineLevel="1" x14ac:dyDescent="0.65">
      <c r="B17" s="51" t="s">
        <v>7</v>
      </c>
      <c r="C17" s="100">
        <v>12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1.25" customHeight="1" outlineLevel="1" x14ac:dyDescent="0.65">
      <c r="B18" s="52" t="s">
        <v>8</v>
      </c>
      <c r="C18" s="99">
        <v>0.95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1.25" customHeight="1" outlineLevel="1" x14ac:dyDescent="0.65">
      <c r="B19" s="52" t="s">
        <v>9</v>
      </c>
      <c r="C19" s="101">
        <v>100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ht="11.25" customHeight="1" outlineLevel="1" x14ac:dyDescent="0.65">
      <c r="B20" s="52"/>
      <c r="C20" s="55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ht="14.4" outlineLevel="1" x14ac:dyDescent="0.65">
      <c r="A21" s="51" t="s">
        <v>178</v>
      </c>
      <c r="B21" s="102">
        <v>2017</v>
      </c>
      <c r="C21" s="91"/>
      <c r="D21" s="103">
        <v>42736</v>
      </c>
      <c r="E21" s="106">
        <f>EDATE(D21,1)</f>
        <v>42767</v>
      </c>
      <c r="F21" s="106">
        <f t="shared" ref="F21:O21" si="0">EDATE(E21,1)</f>
        <v>42795</v>
      </c>
      <c r="G21" s="106">
        <f t="shared" si="0"/>
        <v>42826</v>
      </c>
      <c r="H21" s="106">
        <f t="shared" si="0"/>
        <v>42856</v>
      </c>
      <c r="I21" s="106">
        <f t="shared" si="0"/>
        <v>42887</v>
      </c>
      <c r="J21" s="106">
        <f t="shared" si="0"/>
        <v>42917</v>
      </c>
      <c r="K21" s="106">
        <f t="shared" si="0"/>
        <v>42948</v>
      </c>
      <c r="L21" s="106">
        <f t="shared" si="0"/>
        <v>42979</v>
      </c>
      <c r="M21" s="106">
        <f t="shared" si="0"/>
        <v>43009</v>
      </c>
      <c r="N21" s="106">
        <f t="shared" si="0"/>
        <v>43040</v>
      </c>
      <c r="O21" s="106">
        <f t="shared" si="0"/>
        <v>43070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ht="14.4" outlineLevel="2" x14ac:dyDescent="0.65">
      <c r="B22" s="56" t="s">
        <v>10</v>
      </c>
    </row>
    <row r="23" spans="1:27" ht="14.4" outlineLevel="2" x14ac:dyDescent="0.65">
      <c r="B23" s="51" t="s">
        <v>11</v>
      </c>
      <c r="D23" s="104">
        <v>100</v>
      </c>
      <c r="E23" s="53">
        <f t="shared" ref="E23:O23" si="1">D26</f>
        <v>107</v>
      </c>
      <c r="F23" s="53">
        <f t="shared" si="1"/>
        <v>113.79</v>
      </c>
      <c r="G23" s="53">
        <f t="shared" si="1"/>
        <v>120.3763</v>
      </c>
      <c r="H23" s="53">
        <f t="shared" si="1"/>
        <v>126.76501100000002</v>
      </c>
      <c r="I23" s="53">
        <f t="shared" si="1"/>
        <v>132.96206067000003</v>
      </c>
      <c r="J23" s="53">
        <f t="shared" si="1"/>
        <v>138.97319884990003</v>
      </c>
      <c r="K23" s="53">
        <f t="shared" si="1"/>
        <v>144.80400288440302</v>
      </c>
      <c r="L23" s="53">
        <f t="shared" si="1"/>
        <v>150.45988279787093</v>
      </c>
      <c r="M23" s="53">
        <f t="shared" si="1"/>
        <v>155.94608631393481</v>
      </c>
      <c r="N23" s="53">
        <f t="shared" si="1"/>
        <v>161.26770372451676</v>
      </c>
      <c r="O23" s="53">
        <f t="shared" si="1"/>
        <v>166.42967261278127</v>
      </c>
    </row>
    <row r="24" spans="1:27" ht="14.4" outlineLevel="2" x14ac:dyDescent="0.65">
      <c r="B24" s="51" t="s">
        <v>12</v>
      </c>
      <c r="D24" s="104">
        <v>10</v>
      </c>
      <c r="E24" s="104">
        <v>10</v>
      </c>
      <c r="F24" s="104">
        <v>10</v>
      </c>
      <c r="G24" s="104">
        <v>10</v>
      </c>
      <c r="H24" s="104">
        <v>10</v>
      </c>
      <c r="I24" s="104">
        <v>10</v>
      </c>
      <c r="J24" s="104">
        <v>10</v>
      </c>
      <c r="K24" s="104">
        <v>10</v>
      </c>
      <c r="L24" s="104">
        <v>10</v>
      </c>
      <c r="M24" s="104">
        <v>10</v>
      </c>
      <c r="N24" s="104">
        <v>10</v>
      </c>
      <c r="O24" s="104">
        <v>10</v>
      </c>
    </row>
    <row r="25" spans="1:27" ht="14.4" outlineLevel="2" x14ac:dyDescent="0.65">
      <c r="B25" s="51" t="s">
        <v>13</v>
      </c>
      <c r="D25" s="58">
        <f t="shared" ref="D25:O25" si="2">-$C$16*D23</f>
        <v>-3</v>
      </c>
      <c r="E25" s="58">
        <f t="shared" si="2"/>
        <v>-3.21</v>
      </c>
      <c r="F25" s="58">
        <f t="shared" si="2"/>
        <v>-3.4137</v>
      </c>
      <c r="G25" s="58">
        <f t="shared" si="2"/>
        <v>-3.6112889999999997</v>
      </c>
      <c r="H25" s="58">
        <f t="shared" si="2"/>
        <v>-3.8029503300000003</v>
      </c>
      <c r="I25" s="58">
        <f t="shared" si="2"/>
        <v>-3.9888618201000008</v>
      </c>
      <c r="J25" s="58">
        <f t="shared" si="2"/>
        <v>-4.1691959654970008</v>
      </c>
      <c r="K25" s="58">
        <f t="shared" si="2"/>
        <v>-4.3441200865320901</v>
      </c>
      <c r="L25" s="58">
        <f t="shared" si="2"/>
        <v>-4.5137964839361278</v>
      </c>
      <c r="M25" s="58">
        <f t="shared" si="2"/>
        <v>-4.6783825894180442</v>
      </c>
      <c r="N25" s="58">
        <f t="shared" si="2"/>
        <v>-4.8380311117355026</v>
      </c>
      <c r="O25" s="58">
        <f t="shared" si="2"/>
        <v>-4.9928901783834378</v>
      </c>
    </row>
    <row r="26" spans="1:27" ht="14.4" outlineLevel="2" x14ac:dyDescent="0.65">
      <c r="B26" s="59" t="s">
        <v>14</v>
      </c>
      <c r="C26" s="60"/>
      <c r="D26" s="61">
        <f t="shared" ref="D26:O26" si="3">SUM(D23:D25)</f>
        <v>107</v>
      </c>
      <c r="E26" s="61">
        <f t="shared" si="3"/>
        <v>113.79</v>
      </c>
      <c r="F26" s="61">
        <f t="shared" si="3"/>
        <v>120.3763</v>
      </c>
      <c r="G26" s="61">
        <f t="shared" si="3"/>
        <v>126.76501100000002</v>
      </c>
      <c r="H26" s="61">
        <f t="shared" si="3"/>
        <v>132.96206067000003</v>
      </c>
      <c r="I26" s="61">
        <f t="shared" si="3"/>
        <v>138.97319884990003</v>
      </c>
      <c r="J26" s="61">
        <f t="shared" si="3"/>
        <v>144.80400288440302</v>
      </c>
      <c r="K26" s="61">
        <f t="shared" si="3"/>
        <v>150.45988279787093</v>
      </c>
      <c r="L26" s="61">
        <f t="shared" si="3"/>
        <v>155.94608631393481</v>
      </c>
      <c r="M26" s="61">
        <f t="shared" si="3"/>
        <v>161.26770372451676</v>
      </c>
      <c r="N26" s="61">
        <f t="shared" si="3"/>
        <v>166.42967261278127</v>
      </c>
      <c r="O26" s="61">
        <f t="shared" si="3"/>
        <v>171.43678243439783</v>
      </c>
    </row>
    <row r="27" spans="1:27" ht="9.75" customHeight="1" outlineLevel="2" x14ac:dyDescent="0.65"/>
    <row r="28" spans="1:27" ht="14.4" outlineLevel="2" x14ac:dyDescent="0.65">
      <c r="B28" s="51" t="s">
        <v>15</v>
      </c>
      <c r="D28" s="104">
        <v>10000</v>
      </c>
      <c r="E28" s="53">
        <f t="shared" ref="E28:O28" si="4">D32</f>
        <v>10850</v>
      </c>
      <c r="F28" s="53">
        <f t="shared" si="4"/>
        <v>11687.25</v>
      </c>
      <c r="G28" s="53">
        <f t="shared" si="4"/>
        <v>12511.94125</v>
      </c>
      <c r="H28" s="53">
        <f t="shared" si="4"/>
        <v>13324.26213125</v>
      </c>
      <c r="I28" s="53">
        <f t="shared" si="4"/>
        <v>14124.39819928125</v>
      </c>
      <c r="J28" s="53">
        <f t="shared" si="4"/>
        <v>14912.532226292031</v>
      </c>
      <c r="K28" s="53">
        <f t="shared" si="4"/>
        <v>15688.84424289765</v>
      </c>
      <c r="L28" s="53">
        <f t="shared" si="4"/>
        <v>16453.511579254184</v>
      </c>
      <c r="M28" s="53">
        <f t="shared" si="4"/>
        <v>17206.708905565371</v>
      </c>
      <c r="N28" s="53">
        <f t="shared" si="4"/>
        <v>17948.608271981888</v>
      </c>
      <c r="O28" s="53">
        <f t="shared" si="4"/>
        <v>18679.37914790216</v>
      </c>
    </row>
    <row r="29" spans="1:27" ht="14.4" outlineLevel="2" x14ac:dyDescent="0.65">
      <c r="B29" s="51" t="s">
        <v>16</v>
      </c>
      <c r="D29" s="53">
        <f t="shared" ref="D29:O29" si="5">+D24*$C$19</f>
        <v>1000</v>
      </c>
      <c r="E29" s="53">
        <f t="shared" si="5"/>
        <v>1000</v>
      </c>
      <c r="F29" s="53">
        <f t="shared" si="5"/>
        <v>1000</v>
      </c>
      <c r="G29" s="53">
        <f t="shared" si="5"/>
        <v>1000</v>
      </c>
      <c r="H29" s="53">
        <f t="shared" si="5"/>
        <v>1000</v>
      </c>
      <c r="I29" s="53">
        <f t="shared" si="5"/>
        <v>1000</v>
      </c>
      <c r="J29" s="53">
        <f t="shared" si="5"/>
        <v>1000</v>
      </c>
      <c r="K29" s="53">
        <f t="shared" si="5"/>
        <v>1000</v>
      </c>
      <c r="L29" s="53">
        <f t="shared" si="5"/>
        <v>1000</v>
      </c>
      <c r="M29" s="53">
        <f t="shared" si="5"/>
        <v>1000</v>
      </c>
      <c r="N29" s="53">
        <f t="shared" si="5"/>
        <v>1000</v>
      </c>
      <c r="O29" s="53">
        <f t="shared" si="5"/>
        <v>1000</v>
      </c>
    </row>
    <row r="30" spans="1:27" ht="14.4" outlineLevel="2" x14ac:dyDescent="0.65">
      <c r="B30" s="51" t="s">
        <v>17</v>
      </c>
      <c r="D30" s="58">
        <f t="shared" ref="D30:O30" si="6">+-D37*D28</f>
        <v>-200</v>
      </c>
      <c r="E30" s="58">
        <f t="shared" si="6"/>
        <v>-217</v>
      </c>
      <c r="F30" s="58">
        <f t="shared" si="6"/>
        <v>-233.745</v>
      </c>
      <c r="G30" s="58">
        <f t="shared" si="6"/>
        <v>-250.23882499999999</v>
      </c>
      <c r="H30" s="58">
        <f t="shared" si="6"/>
        <v>-266.48524262500001</v>
      </c>
      <c r="I30" s="58">
        <f t="shared" si="6"/>
        <v>-282.48796398562502</v>
      </c>
      <c r="J30" s="58">
        <f t="shared" si="6"/>
        <v>-298.25064452584064</v>
      </c>
      <c r="K30" s="58">
        <f t="shared" si="6"/>
        <v>-313.77688485795301</v>
      </c>
      <c r="L30" s="58">
        <f t="shared" si="6"/>
        <v>-329.07023158508366</v>
      </c>
      <c r="M30" s="58">
        <f t="shared" si="6"/>
        <v>-344.13417811130739</v>
      </c>
      <c r="N30" s="58">
        <f t="shared" si="6"/>
        <v>-358.97216543963776</v>
      </c>
      <c r="O30" s="58">
        <f t="shared" si="6"/>
        <v>-373.58758295804319</v>
      </c>
    </row>
    <row r="31" spans="1:27" ht="14.4" outlineLevel="2" x14ac:dyDescent="0.65">
      <c r="B31" s="51" t="s">
        <v>18</v>
      </c>
      <c r="D31" s="58">
        <f t="shared" ref="D31:O31" si="7">+D38*D28</f>
        <v>50</v>
      </c>
      <c r="E31" s="58">
        <f t="shared" si="7"/>
        <v>54.25</v>
      </c>
      <c r="F31" s="58">
        <f t="shared" si="7"/>
        <v>58.436250000000001</v>
      </c>
      <c r="G31" s="58">
        <f t="shared" si="7"/>
        <v>62.559706249999998</v>
      </c>
      <c r="H31" s="58">
        <f t="shared" si="7"/>
        <v>66.621310656250003</v>
      </c>
      <c r="I31" s="58">
        <f t="shared" si="7"/>
        <v>70.621990996406254</v>
      </c>
      <c r="J31" s="58">
        <f t="shared" si="7"/>
        <v>74.56266113146016</v>
      </c>
      <c r="K31" s="58">
        <f t="shared" si="7"/>
        <v>78.444221214488252</v>
      </c>
      <c r="L31" s="58">
        <f t="shared" si="7"/>
        <v>82.267557896270915</v>
      </c>
      <c r="M31" s="58">
        <f t="shared" si="7"/>
        <v>86.033544527826848</v>
      </c>
      <c r="N31" s="58">
        <f t="shared" si="7"/>
        <v>89.743041359909441</v>
      </c>
      <c r="O31" s="58">
        <f t="shared" si="7"/>
        <v>93.396895739510796</v>
      </c>
    </row>
    <row r="32" spans="1:27" ht="14.4" outlineLevel="2" x14ac:dyDescent="0.65">
      <c r="B32" s="59" t="s">
        <v>19</v>
      </c>
      <c r="C32" s="60"/>
      <c r="D32" s="61">
        <f t="shared" ref="D32:O32" si="8">SUM(D28:D31)</f>
        <v>10850</v>
      </c>
      <c r="E32" s="61">
        <f t="shared" si="8"/>
        <v>11687.25</v>
      </c>
      <c r="F32" s="61">
        <f t="shared" si="8"/>
        <v>12511.94125</v>
      </c>
      <c r="G32" s="61">
        <f t="shared" si="8"/>
        <v>13324.26213125</v>
      </c>
      <c r="H32" s="61">
        <f t="shared" si="8"/>
        <v>14124.39819928125</v>
      </c>
      <c r="I32" s="61">
        <f t="shared" si="8"/>
        <v>14912.532226292031</v>
      </c>
      <c r="J32" s="61">
        <f t="shared" si="8"/>
        <v>15688.84424289765</v>
      </c>
      <c r="K32" s="61">
        <f t="shared" si="8"/>
        <v>16453.511579254184</v>
      </c>
      <c r="L32" s="61">
        <f t="shared" si="8"/>
        <v>17206.708905565371</v>
      </c>
      <c r="M32" s="61">
        <f t="shared" si="8"/>
        <v>17948.608271981888</v>
      </c>
      <c r="N32" s="61">
        <f t="shared" si="8"/>
        <v>18679.37914790216</v>
      </c>
      <c r="O32" s="61">
        <f t="shared" si="8"/>
        <v>19399.188460683628</v>
      </c>
    </row>
    <row r="33" spans="1:27" ht="14.4" outlineLevel="2" x14ac:dyDescent="0.65">
      <c r="B33" s="62" t="s">
        <v>20</v>
      </c>
      <c r="E33" s="63">
        <f t="shared" ref="E33:O33" si="9">E32/D32-1</f>
        <v>7.7165898617511441E-2</v>
      </c>
      <c r="F33" s="63">
        <f t="shared" si="9"/>
        <v>7.0563327557808808E-2</v>
      </c>
      <c r="G33" s="63">
        <f t="shared" si="9"/>
        <v>6.4923648938169265E-2</v>
      </c>
      <c r="H33" s="63">
        <f t="shared" si="9"/>
        <v>6.0051060250057242E-2</v>
      </c>
      <c r="I33" s="63">
        <f t="shared" si="9"/>
        <v>5.5799476614224019E-2</v>
      </c>
      <c r="J33" s="63">
        <f t="shared" si="9"/>
        <v>5.205769247136427E-2</v>
      </c>
      <c r="K33" s="63">
        <f t="shared" si="9"/>
        <v>4.873955815468678E-2</v>
      </c>
      <c r="L33" s="63">
        <f t="shared" si="9"/>
        <v>4.5777299434418328E-2</v>
      </c>
      <c r="M33" s="63">
        <f t="shared" si="9"/>
        <v>4.3116866246081242E-2</v>
      </c>
      <c r="N33" s="63">
        <f t="shared" si="9"/>
        <v>4.0714626161908019E-2</v>
      </c>
      <c r="O33" s="63">
        <f t="shared" si="9"/>
        <v>3.8534969876785619E-2</v>
      </c>
    </row>
    <row r="34" spans="1:27" ht="9.75" customHeight="1" outlineLevel="2" x14ac:dyDescent="0.65">
      <c r="B34" s="62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1:27" ht="14.4" outlineLevel="2" x14ac:dyDescent="0.65">
      <c r="B35" s="51" t="s">
        <v>21</v>
      </c>
      <c r="D35" s="58">
        <f t="shared" ref="D35:O35" si="10">+D32/D26</f>
        <v>101.40186915887851</v>
      </c>
      <c r="E35" s="58">
        <f t="shared" si="10"/>
        <v>102.70893751647772</v>
      </c>
      <c r="F35" s="58">
        <f t="shared" si="10"/>
        <v>103.94023782089997</v>
      </c>
      <c r="G35" s="58">
        <f t="shared" si="10"/>
        <v>105.10993551091158</v>
      </c>
      <c r="H35" s="58">
        <f t="shared" si="10"/>
        <v>106.22878532498639</v>
      </c>
      <c r="I35" s="58">
        <f t="shared" si="10"/>
        <v>107.30509443334122</v>
      </c>
      <c r="J35" s="58">
        <f t="shared" si="10"/>
        <v>108.34537671877793</v>
      </c>
      <c r="K35" s="58">
        <f t="shared" si="10"/>
        <v>109.35480789492551</v>
      </c>
      <c r="L35" s="58">
        <f t="shared" si="10"/>
        <v>110.33754877904774</v>
      </c>
      <c r="M35" s="58">
        <f t="shared" si="10"/>
        <v>111.2969792305243</v>
      </c>
      <c r="N35" s="58">
        <f t="shared" si="10"/>
        <v>112.23587029076234</v>
      </c>
      <c r="O35" s="58">
        <f t="shared" si="10"/>
        <v>113.15651276940491</v>
      </c>
    </row>
    <row r="36" spans="1:27" ht="14.4" outlineLevel="2" x14ac:dyDescent="0.65"/>
    <row r="37" spans="1:27" ht="14.4" outlineLevel="2" x14ac:dyDescent="0.65">
      <c r="B37" s="52" t="s">
        <v>22</v>
      </c>
      <c r="D37" s="105">
        <v>0.02</v>
      </c>
      <c r="E37" s="105">
        <v>0.02</v>
      </c>
      <c r="F37" s="105">
        <v>0.02</v>
      </c>
      <c r="G37" s="105">
        <v>0.02</v>
      </c>
      <c r="H37" s="105">
        <v>0.02</v>
      </c>
      <c r="I37" s="105">
        <v>0.02</v>
      </c>
      <c r="J37" s="105">
        <v>0.02</v>
      </c>
      <c r="K37" s="105">
        <v>0.02</v>
      </c>
      <c r="L37" s="105">
        <v>0.02</v>
      </c>
      <c r="M37" s="105">
        <v>0.02</v>
      </c>
      <c r="N37" s="105">
        <v>0.02</v>
      </c>
      <c r="O37" s="105">
        <v>0.02</v>
      </c>
    </row>
    <row r="38" spans="1:27" ht="14.4" outlineLevel="2" x14ac:dyDescent="0.65">
      <c r="B38" s="52" t="s">
        <v>23</v>
      </c>
      <c r="D38" s="105">
        <v>5.0000000000000001E-3</v>
      </c>
      <c r="E38" s="105">
        <v>5.0000000000000001E-3</v>
      </c>
      <c r="F38" s="105">
        <v>5.0000000000000001E-3</v>
      </c>
      <c r="G38" s="105">
        <v>5.0000000000000001E-3</v>
      </c>
      <c r="H38" s="105">
        <v>5.0000000000000001E-3</v>
      </c>
      <c r="I38" s="105">
        <v>5.0000000000000001E-3</v>
      </c>
      <c r="J38" s="105">
        <v>5.0000000000000001E-3</v>
      </c>
      <c r="K38" s="105">
        <v>5.0000000000000001E-3</v>
      </c>
      <c r="L38" s="105">
        <v>5.0000000000000001E-3</v>
      </c>
      <c r="M38" s="105">
        <v>5.0000000000000001E-3</v>
      </c>
      <c r="N38" s="105">
        <v>5.0000000000000001E-3</v>
      </c>
      <c r="O38" s="105">
        <v>5.0000000000000001E-3</v>
      </c>
    </row>
    <row r="39" spans="1:27" ht="14.4" outlineLevel="2" x14ac:dyDescent="0.65">
      <c r="B39" s="64" t="s">
        <v>24</v>
      </c>
      <c r="C39" s="56"/>
      <c r="D39" s="65">
        <f t="shared" ref="D39:O39" si="11">+(-D30-D31)/D28</f>
        <v>1.4999999999999999E-2</v>
      </c>
      <c r="E39" s="65">
        <f t="shared" si="11"/>
        <v>1.4999999999999999E-2</v>
      </c>
      <c r="F39" s="65">
        <f t="shared" si="11"/>
        <v>1.4999999999999999E-2</v>
      </c>
      <c r="G39" s="65">
        <f t="shared" si="11"/>
        <v>1.4999999999999999E-2</v>
      </c>
      <c r="H39" s="65">
        <f t="shared" si="11"/>
        <v>1.5000000000000003E-2</v>
      </c>
      <c r="I39" s="65">
        <f t="shared" si="11"/>
        <v>1.5000000000000001E-2</v>
      </c>
      <c r="J39" s="65">
        <f t="shared" si="11"/>
        <v>1.4999999999999999E-2</v>
      </c>
      <c r="K39" s="65">
        <f t="shared" si="11"/>
        <v>1.4999999999999999E-2</v>
      </c>
      <c r="L39" s="65">
        <f t="shared" si="11"/>
        <v>1.4999999999999999E-2</v>
      </c>
      <c r="M39" s="65">
        <f t="shared" si="11"/>
        <v>1.4999999999999999E-2</v>
      </c>
      <c r="N39" s="65">
        <f t="shared" si="11"/>
        <v>1.4999999999999999E-2</v>
      </c>
      <c r="O39" s="65">
        <f t="shared" si="11"/>
        <v>1.4999999999999999E-2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spans="1:27" ht="14.4" outlineLevel="2" x14ac:dyDescent="0.65"/>
    <row r="41" spans="1:27" ht="14.4" outlineLevel="2" x14ac:dyDescent="0.65">
      <c r="B41" s="51" t="s">
        <v>25</v>
      </c>
      <c r="D41" s="53">
        <f t="shared" ref="D41:O41" si="12">D29*$C$17</f>
        <v>12000</v>
      </c>
      <c r="E41" s="53">
        <f t="shared" si="12"/>
        <v>12000</v>
      </c>
      <c r="F41" s="53">
        <f t="shared" si="12"/>
        <v>12000</v>
      </c>
      <c r="G41" s="53">
        <f t="shared" si="12"/>
        <v>12000</v>
      </c>
      <c r="H41" s="53">
        <f t="shared" si="12"/>
        <v>12000</v>
      </c>
      <c r="I41" s="53">
        <f t="shared" si="12"/>
        <v>12000</v>
      </c>
      <c r="J41" s="53">
        <f t="shared" si="12"/>
        <v>12000</v>
      </c>
      <c r="K41" s="53">
        <f t="shared" si="12"/>
        <v>12000</v>
      </c>
      <c r="L41" s="53">
        <f t="shared" si="12"/>
        <v>12000</v>
      </c>
      <c r="M41" s="53">
        <f t="shared" si="12"/>
        <v>12000</v>
      </c>
      <c r="N41" s="53">
        <f t="shared" si="12"/>
        <v>12000</v>
      </c>
      <c r="O41" s="53">
        <f t="shared" si="12"/>
        <v>12000</v>
      </c>
    </row>
    <row r="42" spans="1:27" ht="14.4" outlineLevel="2" x14ac:dyDescent="0.65"/>
    <row r="43" spans="1:27" ht="14.4" outlineLevel="2" x14ac:dyDescent="0.65">
      <c r="B43" s="56" t="s">
        <v>26</v>
      </c>
      <c r="C43" s="56"/>
      <c r="D43" s="66">
        <f>SUM(D32:O32)</f>
        <v>182786.62441510818</v>
      </c>
    </row>
    <row r="44" spans="1:27" ht="14.4" outlineLevel="2" x14ac:dyDescent="0.65">
      <c r="B44" s="56" t="s">
        <v>27</v>
      </c>
      <c r="D44" s="66">
        <f>SUM(D41:O41)</f>
        <v>144000</v>
      </c>
    </row>
    <row r="45" spans="1:27" ht="9.75" customHeight="1" outlineLevel="1" x14ac:dyDescent="0.65"/>
    <row r="46" spans="1:27" ht="14.4" outlineLevel="1" x14ac:dyDescent="0.65">
      <c r="A46" s="51" t="s">
        <v>178</v>
      </c>
      <c r="B46" s="90">
        <f>B21+1</f>
        <v>2018</v>
      </c>
      <c r="C46" s="91"/>
      <c r="D46" s="106">
        <f>EDATE(D21,12)</f>
        <v>43101</v>
      </c>
      <c r="E46" s="106">
        <f t="shared" ref="E46:O46" si="13">EDATE(E21,12)</f>
        <v>43132</v>
      </c>
      <c r="F46" s="106">
        <f t="shared" si="13"/>
        <v>43160</v>
      </c>
      <c r="G46" s="106">
        <f t="shared" si="13"/>
        <v>43191</v>
      </c>
      <c r="H46" s="106">
        <f t="shared" si="13"/>
        <v>43221</v>
      </c>
      <c r="I46" s="106">
        <f t="shared" si="13"/>
        <v>43252</v>
      </c>
      <c r="J46" s="106">
        <f t="shared" si="13"/>
        <v>43282</v>
      </c>
      <c r="K46" s="106">
        <f t="shared" si="13"/>
        <v>43313</v>
      </c>
      <c r="L46" s="106">
        <f t="shared" si="13"/>
        <v>43344</v>
      </c>
      <c r="M46" s="106">
        <f t="shared" si="13"/>
        <v>43374</v>
      </c>
      <c r="N46" s="106">
        <f t="shared" si="13"/>
        <v>43405</v>
      </c>
      <c r="O46" s="106">
        <f t="shared" si="13"/>
        <v>43435</v>
      </c>
    </row>
    <row r="47" spans="1:27" ht="14.4" outlineLevel="2" x14ac:dyDescent="0.65">
      <c r="B47" s="56" t="s">
        <v>10</v>
      </c>
    </row>
    <row r="48" spans="1:27" ht="14.4" outlineLevel="2" x14ac:dyDescent="0.65">
      <c r="B48" s="51" t="s">
        <v>11</v>
      </c>
      <c r="D48" s="58">
        <f>O26</f>
        <v>171.43678243439783</v>
      </c>
      <c r="E48" s="53">
        <f t="shared" ref="E48:O48" si="14">D51</f>
        <v>181.29367896136588</v>
      </c>
      <c r="F48" s="53">
        <f t="shared" si="14"/>
        <v>190.85486859252489</v>
      </c>
      <c r="G48" s="53">
        <f t="shared" si="14"/>
        <v>200.12922253474915</v>
      </c>
      <c r="H48" s="53">
        <f t="shared" si="14"/>
        <v>209.12534585870668</v>
      </c>
      <c r="I48" s="53">
        <f t="shared" si="14"/>
        <v>217.85158548294547</v>
      </c>
      <c r="J48" s="53">
        <f t="shared" si="14"/>
        <v>226.31603791845711</v>
      </c>
      <c r="K48" s="53">
        <f t="shared" si="14"/>
        <v>234.52655678090341</v>
      </c>
      <c r="L48" s="53">
        <f t="shared" si="14"/>
        <v>242.4907600774763</v>
      </c>
      <c r="M48" s="53">
        <f t="shared" si="14"/>
        <v>250.21603727515202</v>
      </c>
      <c r="N48" s="53">
        <f t="shared" si="14"/>
        <v>257.70955615689746</v>
      </c>
      <c r="O48" s="53">
        <f t="shared" si="14"/>
        <v>264.97826947219056</v>
      </c>
    </row>
    <row r="49" spans="2:27" ht="14.4" outlineLevel="2" x14ac:dyDescent="0.65">
      <c r="B49" s="51" t="s">
        <v>12</v>
      </c>
      <c r="D49" s="104">
        <v>15</v>
      </c>
      <c r="E49" s="104">
        <v>15</v>
      </c>
      <c r="F49" s="104">
        <v>15</v>
      </c>
      <c r="G49" s="104">
        <v>15</v>
      </c>
      <c r="H49" s="104">
        <v>15</v>
      </c>
      <c r="I49" s="104">
        <v>15</v>
      </c>
      <c r="J49" s="104">
        <v>15</v>
      </c>
      <c r="K49" s="104">
        <v>15</v>
      </c>
      <c r="L49" s="104">
        <v>15</v>
      </c>
      <c r="M49" s="104">
        <v>15</v>
      </c>
      <c r="N49" s="104">
        <v>15</v>
      </c>
      <c r="O49" s="104">
        <v>15</v>
      </c>
    </row>
    <row r="50" spans="2:27" ht="14.4" outlineLevel="2" x14ac:dyDescent="0.65">
      <c r="B50" s="51" t="s">
        <v>13</v>
      </c>
      <c r="D50" s="58">
        <f t="shared" ref="D50:O50" si="15">-$C$16*D48</f>
        <v>-5.1431034730319345</v>
      </c>
      <c r="E50" s="58">
        <f t="shared" si="15"/>
        <v>-5.4388103688409766</v>
      </c>
      <c r="F50" s="58">
        <f t="shared" si="15"/>
        <v>-5.7256460577757462</v>
      </c>
      <c r="G50" s="58">
        <f t="shared" si="15"/>
        <v>-6.0038766760424744</v>
      </c>
      <c r="H50" s="58">
        <f t="shared" si="15"/>
        <v>-6.2737603757612002</v>
      </c>
      <c r="I50" s="58">
        <f t="shared" si="15"/>
        <v>-6.5355475644883638</v>
      </c>
      <c r="J50" s="58">
        <f t="shared" si="15"/>
        <v>-6.7894811375537127</v>
      </c>
      <c r="K50" s="58">
        <f t="shared" si="15"/>
        <v>-7.0357967034271018</v>
      </c>
      <c r="L50" s="58">
        <f t="shared" si="15"/>
        <v>-7.2747228023242885</v>
      </c>
      <c r="M50" s="58">
        <f t="shared" si="15"/>
        <v>-7.5064811182545599</v>
      </c>
      <c r="N50" s="58">
        <f t="shared" si="15"/>
        <v>-7.7312866847069239</v>
      </c>
      <c r="O50" s="58">
        <f t="shared" si="15"/>
        <v>-7.9493480841657167</v>
      </c>
    </row>
    <row r="51" spans="2:27" ht="14.4" outlineLevel="2" x14ac:dyDescent="0.65">
      <c r="B51" s="59" t="s">
        <v>14</v>
      </c>
      <c r="C51" s="60"/>
      <c r="D51" s="61">
        <f t="shared" ref="D51:O51" si="16">SUM(D48:D50)</f>
        <v>181.29367896136588</v>
      </c>
      <c r="E51" s="61">
        <f t="shared" si="16"/>
        <v>190.85486859252489</v>
      </c>
      <c r="F51" s="61">
        <f t="shared" si="16"/>
        <v>200.12922253474915</v>
      </c>
      <c r="G51" s="61">
        <f t="shared" si="16"/>
        <v>209.12534585870668</v>
      </c>
      <c r="H51" s="61">
        <f t="shared" si="16"/>
        <v>217.85158548294547</v>
      </c>
      <c r="I51" s="61">
        <f t="shared" si="16"/>
        <v>226.31603791845711</v>
      </c>
      <c r="J51" s="61">
        <f t="shared" si="16"/>
        <v>234.52655678090341</v>
      </c>
      <c r="K51" s="61">
        <f t="shared" si="16"/>
        <v>242.4907600774763</v>
      </c>
      <c r="L51" s="61">
        <f t="shared" si="16"/>
        <v>250.21603727515202</v>
      </c>
      <c r="M51" s="61">
        <f t="shared" si="16"/>
        <v>257.70955615689746</v>
      </c>
      <c r="N51" s="61">
        <f t="shared" si="16"/>
        <v>264.97826947219056</v>
      </c>
      <c r="O51" s="61">
        <f t="shared" si="16"/>
        <v>272.02892138802486</v>
      </c>
    </row>
    <row r="52" spans="2:27" ht="14.4" outlineLevel="2" x14ac:dyDescent="0.65"/>
    <row r="53" spans="2:27" ht="14.4" outlineLevel="2" x14ac:dyDescent="0.65">
      <c r="B53" s="51" t="s">
        <v>15</v>
      </c>
      <c r="D53" s="58">
        <f>O32</f>
        <v>19399.188460683628</v>
      </c>
      <c r="E53" s="53">
        <f t="shared" ref="E53:O53" si="17">D57</f>
        <v>20608.200633773376</v>
      </c>
      <c r="F53" s="53">
        <f t="shared" si="17"/>
        <v>21799.077624266774</v>
      </c>
      <c r="G53" s="53">
        <f t="shared" si="17"/>
        <v>22972.091459902771</v>
      </c>
      <c r="H53" s="53">
        <f t="shared" si="17"/>
        <v>24127.51008800423</v>
      </c>
      <c r="I53" s="53">
        <f t="shared" si="17"/>
        <v>25265.597436684166</v>
      </c>
      <c r="J53" s="53">
        <f t="shared" si="17"/>
        <v>26386.613475133901</v>
      </c>
      <c r="K53" s="53">
        <f t="shared" si="17"/>
        <v>27490.814273006894</v>
      </c>
      <c r="L53" s="53">
        <f t="shared" si="17"/>
        <v>28578.452058911789</v>
      </c>
      <c r="M53" s="53">
        <f t="shared" si="17"/>
        <v>29649.775278028115</v>
      </c>
      <c r="N53" s="53">
        <f t="shared" si="17"/>
        <v>30705.028648857697</v>
      </c>
      <c r="O53" s="53">
        <f t="shared" si="17"/>
        <v>31744.453219124833</v>
      </c>
    </row>
    <row r="54" spans="2:27" ht="14.4" outlineLevel="2" x14ac:dyDescent="0.65">
      <c r="B54" s="51" t="s">
        <v>16</v>
      </c>
      <c r="D54" s="53">
        <f t="shared" ref="D54:O54" si="18">D49*$C$19</f>
        <v>1500</v>
      </c>
      <c r="E54" s="53">
        <f t="shared" si="18"/>
        <v>1500</v>
      </c>
      <c r="F54" s="53">
        <f t="shared" si="18"/>
        <v>1500</v>
      </c>
      <c r="G54" s="53">
        <f t="shared" si="18"/>
        <v>1500</v>
      </c>
      <c r="H54" s="53">
        <f t="shared" si="18"/>
        <v>1500</v>
      </c>
      <c r="I54" s="53">
        <f t="shared" si="18"/>
        <v>1500</v>
      </c>
      <c r="J54" s="53">
        <f t="shared" si="18"/>
        <v>1500</v>
      </c>
      <c r="K54" s="53">
        <f t="shared" si="18"/>
        <v>1500</v>
      </c>
      <c r="L54" s="53">
        <f t="shared" si="18"/>
        <v>1500</v>
      </c>
      <c r="M54" s="53">
        <f t="shared" si="18"/>
        <v>1500</v>
      </c>
      <c r="N54" s="53">
        <f t="shared" si="18"/>
        <v>1500</v>
      </c>
      <c r="O54" s="53">
        <f t="shared" si="18"/>
        <v>1500</v>
      </c>
    </row>
    <row r="55" spans="2:27" ht="14.4" outlineLevel="2" x14ac:dyDescent="0.65">
      <c r="B55" s="51" t="s">
        <v>17</v>
      </c>
      <c r="D55" s="58">
        <f t="shared" ref="D55:O55" si="19">+-D62*D53</f>
        <v>-387.98376921367259</v>
      </c>
      <c r="E55" s="58">
        <f t="shared" si="19"/>
        <v>-412.16401267546752</v>
      </c>
      <c r="F55" s="58">
        <f t="shared" si="19"/>
        <v>-435.9815524853355</v>
      </c>
      <c r="G55" s="58">
        <f t="shared" si="19"/>
        <v>-459.44182919805542</v>
      </c>
      <c r="H55" s="58">
        <f t="shared" si="19"/>
        <v>-482.55020176008463</v>
      </c>
      <c r="I55" s="58">
        <f t="shared" si="19"/>
        <v>-505.31194873368332</v>
      </c>
      <c r="J55" s="58">
        <f t="shared" si="19"/>
        <v>-527.73226950267804</v>
      </c>
      <c r="K55" s="58">
        <f t="shared" si="19"/>
        <v>-549.81628546013792</v>
      </c>
      <c r="L55" s="58">
        <f t="shared" si="19"/>
        <v>-571.56904117823581</v>
      </c>
      <c r="M55" s="58">
        <f t="shared" si="19"/>
        <v>-592.99550556056226</v>
      </c>
      <c r="N55" s="58">
        <f t="shared" si="19"/>
        <v>-614.100572977154</v>
      </c>
      <c r="O55" s="58">
        <f t="shared" si="19"/>
        <v>-634.88906438249671</v>
      </c>
    </row>
    <row r="56" spans="2:27" ht="14.4" outlineLevel="2" x14ac:dyDescent="0.65">
      <c r="B56" s="51" t="s">
        <v>18</v>
      </c>
      <c r="D56" s="58">
        <f t="shared" ref="D56:O56" si="20">+D63*D53</f>
        <v>96.995942303418147</v>
      </c>
      <c r="E56" s="58">
        <f t="shared" si="20"/>
        <v>103.04100316886688</v>
      </c>
      <c r="F56" s="58">
        <f t="shared" si="20"/>
        <v>108.99538812133387</v>
      </c>
      <c r="G56" s="58">
        <f t="shared" si="20"/>
        <v>114.86045729951385</v>
      </c>
      <c r="H56" s="58">
        <f t="shared" si="20"/>
        <v>120.63755044002116</v>
      </c>
      <c r="I56" s="58">
        <f t="shared" si="20"/>
        <v>126.32798718342083</v>
      </c>
      <c r="J56" s="58">
        <f t="shared" si="20"/>
        <v>131.93306737566951</v>
      </c>
      <c r="K56" s="58">
        <f t="shared" si="20"/>
        <v>137.45407136503448</v>
      </c>
      <c r="L56" s="58">
        <f t="shared" si="20"/>
        <v>142.89226029455895</v>
      </c>
      <c r="M56" s="58">
        <f t="shared" si="20"/>
        <v>148.24887639014057</v>
      </c>
      <c r="N56" s="58">
        <f t="shared" si="20"/>
        <v>153.5251432442885</v>
      </c>
      <c r="O56" s="58">
        <f t="shared" si="20"/>
        <v>158.72226609562418</v>
      </c>
    </row>
    <row r="57" spans="2:27" ht="14.4" outlineLevel="2" x14ac:dyDescent="0.65">
      <c r="B57" s="59" t="s">
        <v>19</v>
      </c>
      <c r="C57" s="60"/>
      <c r="D57" s="61">
        <f t="shared" ref="D57:O57" si="21">SUM(D53:D56)</f>
        <v>20608.200633773376</v>
      </c>
      <c r="E57" s="61">
        <f t="shared" si="21"/>
        <v>21799.077624266774</v>
      </c>
      <c r="F57" s="61">
        <f t="shared" si="21"/>
        <v>22972.091459902771</v>
      </c>
      <c r="G57" s="61">
        <f t="shared" si="21"/>
        <v>24127.51008800423</v>
      </c>
      <c r="H57" s="61">
        <f t="shared" si="21"/>
        <v>25265.597436684166</v>
      </c>
      <c r="I57" s="61">
        <f t="shared" si="21"/>
        <v>26386.613475133901</v>
      </c>
      <c r="J57" s="61">
        <f t="shared" si="21"/>
        <v>27490.814273006894</v>
      </c>
      <c r="K57" s="61">
        <f t="shared" si="21"/>
        <v>28578.452058911789</v>
      </c>
      <c r="L57" s="61">
        <f t="shared" si="21"/>
        <v>29649.775278028115</v>
      </c>
      <c r="M57" s="61">
        <f t="shared" si="21"/>
        <v>30705.028648857697</v>
      </c>
      <c r="N57" s="61">
        <f t="shared" si="21"/>
        <v>31744.453219124833</v>
      </c>
      <c r="O57" s="61">
        <f t="shared" si="21"/>
        <v>32768.286420837954</v>
      </c>
    </row>
    <row r="58" spans="2:27" ht="14.4" outlineLevel="2" x14ac:dyDescent="0.65">
      <c r="B58" s="62" t="s">
        <v>20</v>
      </c>
      <c r="E58" s="63">
        <f t="shared" ref="E58:O58" si="22">E57/D57-1</f>
        <v>5.7786558450996006E-2</v>
      </c>
      <c r="F58" s="63">
        <f t="shared" si="22"/>
        <v>5.3810250867229126E-2</v>
      </c>
      <c r="G58" s="63">
        <f t="shared" si="22"/>
        <v>5.0296623192459977E-2</v>
      </c>
      <c r="H58" s="63">
        <f t="shared" si="22"/>
        <v>4.7169697350816664E-2</v>
      </c>
      <c r="I58" s="63">
        <f t="shared" si="22"/>
        <v>4.436926699473509E-2</v>
      </c>
      <c r="J58" s="63">
        <f t="shared" si="22"/>
        <v>4.1847006964859768E-2</v>
      </c>
      <c r="K58" s="63">
        <f t="shared" si="22"/>
        <v>3.9563680257111988E-2</v>
      </c>
      <c r="L58" s="63">
        <f t="shared" si="22"/>
        <v>3.7487097513465573E-2</v>
      </c>
      <c r="M58" s="63">
        <f t="shared" si="22"/>
        <v>3.5590602658347015E-2</v>
      </c>
      <c r="N58" s="63">
        <f t="shared" si="22"/>
        <v>3.3851932924537698E-2</v>
      </c>
      <c r="O58" s="63">
        <f t="shared" si="22"/>
        <v>3.225234955681322E-2</v>
      </c>
    </row>
    <row r="59" spans="2:27" ht="14.4" outlineLevel="2" x14ac:dyDescent="0.65"/>
    <row r="60" spans="2:27" ht="14.4" outlineLevel="2" x14ac:dyDescent="0.65">
      <c r="B60" s="51" t="s">
        <v>21</v>
      </c>
      <c r="D60" s="58">
        <f t="shared" ref="D60:O60" si="23">+D57/D51</f>
        <v>113.6730235264575</v>
      </c>
      <c r="E60" s="58">
        <f t="shared" si="23"/>
        <v>114.21808510846952</v>
      </c>
      <c r="F60" s="58">
        <f t="shared" si="23"/>
        <v>114.78629242120823</v>
      </c>
      <c r="G60" s="58">
        <f t="shared" si="23"/>
        <v>115.37343782472799</v>
      </c>
      <c r="H60" s="58">
        <f t="shared" si="23"/>
        <v>115.97619260228926</v>
      </c>
      <c r="I60" s="58">
        <f t="shared" si="23"/>
        <v>116.59188503751174</v>
      </c>
      <c r="J60" s="58">
        <f t="shared" si="23"/>
        <v>117.21834256360584</v>
      </c>
      <c r="K60" s="58">
        <f t="shared" si="23"/>
        <v>117.85377739663529</v>
      </c>
      <c r="L60" s="58">
        <f t="shared" si="23"/>
        <v>118.4967022934006</v>
      </c>
      <c r="M60" s="58">
        <f t="shared" si="23"/>
        <v>119.14586756792212</v>
      </c>
      <c r="N60" s="58">
        <f t="shared" si="23"/>
        <v>119.80021336223727</v>
      </c>
      <c r="O60" s="58">
        <f t="shared" si="23"/>
        <v>120.45883303009879</v>
      </c>
    </row>
    <row r="61" spans="2:27" ht="14.4" outlineLevel="2" x14ac:dyDescent="0.65"/>
    <row r="62" spans="2:27" ht="14.4" outlineLevel="2" x14ac:dyDescent="0.65">
      <c r="B62" s="52" t="s">
        <v>22</v>
      </c>
      <c r="D62" s="105">
        <v>0.02</v>
      </c>
      <c r="E62" s="105">
        <v>0.02</v>
      </c>
      <c r="F62" s="105">
        <v>0.02</v>
      </c>
      <c r="G62" s="105">
        <v>0.02</v>
      </c>
      <c r="H62" s="105">
        <v>0.02</v>
      </c>
      <c r="I62" s="105">
        <v>0.02</v>
      </c>
      <c r="J62" s="105">
        <v>0.02</v>
      </c>
      <c r="K62" s="105">
        <v>0.02</v>
      </c>
      <c r="L62" s="105">
        <v>0.02</v>
      </c>
      <c r="M62" s="105">
        <v>0.02</v>
      </c>
      <c r="N62" s="105">
        <v>0.02</v>
      </c>
      <c r="O62" s="105">
        <v>0.02</v>
      </c>
    </row>
    <row r="63" spans="2:27" ht="14.4" outlineLevel="2" x14ac:dyDescent="0.65">
      <c r="B63" s="52" t="s">
        <v>23</v>
      </c>
      <c r="D63" s="105">
        <v>5.0000000000000001E-3</v>
      </c>
      <c r="E63" s="105">
        <v>5.0000000000000001E-3</v>
      </c>
      <c r="F63" s="105">
        <v>5.0000000000000001E-3</v>
      </c>
      <c r="G63" s="105">
        <v>5.0000000000000001E-3</v>
      </c>
      <c r="H63" s="105">
        <v>5.0000000000000001E-3</v>
      </c>
      <c r="I63" s="105">
        <v>5.0000000000000001E-3</v>
      </c>
      <c r="J63" s="105">
        <v>5.0000000000000001E-3</v>
      </c>
      <c r="K63" s="105">
        <v>5.0000000000000001E-3</v>
      </c>
      <c r="L63" s="105">
        <v>5.0000000000000001E-3</v>
      </c>
      <c r="M63" s="105">
        <v>5.0000000000000001E-3</v>
      </c>
      <c r="N63" s="105">
        <v>5.0000000000000001E-3</v>
      </c>
      <c r="O63" s="105">
        <v>5.0000000000000001E-3</v>
      </c>
    </row>
    <row r="64" spans="2:27" ht="14.4" outlineLevel="2" x14ac:dyDescent="0.65">
      <c r="B64" s="64" t="s">
        <v>24</v>
      </c>
      <c r="C64" s="56"/>
      <c r="D64" s="65">
        <f t="shared" ref="D64:O64" si="24">+(-D55-D56)/D53</f>
        <v>1.5000000000000001E-2</v>
      </c>
      <c r="E64" s="65">
        <f t="shared" si="24"/>
        <v>1.4999999999999999E-2</v>
      </c>
      <c r="F64" s="65">
        <f t="shared" si="24"/>
        <v>1.5000000000000001E-2</v>
      </c>
      <c r="G64" s="65">
        <f t="shared" si="24"/>
        <v>1.4999999999999999E-2</v>
      </c>
      <c r="H64" s="65">
        <f t="shared" si="24"/>
        <v>1.4999999999999999E-2</v>
      </c>
      <c r="I64" s="65">
        <f t="shared" si="24"/>
        <v>1.5000000000000001E-2</v>
      </c>
      <c r="J64" s="65">
        <f t="shared" si="24"/>
        <v>1.4999999999999999E-2</v>
      </c>
      <c r="K64" s="65">
        <f t="shared" si="24"/>
        <v>1.5000000000000003E-2</v>
      </c>
      <c r="L64" s="65">
        <f t="shared" si="24"/>
        <v>1.5000000000000001E-2</v>
      </c>
      <c r="M64" s="65">
        <f t="shared" si="24"/>
        <v>1.4999999999999998E-2</v>
      </c>
      <c r="N64" s="65">
        <f t="shared" si="24"/>
        <v>1.5000000000000001E-2</v>
      </c>
      <c r="O64" s="65">
        <f t="shared" si="24"/>
        <v>1.5000000000000003E-2</v>
      </c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15" ht="14.4" outlineLevel="2" x14ac:dyDescent="0.65"/>
    <row r="66" spans="1:15" ht="14.4" outlineLevel="2" x14ac:dyDescent="0.65">
      <c r="B66" s="51" t="s">
        <v>25</v>
      </c>
      <c r="D66" s="53">
        <f t="shared" ref="D66:O66" si="25">D54*$C$17</f>
        <v>18000</v>
      </c>
      <c r="E66" s="53">
        <f t="shared" si="25"/>
        <v>18000</v>
      </c>
      <c r="F66" s="53">
        <f t="shared" si="25"/>
        <v>18000</v>
      </c>
      <c r="G66" s="53">
        <f t="shared" si="25"/>
        <v>18000</v>
      </c>
      <c r="H66" s="53">
        <f t="shared" si="25"/>
        <v>18000</v>
      </c>
      <c r="I66" s="53">
        <f t="shared" si="25"/>
        <v>18000</v>
      </c>
      <c r="J66" s="53">
        <f t="shared" si="25"/>
        <v>18000</v>
      </c>
      <c r="K66" s="53">
        <f t="shared" si="25"/>
        <v>18000</v>
      </c>
      <c r="L66" s="53">
        <f t="shared" si="25"/>
        <v>18000</v>
      </c>
      <c r="M66" s="53">
        <f t="shared" si="25"/>
        <v>18000</v>
      </c>
      <c r="N66" s="53">
        <f t="shared" si="25"/>
        <v>18000</v>
      </c>
      <c r="O66" s="53">
        <f t="shared" si="25"/>
        <v>18000</v>
      </c>
    </row>
    <row r="67" spans="1:15" ht="14.4" outlineLevel="2" x14ac:dyDescent="0.65"/>
    <row r="68" spans="1:15" ht="14.4" outlineLevel="2" x14ac:dyDescent="0.65">
      <c r="B68" s="56" t="s">
        <v>28</v>
      </c>
      <c r="C68" s="56"/>
      <c r="D68" s="66">
        <f>SUM(D57:O57)</f>
        <v>322095.90061653254</v>
      </c>
    </row>
    <row r="69" spans="1:15" ht="14.4" outlineLevel="2" x14ac:dyDescent="0.65">
      <c r="B69" s="56" t="s">
        <v>29</v>
      </c>
      <c r="D69" s="66">
        <f>SUM(D66:O66)</f>
        <v>216000</v>
      </c>
    </row>
    <row r="70" spans="1:15" ht="14.4" outlineLevel="1" x14ac:dyDescent="0.65"/>
    <row r="71" spans="1:15" ht="14.4" outlineLevel="1" x14ac:dyDescent="0.65">
      <c r="A71" s="51" t="s">
        <v>178</v>
      </c>
      <c r="B71" s="90">
        <f>B46+1</f>
        <v>2019</v>
      </c>
      <c r="C71" s="91"/>
      <c r="D71" s="106">
        <f>EDATE(D46,12)</f>
        <v>43466</v>
      </c>
      <c r="E71" s="106">
        <f t="shared" ref="E71:O71" si="26">EDATE(E46,12)</f>
        <v>43497</v>
      </c>
      <c r="F71" s="106">
        <f t="shared" si="26"/>
        <v>43525</v>
      </c>
      <c r="G71" s="106">
        <f t="shared" si="26"/>
        <v>43556</v>
      </c>
      <c r="H71" s="106">
        <f t="shared" si="26"/>
        <v>43586</v>
      </c>
      <c r="I71" s="106">
        <f t="shared" si="26"/>
        <v>43617</v>
      </c>
      <c r="J71" s="106">
        <f t="shared" si="26"/>
        <v>43647</v>
      </c>
      <c r="K71" s="106">
        <f t="shared" si="26"/>
        <v>43678</v>
      </c>
      <c r="L71" s="106">
        <f t="shared" si="26"/>
        <v>43709</v>
      </c>
      <c r="M71" s="106">
        <f t="shared" si="26"/>
        <v>43739</v>
      </c>
      <c r="N71" s="106">
        <f t="shared" si="26"/>
        <v>43770</v>
      </c>
      <c r="O71" s="106">
        <f t="shared" si="26"/>
        <v>43800</v>
      </c>
    </row>
    <row r="72" spans="1:15" ht="14.4" outlineLevel="2" x14ac:dyDescent="0.65">
      <c r="B72" s="56" t="s">
        <v>10</v>
      </c>
    </row>
    <row r="73" spans="1:15" ht="14.4" outlineLevel="2" x14ac:dyDescent="0.65">
      <c r="B73" s="51" t="s">
        <v>11</v>
      </c>
      <c r="D73" s="58">
        <f>O51</f>
        <v>272.02892138802486</v>
      </c>
      <c r="E73" s="53">
        <f t="shared" ref="E73:O73" si="27">D76</f>
        <v>283.86805374638413</v>
      </c>
      <c r="F73" s="53">
        <f t="shared" si="27"/>
        <v>295.35201213399262</v>
      </c>
      <c r="G73" s="53">
        <f t="shared" si="27"/>
        <v>306.49145176997285</v>
      </c>
      <c r="H73" s="53">
        <f t="shared" si="27"/>
        <v>317.2967082168737</v>
      </c>
      <c r="I73" s="53">
        <f t="shared" si="27"/>
        <v>327.77780697036746</v>
      </c>
      <c r="J73" s="53">
        <f t="shared" si="27"/>
        <v>337.94447276125646</v>
      </c>
      <c r="K73" s="53">
        <f t="shared" si="27"/>
        <v>347.80613857841877</v>
      </c>
      <c r="L73" s="53">
        <f t="shared" si="27"/>
        <v>357.37195442106622</v>
      </c>
      <c r="M73" s="53">
        <f t="shared" si="27"/>
        <v>366.65079578843421</v>
      </c>
      <c r="N73" s="53">
        <f t="shared" si="27"/>
        <v>375.6512719147812</v>
      </c>
      <c r="O73" s="53">
        <f t="shared" si="27"/>
        <v>384.38173375733777</v>
      </c>
    </row>
    <row r="74" spans="1:15" ht="14.4" outlineLevel="2" x14ac:dyDescent="0.65">
      <c r="B74" s="51" t="s">
        <v>12</v>
      </c>
      <c r="D74" s="104">
        <v>20</v>
      </c>
      <c r="E74" s="104">
        <v>20</v>
      </c>
      <c r="F74" s="104">
        <v>20</v>
      </c>
      <c r="G74" s="104">
        <v>20</v>
      </c>
      <c r="H74" s="104">
        <v>20</v>
      </c>
      <c r="I74" s="104">
        <v>20</v>
      </c>
      <c r="J74" s="104">
        <v>20</v>
      </c>
      <c r="K74" s="104">
        <v>20</v>
      </c>
      <c r="L74" s="104">
        <v>20</v>
      </c>
      <c r="M74" s="104">
        <v>20</v>
      </c>
      <c r="N74" s="104">
        <v>20</v>
      </c>
      <c r="O74" s="104">
        <v>20</v>
      </c>
    </row>
    <row r="75" spans="1:15" ht="14.4" outlineLevel="2" x14ac:dyDescent="0.65">
      <c r="B75" s="51" t="s">
        <v>13</v>
      </c>
      <c r="D75" s="58">
        <f t="shared" ref="D75:O75" si="28">-$C$16*D73</f>
        <v>-8.1608676416407455</v>
      </c>
      <c r="E75" s="58">
        <f t="shared" si="28"/>
        <v>-8.5160416123915237</v>
      </c>
      <c r="F75" s="58">
        <f t="shared" si="28"/>
        <v>-8.8605603640197774</v>
      </c>
      <c r="G75" s="58">
        <f t="shared" si="28"/>
        <v>-9.194743553099185</v>
      </c>
      <c r="H75" s="58">
        <f t="shared" si="28"/>
        <v>-9.5189012465062106</v>
      </c>
      <c r="I75" s="58">
        <f t="shared" si="28"/>
        <v>-9.8333342091110243</v>
      </c>
      <c r="J75" s="58">
        <f t="shared" si="28"/>
        <v>-10.138334182837694</v>
      </c>
      <c r="K75" s="58">
        <f t="shared" si="28"/>
        <v>-10.434184157352563</v>
      </c>
      <c r="L75" s="58">
        <f t="shared" si="28"/>
        <v>-10.721158632631987</v>
      </c>
      <c r="M75" s="58">
        <f t="shared" si="28"/>
        <v>-10.999523873653025</v>
      </c>
      <c r="N75" s="58">
        <f t="shared" si="28"/>
        <v>-11.269538157443435</v>
      </c>
      <c r="O75" s="58">
        <f t="shared" si="28"/>
        <v>-11.531452012720132</v>
      </c>
    </row>
    <row r="76" spans="1:15" ht="14.4" outlineLevel="2" x14ac:dyDescent="0.65">
      <c r="B76" s="59" t="s">
        <v>14</v>
      </c>
      <c r="C76" s="60"/>
      <c r="D76" s="61">
        <f t="shared" ref="D76:O76" si="29">SUM(D73:D75)</f>
        <v>283.86805374638413</v>
      </c>
      <c r="E76" s="61">
        <f t="shared" si="29"/>
        <v>295.35201213399262</v>
      </c>
      <c r="F76" s="61">
        <f t="shared" si="29"/>
        <v>306.49145176997285</v>
      </c>
      <c r="G76" s="61">
        <f t="shared" si="29"/>
        <v>317.2967082168737</v>
      </c>
      <c r="H76" s="61">
        <f t="shared" si="29"/>
        <v>327.77780697036746</v>
      </c>
      <c r="I76" s="61">
        <f t="shared" si="29"/>
        <v>337.94447276125646</v>
      </c>
      <c r="J76" s="61">
        <f t="shared" si="29"/>
        <v>347.80613857841877</v>
      </c>
      <c r="K76" s="61">
        <f t="shared" si="29"/>
        <v>357.37195442106622</v>
      </c>
      <c r="L76" s="61">
        <f t="shared" si="29"/>
        <v>366.65079578843421</v>
      </c>
      <c r="M76" s="61">
        <f t="shared" si="29"/>
        <v>375.6512719147812</v>
      </c>
      <c r="N76" s="61">
        <f t="shared" si="29"/>
        <v>384.38173375733777</v>
      </c>
      <c r="O76" s="61">
        <f t="shared" si="29"/>
        <v>392.85028174461763</v>
      </c>
    </row>
    <row r="77" spans="1:15" ht="14.4" outlineLevel="2" x14ac:dyDescent="0.65"/>
    <row r="78" spans="1:15" ht="14.4" outlineLevel="2" x14ac:dyDescent="0.65">
      <c r="B78" s="51" t="s">
        <v>15</v>
      </c>
      <c r="D78" s="58">
        <f>O57</f>
        <v>32768.286420837954</v>
      </c>
      <c r="E78" s="53">
        <f t="shared" ref="E78:O78" si="30">D82</f>
        <v>34276.76212452539</v>
      </c>
      <c r="F78" s="53">
        <f t="shared" si="30"/>
        <v>35762.610692657508</v>
      </c>
      <c r="G78" s="53">
        <f t="shared" si="30"/>
        <v>37226.171532267646</v>
      </c>
      <c r="H78" s="53">
        <f t="shared" si="30"/>
        <v>38667.778959283634</v>
      </c>
      <c r="I78" s="53">
        <f t="shared" si="30"/>
        <v>40087.762274894383</v>
      </c>
      <c r="J78" s="53">
        <f t="shared" si="30"/>
        <v>41486.445840770968</v>
      </c>
      <c r="K78" s="53">
        <f t="shared" si="30"/>
        <v>42864.149153159407</v>
      </c>
      <c r="L78" s="53">
        <f t="shared" si="30"/>
        <v>44221.186915862017</v>
      </c>
      <c r="M78" s="53">
        <f t="shared" si="30"/>
        <v>45557.869112124092</v>
      </c>
      <c r="N78" s="53">
        <f t="shared" si="30"/>
        <v>46874.501075442226</v>
      </c>
      <c r="O78" s="53">
        <f t="shared" si="30"/>
        <v>48171.383559310598</v>
      </c>
    </row>
    <row r="79" spans="1:15" ht="14.4" outlineLevel="2" x14ac:dyDescent="0.65">
      <c r="B79" s="51" t="s">
        <v>16</v>
      </c>
      <c r="D79" s="53">
        <f t="shared" ref="D79:O79" si="31">D74*$C$19</f>
        <v>2000</v>
      </c>
      <c r="E79" s="53">
        <f t="shared" si="31"/>
        <v>2000</v>
      </c>
      <c r="F79" s="53">
        <f t="shared" si="31"/>
        <v>2000</v>
      </c>
      <c r="G79" s="53">
        <f t="shared" si="31"/>
        <v>2000</v>
      </c>
      <c r="H79" s="53">
        <f t="shared" si="31"/>
        <v>2000</v>
      </c>
      <c r="I79" s="53">
        <f t="shared" si="31"/>
        <v>2000</v>
      </c>
      <c r="J79" s="53">
        <f t="shared" si="31"/>
        <v>2000</v>
      </c>
      <c r="K79" s="53">
        <f t="shared" si="31"/>
        <v>2000</v>
      </c>
      <c r="L79" s="53">
        <f t="shared" si="31"/>
        <v>2000</v>
      </c>
      <c r="M79" s="53">
        <f t="shared" si="31"/>
        <v>2000</v>
      </c>
      <c r="N79" s="53">
        <f t="shared" si="31"/>
        <v>2000</v>
      </c>
      <c r="O79" s="53">
        <f t="shared" si="31"/>
        <v>2000</v>
      </c>
    </row>
    <row r="80" spans="1:15" ht="14.4" outlineLevel="2" x14ac:dyDescent="0.65">
      <c r="B80" s="51" t="s">
        <v>17</v>
      </c>
      <c r="D80" s="58">
        <f t="shared" ref="D80:O80" si="32">+-D87*D78</f>
        <v>-655.36572841675911</v>
      </c>
      <c r="E80" s="58">
        <f t="shared" si="32"/>
        <v>-685.53524249050781</v>
      </c>
      <c r="F80" s="58">
        <f t="shared" si="32"/>
        <v>-715.25221385315024</v>
      </c>
      <c r="G80" s="58">
        <f t="shared" si="32"/>
        <v>-744.52343064535296</v>
      </c>
      <c r="H80" s="58">
        <f t="shared" si="32"/>
        <v>-773.3555791856727</v>
      </c>
      <c r="I80" s="58">
        <f t="shared" si="32"/>
        <v>-801.7552454978877</v>
      </c>
      <c r="J80" s="58">
        <f t="shared" si="32"/>
        <v>-829.72891681541932</v>
      </c>
      <c r="K80" s="58">
        <f t="shared" si="32"/>
        <v>-857.28298306318811</v>
      </c>
      <c r="L80" s="58">
        <f t="shared" si="32"/>
        <v>-884.42373831724035</v>
      </c>
      <c r="M80" s="58">
        <f t="shared" si="32"/>
        <v>-911.15738224248184</v>
      </c>
      <c r="N80" s="58">
        <f t="shared" si="32"/>
        <v>-937.49002150884451</v>
      </c>
      <c r="O80" s="58">
        <f t="shared" si="32"/>
        <v>-963.42767118621202</v>
      </c>
    </row>
    <row r="81" spans="1:27" ht="14.4" outlineLevel="2" x14ac:dyDescent="0.65">
      <c r="B81" s="51" t="s">
        <v>18</v>
      </c>
      <c r="D81" s="58">
        <f t="shared" ref="D81:O81" si="33">+D88*D78</f>
        <v>163.84143210418978</v>
      </c>
      <c r="E81" s="58">
        <f t="shared" si="33"/>
        <v>171.38381062262695</v>
      </c>
      <c r="F81" s="58">
        <f t="shared" si="33"/>
        <v>178.81305346328756</v>
      </c>
      <c r="G81" s="58">
        <f t="shared" si="33"/>
        <v>186.13085766133824</v>
      </c>
      <c r="H81" s="58">
        <f t="shared" si="33"/>
        <v>193.33889479641817</v>
      </c>
      <c r="I81" s="58">
        <f t="shared" si="33"/>
        <v>200.43881137447192</v>
      </c>
      <c r="J81" s="58">
        <f t="shared" si="33"/>
        <v>207.43222920385483</v>
      </c>
      <c r="K81" s="58">
        <f t="shared" si="33"/>
        <v>214.32074576579703</v>
      </c>
      <c r="L81" s="58">
        <f t="shared" si="33"/>
        <v>221.10593457931009</v>
      </c>
      <c r="M81" s="58">
        <f t="shared" si="33"/>
        <v>227.78934556062046</v>
      </c>
      <c r="N81" s="58">
        <f t="shared" si="33"/>
        <v>234.37250537721113</v>
      </c>
      <c r="O81" s="58">
        <f t="shared" si="33"/>
        <v>240.85691779655301</v>
      </c>
    </row>
    <row r="82" spans="1:27" ht="14.4" outlineLevel="2" x14ac:dyDescent="0.65">
      <c r="B82" s="59" t="s">
        <v>19</v>
      </c>
      <c r="C82" s="60"/>
      <c r="D82" s="61">
        <f t="shared" ref="D82:O82" si="34">SUM(D78:D81)</f>
        <v>34276.76212452539</v>
      </c>
      <c r="E82" s="61">
        <f t="shared" si="34"/>
        <v>35762.610692657508</v>
      </c>
      <c r="F82" s="61">
        <f t="shared" si="34"/>
        <v>37226.171532267646</v>
      </c>
      <c r="G82" s="61">
        <f t="shared" si="34"/>
        <v>38667.778959283634</v>
      </c>
      <c r="H82" s="61">
        <f t="shared" si="34"/>
        <v>40087.762274894383</v>
      </c>
      <c r="I82" s="61">
        <f t="shared" si="34"/>
        <v>41486.445840770968</v>
      </c>
      <c r="J82" s="61">
        <f t="shared" si="34"/>
        <v>42864.149153159407</v>
      </c>
      <c r="K82" s="61">
        <f t="shared" si="34"/>
        <v>44221.186915862017</v>
      </c>
      <c r="L82" s="61">
        <f t="shared" si="34"/>
        <v>45557.869112124092</v>
      </c>
      <c r="M82" s="61">
        <f t="shared" si="34"/>
        <v>46874.501075442226</v>
      </c>
      <c r="N82" s="61">
        <f t="shared" si="34"/>
        <v>48171.383559310598</v>
      </c>
      <c r="O82" s="61">
        <f t="shared" si="34"/>
        <v>49448.812805920941</v>
      </c>
    </row>
    <row r="83" spans="1:27" ht="14.4" outlineLevel="2" x14ac:dyDescent="0.65">
      <c r="B83" s="62" t="s">
        <v>20</v>
      </c>
      <c r="E83" s="63">
        <f t="shared" ref="E83:O83" si="35">E82/D82-1</f>
        <v>4.3348568418864142E-2</v>
      </c>
      <c r="F83" s="63">
        <f t="shared" si="35"/>
        <v>4.0924328824534673E-2</v>
      </c>
      <c r="G83" s="63">
        <f t="shared" si="35"/>
        <v>3.8725642946291217E-2</v>
      </c>
      <c r="H83" s="63">
        <f t="shared" si="35"/>
        <v>3.6722650067539719E-2</v>
      </c>
      <c r="I83" s="63">
        <f t="shared" si="35"/>
        <v>3.4890537323719162E-2</v>
      </c>
      <c r="J83" s="63">
        <f t="shared" si="35"/>
        <v>3.3208516286890477E-2</v>
      </c>
      <c r="K83" s="63">
        <f t="shared" si="35"/>
        <v>3.1659038835781583E-2</v>
      </c>
      <c r="L83" s="63">
        <f t="shared" si="35"/>
        <v>3.02271894873678E-2</v>
      </c>
      <c r="M83" s="63">
        <f t="shared" si="35"/>
        <v>2.8900209535211774E-2</v>
      </c>
      <c r="N83" s="63">
        <f t="shared" si="35"/>
        <v>2.7667120803720247E-2</v>
      </c>
      <c r="O83" s="63">
        <f t="shared" si="35"/>
        <v>2.6518425509566734E-2</v>
      </c>
    </row>
    <row r="84" spans="1:27" ht="14.4" outlineLevel="2" x14ac:dyDescent="0.65"/>
    <row r="85" spans="1:27" ht="14.4" outlineLevel="2" x14ac:dyDescent="0.65">
      <c r="B85" s="51" t="s">
        <v>21</v>
      </c>
      <c r="D85" s="58">
        <f t="shared" ref="D85:O85" si="36">+D82/D76</f>
        <v>120.74892427010907</v>
      </c>
      <c r="E85" s="58">
        <f t="shared" si="36"/>
        <v>121.08470307773983</v>
      </c>
      <c r="F85" s="58">
        <f t="shared" si="36"/>
        <v>121.45908578294227</v>
      </c>
      <c r="G85" s="58">
        <f t="shared" si="36"/>
        <v>121.86630985422653</v>
      </c>
      <c r="H85" s="58">
        <f t="shared" si="36"/>
        <v>122.30163672587659</v>
      </c>
      <c r="I85" s="58">
        <f t="shared" si="36"/>
        <v>122.76113144208574</v>
      </c>
      <c r="J85" s="58">
        <f t="shared" si="36"/>
        <v>123.24149691077106</v>
      </c>
      <c r="K85" s="58">
        <f t="shared" si="36"/>
        <v>123.73994760584739</v>
      </c>
      <c r="L85" s="58">
        <f t="shared" si="36"/>
        <v>124.25411218365939</v>
      </c>
      <c r="M85" s="58">
        <f t="shared" si="36"/>
        <v>124.78195757600415</v>
      </c>
      <c r="N85" s="58">
        <f t="shared" si="36"/>
        <v>125.32172923108112</v>
      </c>
      <c r="O85" s="58">
        <f t="shared" si="36"/>
        <v>125.87190363291226</v>
      </c>
    </row>
    <row r="86" spans="1:27" ht="14.4" outlineLevel="2" x14ac:dyDescent="0.65"/>
    <row r="87" spans="1:27" ht="14.4" outlineLevel="2" x14ac:dyDescent="0.65">
      <c r="B87" s="52" t="s">
        <v>22</v>
      </c>
      <c r="D87" s="105">
        <v>0.02</v>
      </c>
      <c r="E87" s="105">
        <v>0.02</v>
      </c>
      <c r="F87" s="105">
        <v>0.02</v>
      </c>
      <c r="G87" s="105">
        <v>0.02</v>
      </c>
      <c r="H87" s="105">
        <v>0.02</v>
      </c>
      <c r="I87" s="105">
        <v>0.02</v>
      </c>
      <c r="J87" s="105">
        <v>0.02</v>
      </c>
      <c r="K87" s="105">
        <v>0.02</v>
      </c>
      <c r="L87" s="105">
        <v>0.02</v>
      </c>
      <c r="M87" s="105">
        <v>0.02</v>
      </c>
      <c r="N87" s="105">
        <v>0.02</v>
      </c>
      <c r="O87" s="105">
        <v>0.02</v>
      </c>
    </row>
    <row r="88" spans="1:27" ht="14.4" outlineLevel="2" x14ac:dyDescent="0.65">
      <c r="B88" s="52" t="s">
        <v>23</v>
      </c>
      <c r="D88" s="105">
        <v>5.0000000000000001E-3</v>
      </c>
      <c r="E88" s="105">
        <v>5.0000000000000001E-3</v>
      </c>
      <c r="F88" s="105">
        <v>5.0000000000000001E-3</v>
      </c>
      <c r="G88" s="105">
        <v>5.0000000000000001E-3</v>
      </c>
      <c r="H88" s="105">
        <v>5.0000000000000001E-3</v>
      </c>
      <c r="I88" s="105">
        <v>5.0000000000000001E-3</v>
      </c>
      <c r="J88" s="105">
        <v>5.0000000000000001E-3</v>
      </c>
      <c r="K88" s="105">
        <v>5.0000000000000001E-3</v>
      </c>
      <c r="L88" s="105">
        <v>5.0000000000000001E-3</v>
      </c>
      <c r="M88" s="105">
        <v>5.0000000000000001E-3</v>
      </c>
      <c r="N88" s="105">
        <v>5.0000000000000001E-3</v>
      </c>
      <c r="O88" s="105">
        <v>5.0000000000000001E-3</v>
      </c>
    </row>
    <row r="89" spans="1:27" ht="14.4" outlineLevel="2" x14ac:dyDescent="0.65">
      <c r="B89" s="64" t="s">
        <v>24</v>
      </c>
      <c r="C89" s="56"/>
      <c r="D89" s="65">
        <f t="shared" ref="D89:O89" si="37">+(-D80-D81)/D78</f>
        <v>1.5000000000000001E-2</v>
      </c>
      <c r="E89" s="65">
        <f t="shared" si="37"/>
        <v>1.5000000000000001E-2</v>
      </c>
      <c r="F89" s="65">
        <f t="shared" si="37"/>
        <v>1.5000000000000001E-2</v>
      </c>
      <c r="G89" s="65">
        <f t="shared" si="37"/>
        <v>1.4999999999999999E-2</v>
      </c>
      <c r="H89" s="65">
        <f t="shared" si="37"/>
        <v>1.5000000000000001E-2</v>
      </c>
      <c r="I89" s="65">
        <f t="shared" si="37"/>
        <v>1.5000000000000001E-2</v>
      </c>
      <c r="J89" s="65">
        <f t="shared" si="37"/>
        <v>1.4999999999999999E-2</v>
      </c>
      <c r="K89" s="65">
        <f t="shared" si="37"/>
        <v>1.4999999999999999E-2</v>
      </c>
      <c r="L89" s="65">
        <f t="shared" si="37"/>
        <v>1.4999999999999999E-2</v>
      </c>
      <c r="M89" s="65">
        <f t="shared" si="37"/>
        <v>1.5000000000000001E-2</v>
      </c>
      <c r="N89" s="65">
        <f t="shared" si="37"/>
        <v>1.4999999999999999E-2</v>
      </c>
      <c r="O89" s="65">
        <f t="shared" si="37"/>
        <v>1.5000000000000001E-2</v>
      </c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spans="1:27" ht="14.4" outlineLevel="2" x14ac:dyDescent="0.65"/>
    <row r="91" spans="1:27" ht="14.4" outlineLevel="2" x14ac:dyDescent="0.65">
      <c r="B91" s="51" t="s">
        <v>25</v>
      </c>
      <c r="D91" s="53">
        <f t="shared" ref="D91:K91" si="38">D79*$C$17</f>
        <v>24000</v>
      </c>
      <c r="E91" s="53">
        <f t="shared" si="38"/>
        <v>24000</v>
      </c>
      <c r="F91" s="53">
        <f t="shared" si="38"/>
        <v>24000</v>
      </c>
      <c r="G91" s="53">
        <f t="shared" si="38"/>
        <v>24000</v>
      </c>
      <c r="H91" s="53">
        <f t="shared" si="38"/>
        <v>24000</v>
      </c>
      <c r="I91" s="53">
        <f t="shared" si="38"/>
        <v>24000</v>
      </c>
      <c r="J91" s="53">
        <f t="shared" si="38"/>
        <v>24000</v>
      </c>
      <c r="K91" s="53">
        <f t="shared" si="38"/>
        <v>24000</v>
      </c>
      <c r="L91" s="53">
        <f t="shared" ref="L91:O91" si="39">L79*$C$17+($C$17*$C$18*D29)</f>
        <v>35400</v>
      </c>
      <c r="M91" s="53">
        <f t="shared" si="39"/>
        <v>35400</v>
      </c>
      <c r="N91" s="53">
        <f t="shared" si="39"/>
        <v>35400</v>
      </c>
      <c r="O91" s="53">
        <f t="shared" si="39"/>
        <v>35400</v>
      </c>
    </row>
    <row r="92" spans="1:27" ht="14.4" outlineLevel="2" x14ac:dyDescent="0.65"/>
    <row r="93" spans="1:27" ht="14.4" outlineLevel="2" x14ac:dyDescent="0.65">
      <c r="B93" s="56" t="s">
        <v>30</v>
      </c>
      <c r="C93" s="56"/>
      <c r="D93" s="66">
        <f>SUM(D82:O82)</f>
        <v>504645.43404621881</v>
      </c>
    </row>
    <row r="94" spans="1:27" ht="14.4" outlineLevel="2" x14ac:dyDescent="0.65">
      <c r="B94" s="56" t="s">
        <v>31</v>
      </c>
      <c r="D94" s="66">
        <f>SUM(D91:O91)</f>
        <v>333600</v>
      </c>
    </row>
    <row r="95" spans="1:27" ht="14.4" outlineLevel="1" x14ac:dyDescent="0.65"/>
    <row r="96" spans="1:27" ht="14.4" outlineLevel="1" x14ac:dyDescent="0.65">
      <c r="A96" s="51" t="s">
        <v>178</v>
      </c>
      <c r="B96" s="90">
        <f>B71+1</f>
        <v>2020</v>
      </c>
      <c r="C96" s="91"/>
      <c r="D96" s="106">
        <f>EDATE(D71,12)</f>
        <v>43831</v>
      </c>
      <c r="E96" s="106">
        <f t="shared" ref="E96:O96" si="40">EDATE(E71,12)</f>
        <v>43862</v>
      </c>
      <c r="F96" s="106">
        <f t="shared" si="40"/>
        <v>43891</v>
      </c>
      <c r="G96" s="106">
        <f t="shared" si="40"/>
        <v>43922</v>
      </c>
      <c r="H96" s="106">
        <f t="shared" si="40"/>
        <v>43952</v>
      </c>
      <c r="I96" s="106">
        <f t="shared" si="40"/>
        <v>43983</v>
      </c>
      <c r="J96" s="106">
        <f t="shared" si="40"/>
        <v>44013</v>
      </c>
      <c r="K96" s="106">
        <f t="shared" si="40"/>
        <v>44044</v>
      </c>
      <c r="L96" s="106">
        <f t="shared" si="40"/>
        <v>44075</v>
      </c>
      <c r="M96" s="106">
        <f t="shared" si="40"/>
        <v>44105</v>
      </c>
      <c r="N96" s="106">
        <f t="shared" si="40"/>
        <v>44136</v>
      </c>
      <c r="O96" s="106">
        <f t="shared" si="40"/>
        <v>44166</v>
      </c>
    </row>
    <row r="97" spans="2:15" ht="14.4" outlineLevel="2" x14ac:dyDescent="0.65">
      <c r="B97" s="56" t="s">
        <v>10</v>
      </c>
    </row>
    <row r="98" spans="2:15" ht="14.4" outlineLevel="2" x14ac:dyDescent="0.65">
      <c r="B98" s="51" t="s">
        <v>11</v>
      </c>
      <c r="D98" s="58">
        <f>O76</f>
        <v>392.85028174461763</v>
      </c>
      <c r="E98" s="53">
        <f t="shared" ref="E98:O98" si="41">D101</f>
        <v>406.06477329227909</v>
      </c>
      <c r="F98" s="53">
        <f t="shared" si="41"/>
        <v>418.88283009351073</v>
      </c>
      <c r="G98" s="53">
        <f t="shared" si="41"/>
        <v>431.31634519070542</v>
      </c>
      <c r="H98" s="53">
        <f t="shared" si="41"/>
        <v>443.37685483498427</v>
      </c>
      <c r="I98" s="53">
        <f t="shared" si="41"/>
        <v>455.07554918993475</v>
      </c>
      <c r="J98" s="53">
        <f t="shared" si="41"/>
        <v>466.42328271423673</v>
      </c>
      <c r="K98" s="53">
        <f t="shared" si="41"/>
        <v>477.43058423280962</v>
      </c>
      <c r="L98" s="53">
        <f t="shared" si="41"/>
        <v>488.10766670582535</v>
      </c>
      <c r="M98" s="53">
        <f t="shared" si="41"/>
        <v>498.46443670465055</v>
      </c>
      <c r="N98" s="53">
        <f t="shared" si="41"/>
        <v>508.51050360351104</v>
      </c>
      <c r="O98" s="53">
        <f t="shared" si="41"/>
        <v>518.25518849540572</v>
      </c>
    </row>
    <row r="99" spans="2:15" ht="14.4" outlineLevel="2" x14ac:dyDescent="0.65">
      <c r="B99" s="51" t="s">
        <v>12</v>
      </c>
      <c r="D99" s="104">
        <v>25</v>
      </c>
      <c r="E99" s="104">
        <v>25</v>
      </c>
      <c r="F99" s="104">
        <v>25</v>
      </c>
      <c r="G99" s="104">
        <v>25</v>
      </c>
      <c r="H99" s="104">
        <v>25</v>
      </c>
      <c r="I99" s="104">
        <v>25</v>
      </c>
      <c r="J99" s="104">
        <v>25</v>
      </c>
      <c r="K99" s="104">
        <v>25</v>
      </c>
      <c r="L99" s="104">
        <v>25</v>
      </c>
      <c r="M99" s="104">
        <v>25</v>
      </c>
      <c r="N99" s="104">
        <v>25</v>
      </c>
      <c r="O99" s="104">
        <v>25</v>
      </c>
    </row>
    <row r="100" spans="2:15" ht="14.4" outlineLevel="2" x14ac:dyDescent="0.65">
      <c r="B100" s="51" t="s">
        <v>13</v>
      </c>
      <c r="D100" s="58">
        <f t="shared" ref="D100:O100" si="42">-$C$16*D98</f>
        <v>-11.785508452338529</v>
      </c>
      <c r="E100" s="58">
        <f t="shared" si="42"/>
        <v>-12.181943198768373</v>
      </c>
      <c r="F100" s="58">
        <f t="shared" si="42"/>
        <v>-12.566484902805321</v>
      </c>
      <c r="G100" s="58">
        <f t="shared" si="42"/>
        <v>-12.939490355721162</v>
      </c>
      <c r="H100" s="58">
        <f t="shared" si="42"/>
        <v>-13.301305645049528</v>
      </c>
      <c r="I100" s="58">
        <f t="shared" si="42"/>
        <v>-13.652266475698042</v>
      </c>
      <c r="J100" s="58">
        <f t="shared" si="42"/>
        <v>-13.992698481427102</v>
      </c>
      <c r="K100" s="58">
        <f t="shared" si="42"/>
        <v>-14.322917526984288</v>
      </c>
      <c r="L100" s="58">
        <f t="shared" si="42"/>
        <v>-14.643230001174761</v>
      </c>
      <c r="M100" s="58">
        <f t="shared" si="42"/>
        <v>-14.953933101139516</v>
      </c>
      <c r="N100" s="58">
        <f t="shared" si="42"/>
        <v>-15.25531510810533</v>
      </c>
      <c r="O100" s="58">
        <f t="shared" si="42"/>
        <v>-15.54765565486217</v>
      </c>
    </row>
    <row r="101" spans="2:15" ht="14.4" outlineLevel="2" x14ac:dyDescent="0.65">
      <c r="B101" s="59" t="s">
        <v>14</v>
      </c>
      <c r="C101" s="60"/>
      <c r="D101" s="61">
        <f t="shared" ref="D101:O101" si="43">SUM(D98:D100)</f>
        <v>406.06477329227909</v>
      </c>
      <c r="E101" s="61">
        <f t="shared" si="43"/>
        <v>418.88283009351073</v>
      </c>
      <c r="F101" s="61">
        <f t="shared" si="43"/>
        <v>431.31634519070542</v>
      </c>
      <c r="G101" s="61">
        <f t="shared" si="43"/>
        <v>443.37685483498427</v>
      </c>
      <c r="H101" s="61">
        <f t="shared" si="43"/>
        <v>455.07554918993475</v>
      </c>
      <c r="I101" s="61">
        <f t="shared" si="43"/>
        <v>466.42328271423673</v>
      </c>
      <c r="J101" s="61">
        <f t="shared" si="43"/>
        <v>477.43058423280962</v>
      </c>
      <c r="K101" s="61">
        <f t="shared" si="43"/>
        <v>488.10766670582535</v>
      </c>
      <c r="L101" s="61">
        <f t="shared" si="43"/>
        <v>498.46443670465055</v>
      </c>
      <c r="M101" s="61">
        <f t="shared" si="43"/>
        <v>508.51050360351104</v>
      </c>
      <c r="N101" s="61">
        <f t="shared" si="43"/>
        <v>518.25518849540572</v>
      </c>
      <c r="O101" s="61">
        <f t="shared" si="43"/>
        <v>527.70753284054354</v>
      </c>
    </row>
    <row r="102" spans="2:15" ht="14.4" outlineLevel="2" x14ac:dyDescent="0.65"/>
    <row r="103" spans="2:15" ht="14.4" outlineLevel="2" x14ac:dyDescent="0.65">
      <c r="B103" s="51" t="s">
        <v>15</v>
      </c>
      <c r="D103" s="58">
        <f>O82</f>
        <v>49448.812805920941</v>
      </c>
      <c r="E103" s="53">
        <f t="shared" ref="E103:O103" si="44">D107</f>
        <v>51207.080613832128</v>
      </c>
      <c r="F103" s="53">
        <f t="shared" si="44"/>
        <v>52938.974404624641</v>
      </c>
      <c r="G103" s="53">
        <f t="shared" si="44"/>
        <v>54644.889788555272</v>
      </c>
      <c r="H103" s="53">
        <f t="shared" si="44"/>
        <v>56325.216441726945</v>
      </c>
      <c r="I103" s="53">
        <f t="shared" si="44"/>
        <v>57980.338195101038</v>
      </c>
      <c r="J103" s="53">
        <f t="shared" si="44"/>
        <v>59610.633122174528</v>
      </c>
      <c r="K103" s="53">
        <f t="shared" si="44"/>
        <v>61216.473625341911</v>
      </c>
      <c r="L103" s="53">
        <f t="shared" si="44"/>
        <v>62798.226520961776</v>
      </c>
      <c r="M103" s="53">
        <f t="shared" si="44"/>
        <v>64356.253123147348</v>
      </c>
      <c r="N103" s="53">
        <f t="shared" si="44"/>
        <v>65890.909326300141</v>
      </c>
      <c r="O103" s="53">
        <f t="shared" si="44"/>
        <v>67402.545686405647</v>
      </c>
    </row>
    <row r="104" spans="2:15" ht="14.4" outlineLevel="2" x14ac:dyDescent="0.65">
      <c r="B104" s="51" t="s">
        <v>16</v>
      </c>
      <c r="D104" s="53">
        <f t="shared" ref="D104:O104" si="45">D99*$C$19</f>
        <v>2500</v>
      </c>
      <c r="E104" s="53">
        <f t="shared" si="45"/>
        <v>2500</v>
      </c>
      <c r="F104" s="53">
        <f t="shared" si="45"/>
        <v>2500</v>
      </c>
      <c r="G104" s="53">
        <f t="shared" si="45"/>
        <v>2500</v>
      </c>
      <c r="H104" s="53">
        <f t="shared" si="45"/>
        <v>2500</v>
      </c>
      <c r="I104" s="53">
        <f t="shared" si="45"/>
        <v>2500</v>
      </c>
      <c r="J104" s="53">
        <f t="shared" si="45"/>
        <v>2500</v>
      </c>
      <c r="K104" s="53">
        <f t="shared" si="45"/>
        <v>2500</v>
      </c>
      <c r="L104" s="53">
        <f t="shared" si="45"/>
        <v>2500</v>
      </c>
      <c r="M104" s="53">
        <f t="shared" si="45"/>
        <v>2500</v>
      </c>
      <c r="N104" s="53">
        <f t="shared" si="45"/>
        <v>2500</v>
      </c>
      <c r="O104" s="53">
        <f t="shared" si="45"/>
        <v>2500</v>
      </c>
    </row>
    <row r="105" spans="2:15" ht="14.4" outlineLevel="2" x14ac:dyDescent="0.65">
      <c r="B105" s="51" t="s">
        <v>17</v>
      </c>
      <c r="D105" s="58">
        <f t="shared" ref="D105:O105" si="46">+-D112*D103</f>
        <v>-988.97625611841886</v>
      </c>
      <c r="E105" s="58">
        <f t="shared" si="46"/>
        <v>-1024.1416122766425</v>
      </c>
      <c r="F105" s="58">
        <f t="shared" si="46"/>
        <v>-1058.7794880924928</v>
      </c>
      <c r="G105" s="58">
        <f t="shared" si="46"/>
        <v>-1092.8977957711054</v>
      </c>
      <c r="H105" s="58">
        <f t="shared" si="46"/>
        <v>-1126.5043288345389</v>
      </c>
      <c r="I105" s="58">
        <f t="shared" si="46"/>
        <v>-1159.6067639020207</v>
      </c>
      <c r="J105" s="58">
        <f t="shared" si="46"/>
        <v>-1192.2126624434907</v>
      </c>
      <c r="K105" s="58">
        <f t="shared" si="46"/>
        <v>-1224.3294725068383</v>
      </c>
      <c r="L105" s="58">
        <f t="shared" si="46"/>
        <v>-1255.9645304192356</v>
      </c>
      <c r="M105" s="58">
        <f t="shared" si="46"/>
        <v>-1287.125062462947</v>
      </c>
      <c r="N105" s="58">
        <f t="shared" si="46"/>
        <v>-1317.8181865260028</v>
      </c>
      <c r="O105" s="58">
        <f t="shared" si="46"/>
        <v>-1348.0509137281131</v>
      </c>
    </row>
    <row r="106" spans="2:15" ht="14.4" outlineLevel="2" x14ac:dyDescent="0.65">
      <c r="B106" s="51" t="s">
        <v>18</v>
      </c>
      <c r="D106" s="58">
        <f t="shared" ref="D106:O106" si="47">+D113*D103</f>
        <v>247.24406402960471</v>
      </c>
      <c r="E106" s="58">
        <f t="shared" si="47"/>
        <v>256.03540306916062</v>
      </c>
      <c r="F106" s="58">
        <f t="shared" si="47"/>
        <v>264.6948720231232</v>
      </c>
      <c r="G106" s="58">
        <f t="shared" si="47"/>
        <v>273.22444894277635</v>
      </c>
      <c r="H106" s="58">
        <f t="shared" si="47"/>
        <v>281.62608220863473</v>
      </c>
      <c r="I106" s="58">
        <f t="shared" si="47"/>
        <v>289.90169097550518</v>
      </c>
      <c r="J106" s="58">
        <f t="shared" si="47"/>
        <v>298.05316561087267</v>
      </c>
      <c r="K106" s="58">
        <f t="shared" si="47"/>
        <v>306.08236812670958</v>
      </c>
      <c r="L106" s="58">
        <f t="shared" si="47"/>
        <v>313.99113260480891</v>
      </c>
      <c r="M106" s="58">
        <f t="shared" si="47"/>
        <v>321.78126561573674</v>
      </c>
      <c r="N106" s="58">
        <f t="shared" si="47"/>
        <v>329.4545466315007</v>
      </c>
      <c r="O106" s="58">
        <f t="shared" si="47"/>
        <v>337.01272843202827</v>
      </c>
    </row>
    <row r="107" spans="2:15" ht="14.4" outlineLevel="2" x14ac:dyDescent="0.65">
      <c r="B107" s="59" t="s">
        <v>19</v>
      </c>
      <c r="C107" s="60"/>
      <c r="D107" s="61">
        <f t="shared" ref="D107:O107" si="48">SUM(D103:D106)</f>
        <v>51207.080613832128</v>
      </c>
      <c r="E107" s="61">
        <f t="shared" si="48"/>
        <v>52938.974404624641</v>
      </c>
      <c r="F107" s="61">
        <f t="shared" si="48"/>
        <v>54644.889788555272</v>
      </c>
      <c r="G107" s="61">
        <f t="shared" si="48"/>
        <v>56325.216441726945</v>
      </c>
      <c r="H107" s="61">
        <f t="shared" si="48"/>
        <v>57980.338195101038</v>
      </c>
      <c r="I107" s="61">
        <f t="shared" si="48"/>
        <v>59610.633122174528</v>
      </c>
      <c r="J107" s="61">
        <f t="shared" si="48"/>
        <v>61216.473625341911</v>
      </c>
      <c r="K107" s="61">
        <f t="shared" si="48"/>
        <v>62798.226520961776</v>
      </c>
      <c r="L107" s="61">
        <f t="shared" si="48"/>
        <v>64356.253123147348</v>
      </c>
      <c r="M107" s="61">
        <f t="shared" si="48"/>
        <v>65890.909326300141</v>
      </c>
      <c r="N107" s="61">
        <f t="shared" si="48"/>
        <v>67402.545686405647</v>
      </c>
      <c r="O107" s="61">
        <f t="shared" si="48"/>
        <v>68891.507501109561</v>
      </c>
    </row>
    <row r="108" spans="2:15" ht="14.4" outlineLevel="2" x14ac:dyDescent="0.65">
      <c r="B108" s="62" t="s">
        <v>20</v>
      </c>
      <c r="E108" s="63">
        <f t="shared" ref="E108:O108" si="49">E107/D107-1</f>
        <v>3.3821373334153471E-2</v>
      </c>
      <c r="F108" s="63">
        <f t="shared" si="49"/>
        <v>3.222418649239267E-2</v>
      </c>
      <c r="G108" s="63">
        <f t="shared" si="49"/>
        <v>3.0749932146877379E-2</v>
      </c>
      <c r="H108" s="63">
        <f t="shared" si="49"/>
        <v>2.938509353242269E-2</v>
      </c>
      <c r="I108" s="63">
        <f t="shared" si="49"/>
        <v>2.8118065154908667E-2</v>
      </c>
      <c r="J108" s="63">
        <f t="shared" si="49"/>
        <v>2.6938826498892343E-2</v>
      </c>
      <c r="K108" s="63">
        <f t="shared" si="49"/>
        <v>2.5838680373857059E-2</v>
      </c>
      <c r="L108" s="63">
        <f t="shared" si="49"/>
        <v>2.4810041437484109E-2</v>
      </c>
      <c r="M108" s="63">
        <f t="shared" si="49"/>
        <v>2.3846264017518104E-2</v>
      </c>
      <c r="N108" s="63">
        <f t="shared" si="49"/>
        <v>2.2941500968209239E-2</v>
      </c>
      <c r="O108" s="63">
        <f t="shared" si="49"/>
        <v>2.2090587225464642E-2</v>
      </c>
    </row>
    <row r="109" spans="2:15" ht="14.4" outlineLevel="2" x14ac:dyDescent="0.65">
      <c r="B109" s="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ht="14.4" outlineLevel="2" x14ac:dyDescent="0.65">
      <c r="B110" s="51" t="s">
        <v>21</v>
      </c>
      <c r="D110" s="58">
        <f t="shared" ref="D110:O110" si="50">+D107/D101</f>
        <v>126.10569540090115</v>
      </c>
      <c r="E110" s="58">
        <f t="shared" si="50"/>
        <v>126.38134246946008</v>
      </c>
      <c r="F110" s="58">
        <f t="shared" si="50"/>
        <v>126.69329692199393</v>
      </c>
      <c r="G110" s="58">
        <f t="shared" si="50"/>
        <v>127.03688933579997</v>
      </c>
      <c r="H110" s="58">
        <f t="shared" si="50"/>
        <v>127.40815958649056</v>
      </c>
      <c r="I110" s="58">
        <f t="shared" si="50"/>
        <v>127.8037253528275</v>
      </c>
      <c r="J110" s="58">
        <f t="shared" si="50"/>
        <v>128.22067887358239</v>
      </c>
      <c r="K110" s="58">
        <f t="shared" si="50"/>
        <v>128.65650512064025</v>
      </c>
      <c r="L110" s="58">
        <f t="shared" si="50"/>
        <v>129.10901637959705</v>
      </c>
      <c r="M110" s="58">
        <f t="shared" si="50"/>
        <v>129.57629952453394</v>
      </c>
      <c r="N110" s="58">
        <f t="shared" si="50"/>
        <v>130.05667320396381</v>
      </c>
      <c r="O110" s="58">
        <f t="shared" si="50"/>
        <v>130.5486528310112</v>
      </c>
    </row>
    <row r="111" spans="2:15" ht="14.4" outlineLevel="2" x14ac:dyDescent="0.65"/>
    <row r="112" spans="2:15" ht="14.4" outlineLevel="2" x14ac:dyDescent="0.65">
      <c r="B112" s="52" t="s">
        <v>22</v>
      </c>
      <c r="D112" s="105">
        <v>0.02</v>
      </c>
      <c r="E112" s="105">
        <v>0.02</v>
      </c>
      <c r="F112" s="105">
        <v>0.02</v>
      </c>
      <c r="G112" s="105">
        <v>0.02</v>
      </c>
      <c r="H112" s="105">
        <v>0.02</v>
      </c>
      <c r="I112" s="105">
        <v>0.02</v>
      </c>
      <c r="J112" s="105">
        <v>0.02</v>
      </c>
      <c r="K112" s="105">
        <v>0.02</v>
      </c>
      <c r="L112" s="105">
        <v>0.02</v>
      </c>
      <c r="M112" s="105">
        <v>0.02</v>
      </c>
      <c r="N112" s="105">
        <v>0.02</v>
      </c>
      <c r="O112" s="105">
        <v>0.02</v>
      </c>
    </row>
    <row r="113" spans="1:27" ht="14.4" outlineLevel="2" x14ac:dyDescent="0.65">
      <c r="B113" s="52" t="s">
        <v>23</v>
      </c>
      <c r="D113" s="105">
        <v>5.0000000000000001E-3</v>
      </c>
      <c r="E113" s="105">
        <v>5.0000000000000001E-3</v>
      </c>
      <c r="F113" s="105">
        <v>5.0000000000000001E-3</v>
      </c>
      <c r="G113" s="105">
        <v>5.0000000000000001E-3</v>
      </c>
      <c r="H113" s="105">
        <v>5.0000000000000001E-3</v>
      </c>
      <c r="I113" s="105">
        <v>5.0000000000000001E-3</v>
      </c>
      <c r="J113" s="105">
        <v>5.0000000000000001E-3</v>
      </c>
      <c r="K113" s="105">
        <v>5.0000000000000001E-3</v>
      </c>
      <c r="L113" s="105">
        <v>5.0000000000000001E-3</v>
      </c>
      <c r="M113" s="105">
        <v>5.0000000000000001E-3</v>
      </c>
      <c r="N113" s="105">
        <v>5.0000000000000001E-3</v>
      </c>
      <c r="O113" s="105">
        <v>5.0000000000000001E-3</v>
      </c>
    </row>
    <row r="114" spans="1:27" ht="14.4" outlineLevel="2" x14ac:dyDescent="0.65">
      <c r="B114" s="64" t="s">
        <v>24</v>
      </c>
      <c r="C114" s="56"/>
      <c r="D114" s="65">
        <f t="shared" ref="D114:O114" si="51">+(-D105-D106)/D103</f>
        <v>1.5000000000000001E-2</v>
      </c>
      <c r="E114" s="65">
        <f t="shared" si="51"/>
        <v>1.4999999999999999E-2</v>
      </c>
      <c r="F114" s="65">
        <f t="shared" si="51"/>
        <v>1.4999999999999998E-2</v>
      </c>
      <c r="G114" s="65">
        <f t="shared" si="51"/>
        <v>1.4999999999999999E-2</v>
      </c>
      <c r="H114" s="65">
        <f t="shared" si="51"/>
        <v>1.5000000000000001E-2</v>
      </c>
      <c r="I114" s="65">
        <f t="shared" si="51"/>
        <v>1.4999999999999999E-2</v>
      </c>
      <c r="J114" s="65">
        <f t="shared" si="51"/>
        <v>1.5000000000000003E-2</v>
      </c>
      <c r="K114" s="65">
        <f t="shared" si="51"/>
        <v>1.5000000000000003E-2</v>
      </c>
      <c r="L114" s="65">
        <f t="shared" si="51"/>
        <v>1.5000000000000003E-2</v>
      </c>
      <c r="M114" s="65">
        <f t="shared" si="51"/>
        <v>1.4999999999999999E-2</v>
      </c>
      <c r="N114" s="65">
        <f t="shared" si="51"/>
        <v>1.4999999999999999E-2</v>
      </c>
      <c r="O114" s="65">
        <f t="shared" si="51"/>
        <v>1.5000000000000001E-2</v>
      </c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spans="1:27" ht="14.4" outlineLevel="2" x14ac:dyDescent="0.65"/>
    <row r="116" spans="1:27" ht="14.4" outlineLevel="2" x14ac:dyDescent="0.65">
      <c r="B116" s="51" t="s">
        <v>25</v>
      </c>
      <c r="D116" s="53">
        <f t="shared" ref="D116:K116" si="52">D104*$C$17+($C$17*$C$18*H29)</f>
        <v>41400</v>
      </c>
      <c r="E116" s="53">
        <f t="shared" si="52"/>
        <v>41400</v>
      </c>
      <c r="F116" s="53">
        <f t="shared" si="52"/>
        <v>41400</v>
      </c>
      <c r="G116" s="53">
        <f t="shared" si="52"/>
        <v>41400</v>
      </c>
      <c r="H116" s="53">
        <f t="shared" si="52"/>
        <v>41400</v>
      </c>
      <c r="I116" s="53">
        <f t="shared" si="52"/>
        <v>41400</v>
      </c>
      <c r="J116" s="53">
        <f t="shared" si="52"/>
        <v>41400</v>
      </c>
      <c r="K116" s="53">
        <f t="shared" si="52"/>
        <v>41400</v>
      </c>
      <c r="L116" s="53">
        <f t="shared" ref="L116:O116" si="53">L104*$C$17+($C$17*$C$18*D54)</f>
        <v>47100</v>
      </c>
      <c r="M116" s="53">
        <f t="shared" si="53"/>
        <v>47100</v>
      </c>
      <c r="N116" s="53">
        <f t="shared" si="53"/>
        <v>47100</v>
      </c>
      <c r="O116" s="53">
        <f t="shared" si="53"/>
        <v>47100</v>
      </c>
    </row>
    <row r="117" spans="1:27" ht="14.4" outlineLevel="2" x14ac:dyDescent="0.65"/>
    <row r="118" spans="1:27" ht="14.4" outlineLevel="2" x14ac:dyDescent="0.65">
      <c r="B118" s="56" t="s">
        <v>32</v>
      </c>
      <c r="C118" s="56"/>
      <c r="D118" s="66">
        <f>SUM(D107:O107)</f>
        <v>723263.04834928084</v>
      </c>
    </row>
    <row r="119" spans="1:27" ht="14.4" outlineLevel="2" x14ac:dyDescent="0.65">
      <c r="B119" s="56" t="s">
        <v>33</v>
      </c>
      <c r="D119" s="66">
        <f>SUM(D116:O116)+$C$18*SUM(D41:O41)</f>
        <v>656400</v>
      </c>
    </row>
    <row r="120" spans="1:27" ht="14.4" outlineLevel="1" x14ac:dyDescent="0.65"/>
    <row r="121" spans="1:27" ht="14.4" outlineLevel="1" x14ac:dyDescent="0.65">
      <c r="A121" s="51" t="s">
        <v>178</v>
      </c>
      <c r="B121" s="90">
        <f>B96+1</f>
        <v>2021</v>
      </c>
      <c r="C121" s="91"/>
      <c r="D121" s="106">
        <f>EDATE(D96,12)</f>
        <v>44197</v>
      </c>
      <c r="E121" s="106">
        <f t="shared" ref="E121:O121" si="54">EDATE(E96,12)</f>
        <v>44228</v>
      </c>
      <c r="F121" s="106">
        <f t="shared" si="54"/>
        <v>44256</v>
      </c>
      <c r="G121" s="106">
        <f t="shared" si="54"/>
        <v>44287</v>
      </c>
      <c r="H121" s="106">
        <f t="shared" si="54"/>
        <v>44317</v>
      </c>
      <c r="I121" s="106">
        <f t="shared" si="54"/>
        <v>44348</v>
      </c>
      <c r="J121" s="106">
        <f t="shared" si="54"/>
        <v>44378</v>
      </c>
      <c r="K121" s="106">
        <f t="shared" si="54"/>
        <v>44409</v>
      </c>
      <c r="L121" s="106">
        <f t="shared" si="54"/>
        <v>44440</v>
      </c>
      <c r="M121" s="106">
        <f t="shared" si="54"/>
        <v>44470</v>
      </c>
      <c r="N121" s="106">
        <f t="shared" si="54"/>
        <v>44501</v>
      </c>
      <c r="O121" s="106">
        <f t="shared" si="54"/>
        <v>44531</v>
      </c>
    </row>
    <row r="122" spans="1:27" ht="14.4" outlineLevel="2" x14ac:dyDescent="0.65">
      <c r="B122" s="56" t="s">
        <v>10</v>
      </c>
    </row>
    <row r="123" spans="1:27" ht="14.4" outlineLevel="2" x14ac:dyDescent="0.65">
      <c r="B123" s="51" t="s">
        <v>11</v>
      </c>
      <c r="D123" s="58">
        <f>O101</f>
        <v>527.70753284054354</v>
      </c>
      <c r="E123" s="53">
        <f t="shared" ref="E123:O123" si="55">D126</f>
        <v>541.87630685532724</v>
      </c>
      <c r="F123" s="53">
        <f t="shared" si="55"/>
        <v>555.62001764966737</v>
      </c>
      <c r="G123" s="53">
        <f t="shared" si="55"/>
        <v>568.95141712017733</v>
      </c>
      <c r="H123" s="53">
        <f t="shared" si="55"/>
        <v>581.88287460657205</v>
      </c>
      <c r="I123" s="53">
        <f t="shared" si="55"/>
        <v>594.42638836837489</v>
      </c>
      <c r="J123" s="53">
        <f t="shared" si="55"/>
        <v>606.59359671732363</v>
      </c>
      <c r="K123" s="53">
        <f t="shared" si="55"/>
        <v>618.39578881580394</v>
      </c>
      <c r="L123" s="53">
        <f t="shared" si="55"/>
        <v>629.84391515132984</v>
      </c>
      <c r="M123" s="53">
        <f t="shared" si="55"/>
        <v>640.94859769678999</v>
      </c>
      <c r="N123" s="53">
        <f t="shared" si="55"/>
        <v>651.7201397658863</v>
      </c>
      <c r="O123" s="53">
        <f t="shared" si="55"/>
        <v>662.16853557290972</v>
      </c>
    </row>
    <row r="124" spans="1:27" ht="14.4" outlineLevel="2" x14ac:dyDescent="0.65">
      <c r="B124" s="51" t="s">
        <v>12</v>
      </c>
      <c r="D124" s="104">
        <v>30</v>
      </c>
      <c r="E124" s="104">
        <v>30</v>
      </c>
      <c r="F124" s="104">
        <v>30</v>
      </c>
      <c r="G124" s="104">
        <v>30</v>
      </c>
      <c r="H124" s="104">
        <v>30</v>
      </c>
      <c r="I124" s="104">
        <v>30</v>
      </c>
      <c r="J124" s="104">
        <v>30</v>
      </c>
      <c r="K124" s="104">
        <v>30</v>
      </c>
      <c r="L124" s="104">
        <v>30</v>
      </c>
      <c r="M124" s="104">
        <v>30</v>
      </c>
      <c r="N124" s="104">
        <v>30</v>
      </c>
      <c r="O124" s="104">
        <v>30</v>
      </c>
    </row>
    <row r="125" spans="1:27" ht="14.4" outlineLevel="2" x14ac:dyDescent="0.65">
      <c r="B125" s="51" t="s">
        <v>13</v>
      </c>
      <c r="D125" s="58">
        <f t="shared" ref="D125:O125" si="56">-$C$16*D123</f>
        <v>-15.831225985216305</v>
      </c>
      <c r="E125" s="58">
        <f t="shared" si="56"/>
        <v>-16.256289205659815</v>
      </c>
      <c r="F125" s="58">
        <f t="shared" si="56"/>
        <v>-16.668600529490021</v>
      </c>
      <c r="G125" s="58">
        <f t="shared" si="56"/>
        <v>-17.068542513605319</v>
      </c>
      <c r="H125" s="58">
        <f t="shared" si="56"/>
        <v>-17.456486238197161</v>
      </c>
      <c r="I125" s="58">
        <f t="shared" si="56"/>
        <v>-17.832791651051245</v>
      </c>
      <c r="J125" s="58">
        <f t="shared" si="56"/>
        <v>-18.19780790151971</v>
      </c>
      <c r="K125" s="58">
        <f t="shared" si="56"/>
        <v>-18.551873664474119</v>
      </c>
      <c r="L125" s="58">
        <f t="shared" si="56"/>
        <v>-18.895317454539896</v>
      </c>
      <c r="M125" s="58">
        <f t="shared" si="56"/>
        <v>-19.228457930903698</v>
      </c>
      <c r="N125" s="58">
        <f t="shared" si="56"/>
        <v>-19.551604192976587</v>
      </c>
      <c r="O125" s="58">
        <f t="shared" si="56"/>
        <v>-19.86505606718729</v>
      </c>
    </row>
    <row r="126" spans="1:27" ht="14.4" outlineLevel="2" x14ac:dyDescent="0.65">
      <c r="B126" s="59" t="s">
        <v>14</v>
      </c>
      <c r="C126" s="60"/>
      <c r="D126" s="61">
        <f t="shared" ref="D126:O126" si="57">SUM(D123:D125)</f>
        <v>541.87630685532724</v>
      </c>
      <c r="E126" s="61">
        <f t="shared" si="57"/>
        <v>555.62001764966737</v>
      </c>
      <c r="F126" s="61">
        <f t="shared" si="57"/>
        <v>568.95141712017733</v>
      </c>
      <c r="G126" s="61">
        <f t="shared" si="57"/>
        <v>581.88287460657205</v>
      </c>
      <c r="H126" s="61">
        <f t="shared" si="57"/>
        <v>594.42638836837489</v>
      </c>
      <c r="I126" s="61">
        <f t="shared" si="57"/>
        <v>606.59359671732363</v>
      </c>
      <c r="J126" s="61">
        <f t="shared" si="57"/>
        <v>618.39578881580394</v>
      </c>
      <c r="K126" s="61">
        <f t="shared" si="57"/>
        <v>629.84391515132984</v>
      </c>
      <c r="L126" s="61">
        <f t="shared" si="57"/>
        <v>640.94859769678999</v>
      </c>
      <c r="M126" s="61">
        <f t="shared" si="57"/>
        <v>651.7201397658863</v>
      </c>
      <c r="N126" s="61">
        <f t="shared" si="57"/>
        <v>662.16853557290972</v>
      </c>
      <c r="O126" s="61">
        <f t="shared" si="57"/>
        <v>672.30347950572241</v>
      </c>
    </row>
    <row r="127" spans="1:27" ht="14.4" outlineLevel="2" x14ac:dyDescent="0.65"/>
    <row r="128" spans="1:27" ht="14.4" outlineLevel="2" x14ac:dyDescent="0.65">
      <c r="B128" s="51" t="s">
        <v>15</v>
      </c>
      <c r="D128" s="58">
        <f>O107</f>
        <v>68891.507501109561</v>
      </c>
      <c r="E128" s="53">
        <f t="shared" ref="E128:O128" si="58">D132</f>
        <v>70858.134888592918</v>
      </c>
      <c r="F128" s="53">
        <f t="shared" si="58"/>
        <v>72795.262865264027</v>
      </c>
      <c r="G128" s="53">
        <f t="shared" si="58"/>
        <v>74703.333922285077</v>
      </c>
      <c r="H128" s="53">
        <f t="shared" si="58"/>
        <v>76582.78391345081</v>
      </c>
      <c r="I128" s="53">
        <f t="shared" si="58"/>
        <v>78434.04215474904</v>
      </c>
      <c r="J128" s="53">
        <f t="shared" si="58"/>
        <v>80257.531522427817</v>
      </c>
      <c r="K128" s="53">
        <f t="shared" si="58"/>
        <v>82053.668549591399</v>
      </c>
      <c r="L128" s="53">
        <f t="shared" si="58"/>
        <v>83822.863521347535</v>
      </c>
      <c r="M128" s="53">
        <f t="shared" si="58"/>
        <v>85565.520568527325</v>
      </c>
      <c r="N128" s="53">
        <f t="shared" si="58"/>
        <v>87282.03775999941</v>
      </c>
      <c r="O128" s="53">
        <f t="shared" si="58"/>
        <v>88972.807193599423</v>
      </c>
    </row>
    <row r="129" spans="2:27" ht="14.4" outlineLevel="2" x14ac:dyDescent="0.65">
      <c r="B129" s="51" t="s">
        <v>16</v>
      </c>
      <c r="D129" s="53">
        <f t="shared" ref="D129:O129" si="59">D124*$C$19</f>
        <v>3000</v>
      </c>
      <c r="E129" s="53">
        <f t="shared" si="59"/>
        <v>3000</v>
      </c>
      <c r="F129" s="53">
        <f t="shared" si="59"/>
        <v>3000</v>
      </c>
      <c r="G129" s="53">
        <f t="shared" si="59"/>
        <v>3000</v>
      </c>
      <c r="H129" s="53">
        <f t="shared" si="59"/>
        <v>3000</v>
      </c>
      <c r="I129" s="53">
        <f t="shared" si="59"/>
        <v>3000</v>
      </c>
      <c r="J129" s="53">
        <f t="shared" si="59"/>
        <v>3000</v>
      </c>
      <c r="K129" s="53">
        <f t="shared" si="59"/>
        <v>3000</v>
      </c>
      <c r="L129" s="53">
        <f t="shared" si="59"/>
        <v>3000</v>
      </c>
      <c r="M129" s="53">
        <f t="shared" si="59"/>
        <v>3000</v>
      </c>
      <c r="N129" s="53">
        <f t="shared" si="59"/>
        <v>3000</v>
      </c>
      <c r="O129" s="53">
        <f t="shared" si="59"/>
        <v>3000</v>
      </c>
    </row>
    <row r="130" spans="2:27" ht="14.4" outlineLevel="2" x14ac:dyDescent="0.65">
      <c r="B130" s="51" t="s">
        <v>17</v>
      </c>
      <c r="D130" s="58">
        <f t="shared" ref="D130:O130" si="60">+-D137*D128</f>
        <v>-1377.8301500221912</v>
      </c>
      <c r="E130" s="58">
        <f t="shared" si="60"/>
        <v>-1417.1626977718583</v>
      </c>
      <c r="F130" s="58">
        <f t="shared" si="60"/>
        <v>-1455.9052573052807</v>
      </c>
      <c r="G130" s="58">
        <f t="shared" si="60"/>
        <v>-1494.0666784457017</v>
      </c>
      <c r="H130" s="58">
        <f t="shared" si="60"/>
        <v>-1531.6556782690163</v>
      </c>
      <c r="I130" s="58">
        <f t="shared" si="60"/>
        <v>-1568.6808430949809</v>
      </c>
      <c r="J130" s="58">
        <f t="shared" si="60"/>
        <v>-1605.1506304485563</v>
      </c>
      <c r="K130" s="58">
        <f t="shared" si="60"/>
        <v>-1641.0733709918279</v>
      </c>
      <c r="L130" s="58">
        <f t="shared" si="60"/>
        <v>-1676.4572704269508</v>
      </c>
      <c r="M130" s="58">
        <f t="shared" si="60"/>
        <v>-1711.3104113705465</v>
      </c>
      <c r="N130" s="58">
        <f t="shared" si="60"/>
        <v>-1745.6407551999882</v>
      </c>
      <c r="O130" s="58">
        <f t="shared" si="60"/>
        <v>-1779.4561438719884</v>
      </c>
    </row>
    <row r="131" spans="2:27" ht="14.4" outlineLevel="2" x14ac:dyDescent="0.65">
      <c r="B131" s="51" t="s">
        <v>18</v>
      </c>
      <c r="D131" s="58">
        <f t="shared" ref="D131:O131" si="61">+D138*D128</f>
        <v>344.4575375055478</v>
      </c>
      <c r="E131" s="58">
        <f t="shared" si="61"/>
        <v>354.29067444296459</v>
      </c>
      <c r="F131" s="58">
        <f t="shared" si="61"/>
        <v>363.97631432632016</v>
      </c>
      <c r="G131" s="58">
        <f t="shared" si="61"/>
        <v>373.51666961142541</v>
      </c>
      <c r="H131" s="58">
        <f t="shared" si="61"/>
        <v>382.91391956725408</v>
      </c>
      <c r="I131" s="58">
        <f t="shared" si="61"/>
        <v>392.17021077374523</v>
      </c>
      <c r="J131" s="58">
        <f t="shared" si="61"/>
        <v>401.28765761213907</v>
      </c>
      <c r="K131" s="58">
        <f t="shared" si="61"/>
        <v>410.26834274795698</v>
      </c>
      <c r="L131" s="58">
        <f t="shared" si="61"/>
        <v>419.1143176067377</v>
      </c>
      <c r="M131" s="58">
        <f t="shared" si="61"/>
        <v>427.82760284263662</v>
      </c>
      <c r="N131" s="58">
        <f t="shared" si="61"/>
        <v>436.41018879999706</v>
      </c>
      <c r="O131" s="58">
        <f t="shared" si="61"/>
        <v>444.8640359679971</v>
      </c>
    </row>
    <row r="132" spans="2:27" ht="14.4" outlineLevel="2" x14ac:dyDescent="0.65">
      <c r="B132" s="59" t="s">
        <v>19</v>
      </c>
      <c r="C132" s="60"/>
      <c r="D132" s="61">
        <f t="shared" ref="D132:O132" si="62">SUM(D128:D131)</f>
        <v>70858.134888592918</v>
      </c>
      <c r="E132" s="61">
        <f t="shared" si="62"/>
        <v>72795.262865264027</v>
      </c>
      <c r="F132" s="61">
        <f t="shared" si="62"/>
        <v>74703.333922285077</v>
      </c>
      <c r="G132" s="61">
        <f t="shared" si="62"/>
        <v>76582.78391345081</v>
      </c>
      <c r="H132" s="61">
        <f t="shared" si="62"/>
        <v>78434.04215474904</v>
      </c>
      <c r="I132" s="61">
        <f t="shared" si="62"/>
        <v>80257.531522427817</v>
      </c>
      <c r="J132" s="61">
        <f t="shared" si="62"/>
        <v>82053.668549591399</v>
      </c>
      <c r="K132" s="61">
        <f t="shared" si="62"/>
        <v>83822.863521347535</v>
      </c>
      <c r="L132" s="61">
        <f t="shared" si="62"/>
        <v>85565.520568527325</v>
      </c>
      <c r="M132" s="61">
        <f t="shared" si="62"/>
        <v>87282.03775999941</v>
      </c>
      <c r="N132" s="61">
        <f t="shared" si="62"/>
        <v>88972.807193599423</v>
      </c>
      <c r="O132" s="61">
        <f t="shared" si="62"/>
        <v>90638.215085695439</v>
      </c>
    </row>
    <row r="133" spans="2:27" ht="14.4" outlineLevel="2" x14ac:dyDescent="0.65">
      <c r="B133" s="62" t="s">
        <v>20</v>
      </c>
      <c r="E133" s="63">
        <f t="shared" ref="E133:O133" si="63">E132/D132-1</f>
        <v>2.7338116924990663E-2</v>
      </c>
      <c r="F133" s="63">
        <f t="shared" si="63"/>
        <v>2.6211472861258578E-2</v>
      </c>
      <c r="G133" s="63">
        <f t="shared" si="63"/>
        <v>2.5158850247847697E-2</v>
      </c>
      <c r="H133" s="63">
        <f t="shared" si="63"/>
        <v>2.4173295180681897E-2</v>
      </c>
      <c r="I133" s="63">
        <f t="shared" si="63"/>
        <v>2.3248698110968968E-2</v>
      </c>
      <c r="J133" s="63">
        <f t="shared" si="63"/>
        <v>2.2379669460200757E-2</v>
      </c>
      <c r="K133" s="63">
        <f t="shared" si="63"/>
        <v>2.156143659423182E-2</v>
      </c>
      <c r="L133" s="63">
        <f t="shared" si="63"/>
        <v>2.0789757996468206E-2</v>
      </c>
      <c r="M133" s="63">
        <f t="shared" si="63"/>
        <v>2.0060851381104694E-2</v>
      </c>
      <c r="N133" s="63">
        <f t="shared" si="63"/>
        <v>1.9371333174520444E-2</v>
      </c>
      <c r="O133" s="63">
        <f t="shared" si="63"/>
        <v>1.8718167321305046E-2</v>
      </c>
    </row>
    <row r="134" spans="2:27" ht="14.4" outlineLevel="2" x14ac:dyDescent="0.65"/>
    <row r="135" spans="2:27" ht="14.4" outlineLevel="2" x14ac:dyDescent="0.65">
      <c r="B135" s="51" t="s">
        <v>21</v>
      </c>
      <c r="D135" s="58">
        <f t="shared" ref="D135:O135" si="64">+D132/D126</f>
        <v>130.76440876295956</v>
      </c>
      <c r="E135" s="58">
        <f t="shared" si="64"/>
        <v>131.01627110771827</v>
      </c>
      <c r="F135" s="58">
        <f t="shared" si="64"/>
        <v>131.30002259315191</v>
      </c>
      <c r="G135" s="58">
        <f t="shared" si="64"/>
        <v>131.61202581401054</v>
      </c>
      <c r="H135" s="58">
        <f t="shared" si="64"/>
        <v>131.9491255595845</v>
      </c>
      <c r="I135" s="58">
        <f t="shared" si="64"/>
        <v>132.30857027959746</v>
      </c>
      <c r="J135" s="58">
        <f t="shared" si="64"/>
        <v>132.68794845243036</v>
      </c>
      <c r="K135" s="58">
        <f t="shared" si="64"/>
        <v>133.08513665835414</v>
      </c>
      <c r="L135" s="58">
        <f t="shared" si="64"/>
        <v>133.49825692107268</v>
      </c>
      <c r="M135" s="58">
        <f t="shared" si="64"/>
        <v>133.92564144381549</v>
      </c>
      <c r="N135" s="58">
        <f t="shared" si="64"/>
        <v>134.36580328695314</v>
      </c>
      <c r="O135" s="58">
        <f t="shared" si="64"/>
        <v>134.81741185146427</v>
      </c>
    </row>
    <row r="136" spans="2:27" ht="14.4" outlineLevel="2" x14ac:dyDescent="0.65"/>
    <row r="137" spans="2:27" ht="14.4" outlineLevel="2" x14ac:dyDescent="0.65">
      <c r="B137" s="52" t="s">
        <v>22</v>
      </c>
      <c r="D137" s="105">
        <v>0.02</v>
      </c>
      <c r="E137" s="105">
        <v>0.02</v>
      </c>
      <c r="F137" s="105">
        <v>0.02</v>
      </c>
      <c r="G137" s="105">
        <v>0.02</v>
      </c>
      <c r="H137" s="105">
        <v>0.02</v>
      </c>
      <c r="I137" s="105">
        <v>0.02</v>
      </c>
      <c r="J137" s="105">
        <v>0.02</v>
      </c>
      <c r="K137" s="105">
        <v>0.02</v>
      </c>
      <c r="L137" s="105">
        <v>0.02</v>
      </c>
      <c r="M137" s="105">
        <v>0.02</v>
      </c>
      <c r="N137" s="105">
        <v>0.02</v>
      </c>
      <c r="O137" s="105">
        <v>0.02</v>
      </c>
    </row>
    <row r="138" spans="2:27" ht="14.4" outlineLevel="2" x14ac:dyDescent="0.65">
      <c r="B138" s="52" t="s">
        <v>23</v>
      </c>
      <c r="D138" s="105">
        <v>5.0000000000000001E-3</v>
      </c>
      <c r="E138" s="105">
        <v>5.0000000000000001E-3</v>
      </c>
      <c r="F138" s="105">
        <v>5.0000000000000001E-3</v>
      </c>
      <c r="G138" s="105">
        <v>5.0000000000000001E-3</v>
      </c>
      <c r="H138" s="105">
        <v>5.0000000000000001E-3</v>
      </c>
      <c r="I138" s="105">
        <v>5.0000000000000001E-3</v>
      </c>
      <c r="J138" s="105">
        <v>5.0000000000000001E-3</v>
      </c>
      <c r="K138" s="105">
        <v>5.0000000000000001E-3</v>
      </c>
      <c r="L138" s="105">
        <v>5.0000000000000001E-3</v>
      </c>
      <c r="M138" s="105">
        <v>5.0000000000000001E-3</v>
      </c>
      <c r="N138" s="105">
        <v>5.0000000000000001E-3</v>
      </c>
      <c r="O138" s="105">
        <v>5.0000000000000001E-3</v>
      </c>
    </row>
    <row r="139" spans="2:27" ht="14.4" outlineLevel="2" x14ac:dyDescent="0.65">
      <c r="B139" s="64" t="s">
        <v>24</v>
      </c>
      <c r="C139" s="56"/>
      <c r="D139" s="65">
        <f t="shared" ref="D139:O139" si="65">+(-D130-D131)/D128</f>
        <v>1.4999999999999999E-2</v>
      </c>
      <c r="E139" s="65">
        <f t="shared" si="65"/>
        <v>1.4999999999999998E-2</v>
      </c>
      <c r="F139" s="65">
        <f t="shared" si="65"/>
        <v>1.5000000000000001E-2</v>
      </c>
      <c r="G139" s="65">
        <f t="shared" si="65"/>
        <v>1.5000000000000001E-2</v>
      </c>
      <c r="H139" s="65">
        <f t="shared" si="65"/>
        <v>1.4999999999999999E-2</v>
      </c>
      <c r="I139" s="65">
        <f t="shared" si="65"/>
        <v>1.5000000000000003E-2</v>
      </c>
      <c r="J139" s="65">
        <f t="shared" si="65"/>
        <v>1.4999999999999999E-2</v>
      </c>
      <c r="K139" s="65">
        <f t="shared" si="65"/>
        <v>1.4999999999999999E-2</v>
      </c>
      <c r="L139" s="65">
        <f t="shared" si="65"/>
        <v>1.5000000000000003E-2</v>
      </c>
      <c r="M139" s="65">
        <f t="shared" si="65"/>
        <v>1.4999999999999999E-2</v>
      </c>
      <c r="N139" s="65">
        <f t="shared" si="65"/>
        <v>1.4999999999999999E-2</v>
      </c>
      <c r="O139" s="65">
        <f t="shared" si="65"/>
        <v>1.4999999999999999E-2</v>
      </c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spans="2:27" ht="14.4" outlineLevel="2" x14ac:dyDescent="0.65"/>
    <row r="141" spans="2:27" ht="14.4" outlineLevel="2" x14ac:dyDescent="0.65">
      <c r="B141" s="51" t="s">
        <v>25</v>
      </c>
      <c r="D141" s="53">
        <f t="shared" ref="D141:K141" si="66">D129*$C$17++($C$17*$C$18*H54)</f>
        <v>53100</v>
      </c>
      <c r="E141" s="53">
        <f t="shared" si="66"/>
        <v>53100</v>
      </c>
      <c r="F141" s="53">
        <f t="shared" si="66"/>
        <v>53100</v>
      </c>
      <c r="G141" s="53">
        <f t="shared" si="66"/>
        <v>53100</v>
      </c>
      <c r="H141" s="53">
        <f t="shared" si="66"/>
        <v>53100</v>
      </c>
      <c r="I141" s="53">
        <f t="shared" si="66"/>
        <v>53100</v>
      </c>
      <c r="J141" s="53">
        <f t="shared" si="66"/>
        <v>53100</v>
      </c>
      <c r="K141" s="53">
        <f t="shared" si="66"/>
        <v>53100</v>
      </c>
      <c r="L141" s="53">
        <f t="shared" ref="L141:O141" si="67">L129*$C$17++($C$17*$C$18*D79)</f>
        <v>58800</v>
      </c>
      <c r="M141" s="53">
        <f t="shared" si="67"/>
        <v>58800</v>
      </c>
      <c r="N141" s="53">
        <f t="shared" si="67"/>
        <v>58800</v>
      </c>
      <c r="O141" s="53">
        <f t="shared" si="67"/>
        <v>58800</v>
      </c>
    </row>
    <row r="142" spans="2:27" ht="14.4" outlineLevel="2" x14ac:dyDescent="0.65"/>
    <row r="143" spans="2:27" ht="14.4" outlineLevel="2" x14ac:dyDescent="0.65">
      <c r="B143" s="56" t="s">
        <v>34</v>
      </c>
      <c r="C143" s="56"/>
      <c r="D143" s="66">
        <f>SUM(D132:O132)</f>
        <v>971966.20194553025</v>
      </c>
    </row>
    <row r="144" spans="2:27" ht="14.4" outlineLevel="2" x14ac:dyDescent="0.65">
      <c r="B144" s="56" t="s">
        <v>35</v>
      </c>
      <c r="D144" s="66">
        <f>SUM(D141:O141)+$C$18*SUM(D66:O66)</f>
        <v>865200</v>
      </c>
    </row>
    <row r="145" spans="1:15" ht="14.4" outlineLevel="1" x14ac:dyDescent="0.65"/>
    <row r="146" spans="1:15" ht="14.4" outlineLevel="1" x14ac:dyDescent="0.65">
      <c r="A146" s="51" t="s">
        <v>178</v>
      </c>
      <c r="B146" s="90">
        <f>B121+1</f>
        <v>2022</v>
      </c>
      <c r="C146" s="91"/>
      <c r="D146" s="106">
        <f>EDATE(D121,12)</f>
        <v>44562</v>
      </c>
      <c r="E146" s="106">
        <f t="shared" ref="E146:O146" si="68">EDATE(E121,12)</f>
        <v>44593</v>
      </c>
      <c r="F146" s="106">
        <f t="shared" si="68"/>
        <v>44621</v>
      </c>
      <c r="G146" s="106">
        <f t="shared" si="68"/>
        <v>44652</v>
      </c>
      <c r="H146" s="106">
        <f t="shared" si="68"/>
        <v>44682</v>
      </c>
      <c r="I146" s="106">
        <f t="shared" si="68"/>
        <v>44713</v>
      </c>
      <c r="J146" s="106">
        <f t="shared" si="68"/>
        <v>44743</v>
      </c>
      <c r="K146" s="106">
        <f t="shared" si="68"/>
        <v>44774</v>
      </c>
      <c r="L146" s="106">
        <f t="shared" si="68"/>
        <v>44805</v>
      </c>
      <c r="M146" s="106">
        <f t="shared" si="68"/>
        <v>44835</v>
      </c>
      <c r="N146" s="106">
        <f t="shared" si="68"/>
        <v>44866</v>
      </c>
      <c r="O146" s="106">
        <f t="shared" si="68"/>
        <v>44896</v>
      </c>
    </row>
    <row r="147" spans="1:15" ht="14.4" outlineLevel="2" x14ac:dyDescent="0.65">
      <c r="B147" s="56" t="s">
        <v>10</v>
      </c>
    </row>
    <row r="148" spans="1:15" ht="14.4" outlineLevel="2" x14ac:dyDescent="0.65">
      <c r="B148" s="51" t="s">
        <v>11</v>
      </c>
      <c r="D148" s="58">
        <f>O126</f>
        <v>672.30347950572241</v>
      </c>
      <c r="E148" s="53">
        <f t="shared" ref="E148:O148" si="69">D151</f>
        <v>687.13437512055077</v>
      </c>
      <c r="F148" s="53">
        <f t="shared" si="69"/>
        <v>701.52034386693424</v>
      </c>
      <c r="G148" s="53">
        <f t="shared" si="69"/>
        <v>715.4747335509262</v>
      </c>
      <c r="H148" s="53">
        <f t="shared" si="69"/>
        <v>729.01049154439841</v>
      </c>
      <c r="I148" s="53">
        <f t="shared" si="69"/>
        <v>742.14017679806648</v>
      </c>
      <c r="J148" s="53">
        <f t="shared" si="69"/>
        <v>754.87597149412454</v>
      </c>
      <c r="K148" s="53">
        <f t="shared" si="69"/>
        <v>767.22969234930076</v>
      </c>
      <c r="L148" s="53">
        <f t="shared" si="69"/>
        <v>779.21280157882177</v>
      </c>
      <c r="M148" s="53">
        <f t="shared" si="69"/>
        <v>790.83641753145707</v>
      </c>
      <c r="N148" s="53">
        <f t="shared" si="69"/>
        <v>802.11132500551332</v>
      </c>
      <c r="O148" s="53">
        <f t="shared" si="69"/>
        <v>813.04798525534795</v>
      </c>
    </row>
    <row r="149" spans="1:15" ht="14.4" outlineLevel="2" x14ac:dyDescent="0.65">
      <c r="B149" s="51" t="s">
        <v>12</v>
      </c>
      <c r="D149" s="104">
        <v>35</v>
      </c>
      <c r="E149" s="104">
        <v>35</v>
      </c>
      <c r="F149" s="104">
        <v>35</v>
      </c>
      <c r="G149" s="104">
        <v>35</v>
      </c>
      <c r="H149" s="104">
        <v>35</v>
      </c>
      <c r="I149" s="104">
        <v>35</v>
      </c>
      <c r="J149" s="104">
        <v>35</v>
      </c>
      <c r="K149" s="104">
        <v>35</v>
      </c>
      <c r="L149" s="104">
        <v>35</v>
      </c>
      <c r="M149" s="104">
        <v>35</v>
      </c>
      <c r="N149" s="104">
        <v>35</v>
      </c>
      <c r="O149" s="104">
        <v>35</v>
      </c>
    </row>
    <row r="150" spans="1:15" ht="14.4" outlineLevel="2" x14ac:dyDescent="0.65">
      <c r="B150" s="51" t="s">
        <v>13</v>
      </c>
      <c r="D150" s="58">
        <f t="shared" ref="D150:O150" si="70">-$C$16*D148</f>
        <v>-20.169104385171671</v>
      </c>
      <c r="E150" s="58">
        <f t="shared" si="70"/>
        <v>-20.614031253616524</v>
      </c>
      <c r="F150" s="58">
        <f t="shared" si="70"/>
        <v>-21.045610316008027</v>
      </c>
      <c r="G150" s="58">
        <f t="shared" si="70"/>
        <v>-21.464242006527787</v>
      </c>
      <c r="H150" s="58">
        <f t="shared" si="70"/>
        <v>-21.87031474633195</v>
      </c>
      <c r="I150" s="58">
        <f t="shared" si="70"/>
        <v>-22.264205303941992</v>
      </c>
      <c r="J150" s="58">
        <f t="shared" si="70"/>
        <v>-22.646279144823737</v>
      </c>
      <c r="K150" s="58">
        <f t="shared" si="70"/>
        <v>-23.016890770479023</v>
      </c>
      <c r="L150" s="58">
        <f t="shared" si="70"/>
        <v>-23.376384047364652</v>
      </c>
      <c r="M150" s="58">
        <f t="shared" si="70"/>
        <v>-23.725092525943712</v>
      </c>
      <c r="N150" s="58">
        <f t="shared" si="70"/>
        <v>-24.063339750165397</v>
      </c>
      <c r="O150" s="58">
        <f t="shared" si="70"/>
        <v>-24.391439557660437</v>
      </c>
    </row>
    <row r="151" spans="1:15" ht="14.4" outlineLevel="2" x14ac:dyDescent="0.65">
      <c r="B151" s="59" t="s">
        <v>14</v>
      </c>
      <c r="C151" s="60"/>
      <c r="D151" s="61">
        <f t="shared" ref="D151:O151" si="71">SUM(D148:D150)</f>
        <v>687.13437512055077</v>
      </c>
      <c r="E151" s="61">
        <f t="shared" si="71"/>
        <v>701.52034386693424</v>
      </c>
      <c r="F151" s="61">
        <f t="shared" si="71"/>
        <v>715.4747335509262</v>
      </c>
      <c r="G151" s="61">
        <f t="shared" si="71"/>
        <v>729.01049154439841</v>
      </c>
      <c r="H151" s="61">
        <f t="shared" si="71"/>
        <v>742.14017679806648</v>
      </c>
      <c r="I151" s="61">
        <f t="shared" si="71"/>
        <v>754.87597149412454</v>
      </c>
      <c r="J151" s="61">
        <f t="shared" si="71"/>
        <v>767.22969234930076</v>
      </c>
      <c r="K151" s="61">
        <f t="shared" si="71"/>
        <v>779.21280157882177</v>
      </c>
      <c r="L151" s="61">
        <f t="shared" si="71"/>
        <v>790.83641753145707</v>
      </c>
      <c r="M151" s="61">
        <f t="shared" si="71"/>
        <v>802.11132500551332</v>
      </c>
      <c r="N151" s="61">
        <f t="shared" si="71"/>
        <v>813.04798525534795</v>
      </c>
      <c r="O151" s="61">
        <f t="shared" si="71"/>
        <v>823.65654569768753</v>
      </c>
    </row>
    <row r="152" spans="1:15" ht="14.4" outlineLevel="2" x14ac:dyDescent="0.65"/>
    <row r="153" spans="1:15" ht="14.4" outlineLevel="2" x14ac:dyDescent="0.65">
      <c r="B153" s="51" t="s">
        <v>15</v>
      </c>
      <c r="D153" s="58">
        <f>O132</f>
        <v>90638.215085695439</v>
      </c>
      <c r="E153" s="53">
        <f t="shared" ref="E153:O153" si="72">D157</f>
        <v>92778.641859410011</v>
      </c>
      <c r="F153" s="53">
        <f t="shared" si="72"/>
        <v>94886.962231518861</v>
      </c>
      <c r="G153" s="53">
        <f t="shared" si="72"/>
        <v>96963.657798046086</v>
      </c>
      <c r="H153" s="53">
        <f t="shared" si="72"/>
        <v>99009.202931075386</v>
      </c>
      <c r="I153" s="53">
        <f t="shared" si="72"/>
        <v>101024.06488710926</v>
      </c>
      <c r="J153" s="53">
        <f t="shared" si="72"/>
        <v>103008.70391380262</v>
      </c>
      <c r="K153" s="53">
        <f t="shared" si="72"/>
        <v>104963.57335509558</v>
      </c>
      <c r="L153" s="53">
        <f t="shared" si="72"/>
        <v>106889.11975476916</v>
      </c>
      <c r="M153" s="53">
        <f t="shared" si="72"/>
        <v>108785.78295844761</v>
      </c>
      <c r="N153" s="53">
        <f t="shared" si="72"/>
        <v>110653.9962140709</v>
      </c>
      <c r="O153" s="53">
        <f t="shared" si="72"/>
        <v>112494.18627085982</v>
      </c>
    </row>
    <row r="154" spans="1:15" ht="14.4" outlineLevel="2" x14ac:dyDescent="0.65">
      <c r="B154" s="51" t="s">
        <v>16</v>
      </c>
      <c r="D154" s="53">
        <f t="shared" ref="D154:O154" si="73">D149*$C$19</f>
        <v>3500</v>
      </c>
      <c r="E154" s="53">
        <f t="shared" si="73"/>
        <v>3500</v>
      </c>
      <c r="F154" s="53">
        <f t="shared" si="73"/>
        <v>3500</v>
      </c>
      <c r="G154" s="53">
        <f t="shared" si="73"/>
        <v>3500</v>
      </c>
      <c r="H154" s="53">
        <f t="shared" si="73"/>
        <v>3500</v>
      </c>
      <c r="I154" s="53">
        <f t="shared" si="73"/>
        <v>3500</v>
      </c>
      <c r="J154" s="53">
        <f t="shared" si="73"/>
        <v>3500</v>
      </c>
      <c r="K154" s="53">
        <f t="shared" si="73"/>
        <v>3500</v>
      </c>
      <c r="L154" s="53">
        <f t="shared" si="73"/>
        <v>3500</v>
      </c>
      <c r="M154" s="53">
        <f t="shared" si="73"/>
        <v>3500</v>
      </c>
      <c r="N154" s="53">
        <f t="shared" si="73"/>
        <v>3500</v>
      </c>
      <c r="O154" s="53">
        <f t="shared" si="73"/>
        <v>3500</v>
      </c>
    </row>
    <row r="155" spans="1:15" ht="14.4" outlineLevel="2" x14ac:dyDescent="0.65">
      <c r="B155" s="51" t="s">
        <v>17</v>
      </c>
      <c r="D155" s="58">
        <f t="shared" ref="D155:O155" si="74">+-D162*D153</f>
        <v>-1812.7643017139089</v>
      </c>
      <c r="E155" s="58">
        <f t="shared" si="74"/>
        <v>-1855.5728371882003</v>
      </c>
      <c r="F155" s="58">
        <f t="shared" si="74"/>
        <v>-1897.7392446303772</v>
      </c>
      <c r="G155" s="58">
        <f t="shared" si="74"/>
        <v>-1939.2731559609217</v>
      </c>
      <c r="H155" s="58">
        <f t="shared" si="74"/>
        <v>-1980.1840586215078</v>
      </c>
      <c r="I155" s="58">
        <f t="shared" si="74"/>
        <v>-2020.4812977421852</v>
      </c>
      <c r="J155" s="58">
        <f t="shared" si="74"/>
        <v>-2060.1740782760526</v>
      </c>
      <c r="K155" s="58">
        <f t="shared" si="74"/>
        <v>-2099.2714671019116</v>
      </c>
      <c r="L155" s="58">
        <f t="shared" si="74"/>
        <v>-2137.782395095383</v>
      </c>
      <c r="M155" s="58">
        <f t="shared" si="74"/>
        <v>-2175.7156591689522</v>
      </c>
      <c r="N155" s="58">
        <f t="shared" si="74"/>
        <v>-2213.0799242814178</v>
      </c>
      <c r="O155" s="58">
        <f t="shared" si="74"/>
        <v>-2249.8837254171963</v>
      </c>
    </row>
    <row r="156" spans="1:15" ht="14.4" outlineLevel="2" x14ac:dyDescent="0.65">
      <c r="B156" s="51" t="s">
        <v>18</v>
      </c>
      <c r="D156" s="58">
        <f t="shared" ref="D156:O156" si="75">+D163*D153</f>
        <v>453.19107542847723</v>
      </c>
      <c r="E156" s="58">
        <f t="shared" si="75"/>
        <v>463.89320929705008</v>
      </c>
      <c r="F156" s="58">
        <f t="shared" si="75"/>
        <v>474.43481115759431</v>
      </c>
      <c r="G156" s="58">
        <f t="shared" si="75"/>
        <v>484.81828899023043</v>
      </c>
      <c r="H156" s="58">
        <f t="shared" si="75"/>
        <v>495.04601465537695</v>
      </c>
      <c r="I156" s="58">
        <f t="shared" si="75"/>
        <v>505.12032443554631</v>
      </c>
      <c r="J156" s="58">
        <f t="shared" si="75"/>
        <v>515.04351956901314</v>
      </c>
      <c r="K156" s="58">
        <f t="shared" si="75"/>
        <v>524.81786677547791</v>
      </c>
      <c r="L156" s="58">
        <f t="shared" si="75"/>
        <v>534.44559877384575</v>
      </c>
      <c r="M156" s="58">
        <f t="shared" si="75"/>
        <v>543.92891479223806</v>
      </c>
      <c r="N156" s="58">
        <f t="shared" si="75"/>
        <v>553.26998107035445</v>
      </c>
      <c r="O156" s="58">
        <f t="shared" si="75"/>
        <v>562.47093135429907</v>
      </c>
    </row>
    <row r="157" spans="1:15" ht="14.4" outlineLevel="2" x14ac:dyDescent="0.65">
      <c r="B157" s="59" t="s">
        <v>19</v>
      </c>
      <c r="C157" s="60"/>
      <c r="D157" s="61">
        <f t="shared" ref="D157:O157" si="76">SUM(D153:D156)</f>
        <v>92778.641859410011</v>
      </c>
      <c r="E157" s="61">
        <f t="shared" si="76"/>
        <v>94886.962231518861</v>
      </c>
      <c r="F157" s="61">
        <f t="shared" si="76"/>
        <v>96963.657798046086</v>
      </c>
      <c r="G157" s="61">
        <f t="shared" si="76"/>
        <v>99009.202931075386</v>
      </c>
      <c r="H157" s="61">
        <f t="shared" si="76"/>
        <v>101024.06488710926</v>
      </c>
      <c r="I157" s="61">
        <f t="shared" si="76"/>
        <v>103008.70391380262</v>
      </c>
      <c r="J157" s="61">
        <f t="shared" si="76"/>
        <v>104963.57335509558</v>
      </c>
      <c r="K157" s="61">
        <f t="shared" si="76"/>
        <v>106889.11975476916</v>
      </c>
      <c r="L157" s="61">
        <f t="shared" si="76"/>
        <v>108785.78295844761</v>
      </c>
      <c r="M157" s="61">
        <f t="shared" si="76"/>
        <v>110653.9962140709</v>
      </c>
      <c r="N157" s="61">
        <f t="shared" si="76"/>
        <v>112494.18627085982</v>
      </c>
      <c r="O157" s="61">
        <f t="shared" si="76"/>
        <v>114306.77347679692</v>
      </c>
    </row>
    <row r="158" spans="1:15" ht="14.4" outlineLevel="2" x14ac:dyDescent="0.65">
      <c r="B158" s="62" t="s">
        <v>20</v>
      </c>
      <c r="E158" s="63">
        <f t="shared" ref="E158:O158" si="77">E157/D157-1</f>
        <v>2.2724199555579139E-2</v>
      </c>
      <c r="F158" s="63">
        <f t="shared" si="77"/>
        <v>2.1885994847850698E-2</v>
      </c>
      <c r="G158" s="63">
        <f t="shared" si="77"/>
        <v>2.1095998021132045E-2</v>
      </c>
      <c r="H158" s="63">
        <f t="shared" si="77"/>
        <v>2.0350249233260786E-2</v>
      </c>
      <c r="I158" s="63">
        <f t="shared" si="77"/>
        <v>1.9645210563553617E-2</v>
      </c>
      <c r="J158" s="63">
        <f t="shared" si="77"/>
        <v>1.8977711271163988E-2</v>
      </c>
      <c r="K158" s="63">
        <f t="shared" si="77"/>
        <v>1.8344901360773935E-2</v>
      </c>
      <c r="L158" s="63">
        <f t="shared" si="77"/>
        <v>1.7744212021110206E-2</v>
      </c>
      <c r="M158" s="63">
        <f t="shared" si="77"/>
        <v>1.7173321778056971E-2</v>
      </c>
      <c r="N158" s="63">
        <f t="shared" si="77"/>
        <v>1.6630127421958685E-2</v>
      </c>
      <c r="O158" s="63">
        <f t="shared" si="77"/>
        <v>1.6112718941517779E-2</v>
      </c>
    </row>
    <row r="159" spans="1:15" ht="14.4" outlineLevel="2" x14ac:dyDescent="0.65"/>
    <row r="160" spans="1:15" ht="14.4" outlineLevel="2" x14ac:dyDescent="0.65">
      <c r="B160" s="51" t="s">
        <v>21</v>
      </c>
      <c r="D160" s="58">
        <f t="shared" ref="D160:O160" si="78">+D157/D151</f>
        <v>135.02255922378055</v>
      </c>
      <c r="E160" s="58">
        <f t="shared" si="78"/>
        <v>135.25903141807845</v>
      </c>
      <c r="F160" s="58">
        <f t="shared" si="78"/>
        <v>135.52352480263286</v>
      </c>
      <c r="G160" s="58">
        <f t="shared" si="78"/>
        <v>135.81313860288319</v>
      </c>
      <c r="H160" s="58">
        <f t="shared" si="78"/>
        <v>136.12531438868257</v>
      </c>
      <c r="I160" s="58">
        <f t="shared" si="78"/>
        <v>136.45778618428892</v>
      </c>
      <c r="J160" s="58">
        <f t="shared" si="78"/>
        <v>136.80853908780716</v>
      </c>
      <c r="K160" s="58">
        <f t="shared" si="78"/>
        <v>137.17577475394791</v>
      </c>
      <c r="L160" s="58">
        <f t="shared" si="78"/>
        <v>137.55788244807334</v>
      </c>
      <c r="M160" s="58">
        <f t="shared" si="78"/>
        <v>137.95341465015508</v>
      </c>
      <c r="N160" s="58">
        <f t="shared" si="78"/>
        <v>138.36106639576704</v>
      </c>
      <c r="O160" s="58">
        <f t="shared" si="78"/>
        <v>138.77965770304428</v>
      </c>
    </row>
    <row r="161" spans="2:27" ht="14.4" outlineLevel="2" x14ac:dyDescent="0.65"/>
    <row r="162" spans="2:27" ht="14.4" outlineLevel="2" x14ac:dyDescent="0.65">
      <c r="B162" s="52" t="s">
        <v>22</v>
      </c>
      <c r="D162" s="105">
        <v>0.02</v>
      </c>
      <c r="E162" s="105">
        <v>0.02</v>
      </c>
      <c r="F162" s="105">
        <v>0.02</v>
      </c>
      <c r="G162" s="105">
        <v>0.02</v>
      </c>
      <c r="H162" s="105">
        <v>0.02</v>
      </c>
      <c r="I162" s="105">
        <v>0.02</v>
      </c>
      <c r="J162" s="105">
        <v>0.02</v>
      </c>
      <c r="K162" s="105">
        <v>0.02</v>
      </c>
      <c r="L162" s="105">
        <v>0.02</v>
      </c>
      <c r="M162" s="105">
        <v>0.02</v>
      </c>
      <c r="N162" s="105">
        <v>0.02</v>
      </c>
      <c r="O162" s="105">
        <v>0.02</v>
      </c>
    </row>
    <row r="163" spans="2:27" ht="14.4" outlineLevel="2" x14ac:dyDescent="0.65">
      <c r="B163" s="52" t="s">
        <v>23</v>
      </c>
      <c r="D163" s="105">
        <v>5.0000000000000001E-3</v>
      </c>
      <c r="E163" s="105">
        <v>5.0000000000000001E-3</v>
      </c>
      <c r="F163" s="105">
        <v>5.0000000000000001E-3</v>
      </c>
      <c r="G163" s="105">
        <v>5.0000000000000001E-3</v>
      </c>
      <c r="H163" s="105">
        <v>5.0000000000000001E-3</v>
      </c>
      <c r="I163" s="105">
        <v>5.0000000000000001E-3</v>
      </c>
      <c r="J163" s="105">
        <v>5.0000000000000001E-3</v>
      </c>
      <c r="K163" s="105">
        <v>5.0000000000000001E-3</v>
      </c>
      <c r="L163" s="105">
        <v>5.0000000000000001E-3</v>
      </c>
      <c r="M163" s="105">
        <v>5.0000000000000001E-3</v>
      </c>
      <c r="N163" s="105">
        <v>5.0000000000000001E-3</v>
      </c>
      <c r="O163" s="105">
        <v>5.0000000000000001E-3</v>
      </c>
    </row>
    <row r="164" spans="2:27" ht="14.4" outlineLevel="2" x14ac:dyDescent="0.65">
      <c r="B164" s="64" t="s">
        <v>24</v>
      </c>
      <c r="C164" s="56"/>
      <c r="D164" s="65">
        <f t="shared" ref="D164:O164" si="79">+(-D155-D156)/D153</f>
        <v>1.5000000000000001E-2</v>
      </c>
      <c r="E164" s="65">
        <f t="shared" si="79"/>
        <v>1.4999999999999999E-2</v>
      </c>
      <c r="F164" s="65">
        <f t="shared" si="79"/>
        <v>1.4999999999999999E-2</v>
      </c>
      <c r="G164" s="65">
        <f t="shared" si="79"/>
        <v>1.4999999999999999E-2</v>
      </c>
      <c r="H164" s="65">
        <f t="shared" si="79"/>
        <v>1.5000000000000001E-2</v>
      </c>
      <c r="I164" s="65">
        <f t="shared" si="79"/>
        <v>1.5000000000000001E-2</v>
      </c>
      <c r="J164" s="65">
        <f t="shared" si="79"/>
        <v>1.5000000000000001E-2</v>
      </c>
      <c r="K164" s="65">
        <f t="shared" si="79"/>
        <v>1.5000000000000001E-2</v>
      </c>
      <c r="L164" s="65">
        <f t="shared" si="79"/>
        <v>1.4999999999999999E-2</v>
      </c>
      <c r="M164" s="65">
        <f t="shared" si="79"/>
        <v>1.4999999999999999E-2</v>
      </c>
      <c r="N164" s="65">
        <f t="shared" si="79"/>
        <v>1.4999999999999999E-2</v>
      </c>
      <c r="O164" s="65">
        <f t="shared" si="79"/>
        <v>1.4999999999999999E-2</v>
      </c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spans="2:27" ht="14.4" outlineLevel="2" x14ac:dyDescent="0.65">
      <c r="B165" s="64"/>
      <c r="C165" s="5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spans="2:27" ht="14.4" outlineLevel="2" x14ac:dyDescent="0.65">
      <c r="B166" s="51" t="s">
        <v>25</v>
      </c>
      <c r="D166" s="53">
        <f t="shared" ref="D166:K166" si="80">D154*$C$17++($C$17*$C$18*H79)</f>
        <v>64800</v>
      </c>
      <c r="E166" s="53">
        <f t="shared" si="80"/>
        <v>64800</v>
      </c>
      <c r="F166" s="53">
        <f t="shared" si="80"/>
        <v>64800</v>
      </c>
      <c r="G166" s="53">
        <f t="shared" si="80"/>
        <v>64800</v>
      </c>
      <c r="H166" s="53">
        <f t="shared" si="80"/>
        <v>64800</v>
      </c>
      <c r="I166" s="53">
        <f t="shared" si="80"/>
        <v>64800</v>
      </c>
      <c r="J166" s="53">
        <f t="shared" si="80"/>
        <v>64800</v>
      </c>
      <c r="K166" s="53">
        <f t="shared" si="80"/>
        <v>64800</v>
      </c>
      <c r="L166" s="53">
        <f t="shared" ref="L166:O166" si="81">L154*$C$17++($C$17*$C$18*D104)</f>
        <v>70500</v>
      </c>
      <c r="M166" s="53">
        <f t="shared" si="81"/>
        <v>70500</v>
      </c>
      <c r="N166" s="53">
        <f t="shared" si="81"/>
        <v>70500</v>
      </c>
      <c r="O166" s="53">
        <f t="shared" si="81"/>
        <v>70500</v>
      </c>
    </row>
    <row r="167" spans="2:27" ht="14.4" outlineLevel="2" x14ac:dyDescent="0.65"/>
    <row r="168" spans="2:27" ht="14.4" outlineLevel="2" x14ac:dyDescent="0.65">
      <c r="B168" s="56" t="s">
        <v>36</v>
      </c>
      <c r="C168" s="56"/>
      <c r="D168" s="66">
        <f>SUM(D157:O157)</f>
        <v>1245764.6656510022</v>
      </c>
    </row>
    <row r="169" spans="2:27" ht="14.4" outlineLevel="2" x14ac:dyDescent="0.65">
      <c r="B169" s="56" t="s">
        <v>37</v>
      </c>
      <c r="D169" s="66">
        <f>SUM(D166:O166)+$C$18*SUM(D91:O91)</f>
        <v>1117320</v>
      </c>
    </row>
    <row r="170" spans="2:27" ht="9.75" customHeight="1" outlineLevel="2" x14ac:dyDescent="0.65"/>
    <row r="171" spans="2:27" ht="9.75" customHeight="1" outlineLevel="1" x14ac:dyDescent="0.65"/>
    <row r="172" spans="2:27" ht="9.75" customHeight="1" outlineLevel="1" x14ac:dyDescent="0.65"/>
    <row r="173" spans="2:27" ht="9.75" customHeight="1" x14ac:dyDescent="0.65"/>
    <row r="174" spans="2:27" ht="9.75" customHeight="1" x14ac:dyDescent="0.65"/>
    <row r="175" spans="2:27" ht="9.75" customHeight="1" x14ac:dyDescent="0.65"/>
    <row r="176" spans="2:27" ht="9.75" customHeight="1" x14ac:dyDescent="0.65"/>
    <row r="177" spans="1:1" ht="9.75" customHeight="1" x14ac:dyDescent="0.65"/>
    <row r="178" spans="1:1" ht="9.75" customHeight="1" x14ac:dyDescent="0.65"/>
    <row r="179" spans="1:1" ht="9.75" customHeight="1" x14ac:dyDescent="0.65"/>
    <row r="180" spans="1:1" ht="9.75" customHeight="1" x14ac:dyDescent="0.65"/>
    <row r="181" spans="1:1" ht="9.75" customHeight="1" x14ac:dyDescent="0.65"/>
    <row r="182" spans="1:1" ht="9.75" customHeight="1" x14ac:dyDescent="0.65"/>
    <row r="183" spans="1:1" ht="9.75" customHeight="1" x14ac:dyDescent="0.65"/>
    <row r="184" spans="1:1" ht="9.75" customHeight="1" x14ac:dyDescent="0.65"/>
    <row r="185" spans="1:1" ht="9.75" customHeight="1" x14ac:dyDescent="0.65"/>
    <row r="186" spans="1:1" ht="9.75" customHeight="1" x14ac:dyDescent="0.65">
      <c r="A186" s="51" t="s">
        <v>178</v>
      </c>
    </row>
    <row r="187" spans="1:1" ht="9.75" customHeight="1" x14ac:dyDescent="0.65"/>
    <row r="188" spans="1:1" ht="9.75" customHeight="1" x14ac:dyDescent="0.65"/>
    <row r="189" spans="1:1" ht="9.75" customHeight="1" x14ac:dyDescent="0.65"/>
    <row r="190" spans="1:1" ht="9.75" customHeight="1" x14ac:dyDescent="0.65"/>
    <row r="191" spans="1:1" ht="9.75" customHeight="1" x14ac:dyDescent="0.65"/>
    <row r="192" spans="1:1" ht="9.75" customHeight="1" x14ac:dyDescent="0.65"/>
    <row r="193" ht="9.75" customHeight="1" x14ac:dyDescent="0.65"/>
    <row r="194" ht="9.75" customHeight="1" x14ac:dyDescent="0.65"/>
    <row r="195" ht="9.75" customHeight="1" x14ac:dyDescent="0.65"/>
    <row r="196" ht="9.75" customHeight="1" x14ac:dyDescent="0.65"/>
    <row r="197" ht="9.75" customHeight="1" x14ac:dyDescent="0.65"/>
    <row r="198" ht="9.75" customHeight="1" x14ac:dyDescent="0.65"/>
    <row r="199" ht="9.75" customHeight="1" x14ac:dyDescent="0.65"/>
    <row r="200" ht="9.75" customHeight="1" x14ac:dyDescent="0.65"/>
    <row r="201" ht="9.75" customHeight="1" x14ac:dyDescent="0.65"/>
    <row r="202" ht="9.75" customHeight="1" x14ac:dyDescent="0.65"/>
    <row r="203" ht="9.75" customHeight="1" x14ac:dyDescent="0.65"/>
    <row r="204" ht="9.75" customHeight="1" x14ac:dyDescent="0.65"/>
    <row r="205" ht="9.75" customHeight="1" x14ac:dyDescent="0.65"/>
    <row r="206" ht="9.75" customHeight="1" x14ac:dyDescent="0.65"/>
    <row r="207" ht="9.75" customHeight="1" x14ac:dyDescent="0.65"/>
    <row r="208" ht="9.75" customHeight="1" x14ac:dyDescent="0.65"/>
    <row r="209" ht="9.75" customHeight="1" x14ac:dyDescent="0.65"/>
    <row r="210" ht="9.75" customHeight="1" x14ac:dyDescent="0.65"/>
    <row r="211" ht="9.75" customHeight="1" x14ac:dyDescent="0.65"/>
    <row r="212" ht="9.75" customHeight="1" x14ac:dyDescent="0.65"/>
    <row r="213" ht="9.75" customHeight="1" x14ac:dyDescent="0.65"/>
    <row r="214" ht="9.75" customHeight="1" x14ac:dyDescent="0.65"/>
    <row r="215" ht="9.75" customHeight="1" x14ac:dyDescent="0.65"/>
    <row r="216" ht="9.75" customHeight="1" x14ac:dyDescent="0.65"/>
    <row r="217" ht="9.75" customHeight="1" x14ac:dyDescent="0.65"/>
    <row r="218" ht="9.75" customHeight="1" x14ac:dyDescent="0.65"/>
    <row r="219" ht="9.75" customHeight="1" x14ac:dyDescent="0.65"/>
    <row r="220" ht="9.75" customHeight="1" x14ac:dyDescent="0.65"/>
    <row r="221" ht="9.75" customHeight="1" x14ac:dyDescent="0.65"/>
    <row r="222" ht="9.75" customHeight="1" x14ac:dyDescent="0.65"/>
    <row r="223" ht="9.75" customHeight="1" x14ac:dyDescent="0.65"/>
    <row r="224" ht="9.75" customHeight="1" x14ac:dyDescent="0.65"/>
    <row r="225" ht="9.75" customHeight="1" x14ac:dyDescent="0.65"/>
    <row r="226" ht="9.75" customHeight="1" x14ac:dyDescent="0.65"/>
    <row r="227" ht="9.75" customHeight="1" x14ac:dyDescent="0.65"/>
    <row r="228" ht="9.75" customHeight="1" x14ac:dyDescent="0.65"/>
    <row r="229" ht="9.75" customHeight="1" x14ac:dyDescent="0.65"/>
    <row r="230" ht="9.75" customHeight="1" x14ac:dyDescent="0.65"/>
    <row r="231" ht="9.75" customHeight="1" x14ac:dyDescent="0.65"/>
    <row r="232" ht="9.75" customHeight="1" x14ac:dyDescent="0.65"/>
    <row r="233" ht="9.75" customHeight="1" x14ac:dyDescent="0.65"/>
    <row r="234" ht="9.75" customHeight="1" x14ac:dyDescent="0.65"/>
    <row r="235" ht="9.75" customHeight="1" x14ac:dyDescent="0.65"/>
    <row r="236" ht="9.75" customHeight="1" x14ac:dyDescent="0.65"/>
    <row r="237" ht="9.75" customHeight="1" x14ac:dyDescent="0.65"/>
    <row r="238" ht="9.75" customHeight="1" x14ac:dyDescent="0.65"/>
    <row r="239" ht="9.75" customHeight="1" x14ac:dyDescent="0.65"/>
    <row r="240" ht="9.75" customHeight="1" x14ac:dyDescent="0.65"/>
    <row r="241" ht="9.75" customHeight="1" x14ac:dyDescent="0.65"/>
    <row r="242" ht="9.75" customHeight="1" x14ac:dyDescent="0.65"/>
    <row r="243" ht="9.75" customHeight="1" x14ac:dyDescent="0.65"/>
    <row r="244" ht="9.75" customHeight="1" x14ac:dyDescent="0.65"/>
    <row r="245" ht="9.75" customHeight="1" x14ac:dyDescent="0.65"/>
    <row r="246" ht="9.75" customHeight="1" x14ac:dyDescent="0.65"/>
    <row r="247" ht="9.75" customHeight="1" x14ac:dyDescent="0.65"/>
    <row r="248" ht="9.75" customHeight="1" x14ac:dyDescent="0.65"/>
    <row r="249" ht="9.75" customHeight="1" x14ac:dyDescent="0.65"/>
    <row r="250" ht="9.75" customHeight="1" x14ac:dyDescent="0.65"/>
    <row r="251" ht="9.75" customHeight="1" x14ac:dyDescent="0.65"/>
    <row r="252" ht="9.75" customHeight="1" x14ac:dyDescent="0.65"/>
    <row r="253" ht="9.75" customHeight="1" x14ac:dyDescent="0.65"/>
    <row r="254" ht="9.75" customHeight="1" x14ac:dyDescent="0.65"/>
    <row r="255" ht="9.75" customHeight="1" x14ac:dyDescent="0.65"/>
    <row r="256" ht="9.75" customHeight="1" x14ac:dyDescent="0.65"/>
    <row r="257" ht="9.75" customHeight="1" x14ac:dyDescent="0.65"/>
    <row r="258" ht="9.75" customHeight="1" x14ac:dyDescent="0.65"/>
    <row r="259" ht="9.75" customHeight="1" x14ac:dyDescent="0.65"/>
    <row r="260" ht="9.75" customHeight="1" x14ac:dyDescent="0.65"/>
    <row r="261" ht="9.75" customHeight="1" x14ac:dyDescent="0.65"/>
    <row r="262" ht="9.75" customHeight="1" x14ac:dyDescent="0.65"/>
    <row r="263" ht="9.75" customHeight="1" x14ac:dyDescent="0.65"/>
    <row r="264" ht="9.75" customHeight="1" x14ac:dyDescent="0.65"/>
    <row r="265" ht="9.75" customHeight="1" x14ac:dyDescent="0.65"/>
    <row r="266" ht="9.75" customHeight="1" x14ac:dyDescent="0.65"/>
    <row r="267" ht="9.75" customHeight="1" x14ac:dyDescent="0.65"/>
    <row r="268" ht="9.75" customHeight="1" x14ac:dyDescent="0.65"/>
    <row r="269" ht="9.75" customHeight="1" x14ac:dyDescent="0.65"/>
    <row r="270" ht="9.75" customHeight="1" x14ac:dyDescent="0.65"/>
    <row r="271" ht="9.75" customHeight="1" x14ac:dyDescent="0.65"/>
    <row r="272" ht="9.75" customHeight="1" x14ac:dyDescent="0.65"/>
    <row r="273" ht="9.75" customHeight="1" x14ac:dyDescent="0.65"/>
    <row r="274" ht="9.75" customHeight="1" x14ac:dyDescent="0.65"/>
    <row r="275" ht="9.75" customHeight="1" x14ac:dyDescent="0.65"/>
    <row r="276" ht="9.75" customHeight="1" x14ac:dyDescent="0.65"/>
    <row r="277" ht="9.75" customHeight="1" x14ac:dyDescent="0.65"/>
    <row r="278" ht="9.75" customHeight="1" x14ac:dyDescent="0.65"/>
    <row r="279" ht="9.75" customHeight="1" x14ac:dyDescent="0.65"/>
    <row r="280" ht="9.75" customHeight="1" x14ac:dyDescent="0.65"/>
    <row r="281" ht="9.75" customHeight="1" x14ac:dyDescent="0.65"/>
    <row r="282" ht="9.75" customHeight="1" x14ac:dyDescent="0.65"/>
    <row r="283" ht="9.75" customHeight="1" x14ac:dyDescent="0.65"/>
    <row r="284" ht="9.75" customHeight="1" x14ac:dyDescent="0.65"/>
    <row r="285" ht="9.75" customHeight="1" x14ac:dyDescent="0.65"/>
    <row r="286" ht="9.75" customHeight="1" x14ac:dyDescent="0.65"/>
    <row r="287" ht="9.75" customHeight="1" x14ac:dyDescent="0.65"/>
    <row r="288" ht="9.75" customHeight="1" x14ac:dyDescent="0.65"/>
    <row r="289" ht="9.75" customHeight="1" x14ac:dyDescent="0.65"/>
    <row r="290" ht="9.75" customHeight="1" x14ac:dyDescent="0.65"/>
    <row r="291" ht="9.75" customHeight="1" x14ac:dyDescent="0.65"/>
    <row r="292" ht="9.75" customHeight="1" x14ac:dyDescent="0.65"/>
    <row r="293" ht="9.75" customHeight="1" x14ac:dyDescent="0.65"/>
    <row r="294" ht="9.75" customHeight="1" x14ac:dyDescent="0.65"/>
    <row r="295" ht="9.75" customHeight="1" x14ac:dyDescent="0.65"/>
    <row r="296" ht="9.75" customHeight="1" x14ac:dyDescent="0.65"/>
    <row r="297" ht="9.75" customHeight="1" x14ac:dyDescent="0.65"/>
    <row r="298" ht="9.75" customHeight="1" x14ac:dyDescent="0.65"/>
    <row r="299" ht="9.75" customHeight="1" x14ac:dyDescent="0.65"/>
    <row r="300" ht="9.75" customHeight="1" x14ac:dyDescent="0.65"/>
    <row r="301" ht="9.75" customHeight="1" x14ac:dyDescent="0.65"/>
    <row r="302" ht="9.75" customHeight="1" x14ac:dyDescent="0.65"/>
    <row r="303" ht="9.75" customHeight="1" x14ac:dyDescent="0.65"/>
    <row r="304" ht="9.75" customHeight="1" x14ac:dyDescent="0.65"/>
    <row r="305" ht="9.75" customHeight="1" x14ac:dyDescent="0.65"/>
    <row r="306" ht="9.75" customHeight="1" x14ac:dyDescent="0.65"/>
    <row r="307" ht="9.75" customHeight="1" x14ac:dyDescent="0.65"/>
    <row r="308" ht="9.75" customHeight="1" x14ac:dyDescent="0.65"/>
    <row r="309" ht="9.75" customHeight="1" x14ac:dyDescent="0.65"/>
    <row r="310" ht="9.75" customHeight="1" x14ac:dyDescent="0.65"/>
    <row r="311" ht="9.75" customHeight="1" x14ac:dyDescent="0.65"/>
    <row r="312" ht="9.75" customHeight="1" x14ac:dyDescent="0.65"/>
    <row r="313" ht="9.75" customHeight="1" x14ac:dyDescent="0.65"/>
    <row r="314" ht="9.75" customHeight="1" x14ac:dyDescent="0.65"/>
    <row r="315" ht="9.75" customHeight="1" x14ac:dyDescent="0.65"/>
    <row r="316" ht="9.75" customHeight="1" x14ac:dyDescent="0.65"/>
    <row r="317" ht="9.75" customHeight="1" x14ac:dyDescent="0.65"/>
    <row r="318" ht="9.75" customHeight="1" x14ac:dyDescent="0.65"/>
    <row r="319" ht="9.75" customHeight="1" x14ac:dyDescent="0.65"/>
    <row r="320" ht="9.75" customHeight="1" x14ac:dyDescent="0.65"/>
    <row r="321" ht="9.75" customHeight="1" x14ac:dyDescent="0.65"/>
    <row r="322" ht="9.75" customHeight="1" x14ac:dyDescent="0.65"/>
    <row r="323" ht="9.75" customHeight="1" x14ac:dyDescent="0.65"/>
    <row r="324" ht="9.75" customHeight="1" x14ac:dyDescent="0.65"/>
    <row r="325" ht="9.75" customHeight="1" x14ac:dyDescent="0.65"/>
    <row r="326" ht="9.75" customHeight="1" x14ac:dyDescent="0.65"/>
    <row r="327" ht="9.75" customHeight="1" x14ac:dyDescent="0.65"/>
    <row r="328" ht="9.75" customHeight="1" x14ac:dyDescent="0.65"/>
    <row r="329" ht="9.75" customHeight="1" x14ac:dyDescent="0.65"/>
    <row r="330" ht="9.75" customHeight="1" x14ac:dyDescent="0.65"/>
    <row r="331" ht="9.75" customHeight="1" x14ac:dyDescent="0.65"/>
    <row r="332" ht="9.75" customHeight="1" x14ac:dyDescent="0.65"/>
    <row r="333" ht="9.75" customHeight="1" x14ac:dyDescent="0.65"/>
    <row r="334" ht="9.75" customHeight="1" x14ac:dyDescent="0.65"/>
    <row r="335" ht="9.75" customHeight="1" x14ac:dyDescent="0.65"/>
    <row r="336" ht="9.75" customHeight="1" x14ac:dyDescent="0.65"/>
    <row r="337" ht="9.75" customHeight="1" x14ac:dyDescent="0.65"/>
    <row r="338" ht="9.75" customHeight="1" x14ac:dyDescent="0.65"/>
    <row r="339" ht="9.75" customHeight="1" x14ac:dyDescent="0.65"/>
    <row r="340" ht="9.75" customHeight="1" x14ac:dyDescent="0.65"/>
    <row r="341" ht="9.75" customHeight="1" x14ac:dyDescent="0.65"/>
    <row r="342" ht="9.75" customHeight="1" x14ac:dyDescent="0.65"/>
    <row r="343" ht="9.75" customHeight="1" x14ac:dyDescent="0.65"/>
    <row r="344" ht="9.75" customHeight="1" x14ac:dyDescent="0.65"/>
    <row r="345" ht="9.75" customHeight="1" x14ac:dyDescent="0.65"/>
    <row r="346" ht="9.75" customHeight="1" x14ac:dyDescent="0.65"/>
    <row r="347" ht="9.75" customHeight="1" x14ac:dyDescent="0.65"/>
    <row r="348" ht="9.75" customHeight="1" x14ac:dyDescent="0.65"/>
    <row r="349" ht="9.75" customHeight="1" x14ac:dyDescent="0.65"/>
    <row r="350" ht="9.75" customHeight="1" x14ac:dyDescent="0.65"/>
    <row r="351" ht="9.75" customHeight="1" x14ac:dyDescent="0.65"/>
    <row r="352" ht="9.75" customHeight="1" x14ac:dyDescent="0.65"/>
    <row r="353" ht="9.75" customHeight="1" x14ac:dyDescent="0.65"/>
    <row r="354" ht="9.75" customHeight="1" x14ac:dyDescent="0.65"/>
    <row r="355" ht="9.75" customHeight="1" x14ac:dyDescent="0.65"/>
    <row r="356" ht="9.75" customHeight="1" x14ac:dyDescent="0.65"/>
    <row r="357" ht="9.75" customHeight="1" x14ac:dyDescent="0.65"/>
    <row r="358" ht="9.75" customHeight="1" x14ac:dyDescent="0.65"/>
    <row r="359" ht="9.75" customHeight="1" x14ac:dyDescent="0.65"/>
    <row r="360" ht="9.75" customHeight="1" x14ac:dyDescent="0.65"/>
    <row r="361" ht="9.75" customHeight="1" x14ac:dyDescent="0.65"/>
    <row r="362" ht="9.75" customHeight="1" x14ac:dyDescent="0.65"/>
    <row r="363" ht="9.75" customHeight="1" x14ac:dyDescent="0.65"/>
    <row r="364" ht="9.75" customHeight="1" x14ac:dyDescent="0.65"/>
    <row r="365" ht="9.75" customHeight="1" x14ac:dyDescent="0.65"/>
    <row r="366" ht="9.75" customHeight="1" x14ac:dyDescent="0.65"/>
    <row r="367" ht="9.75" customHeight="1" x14ac:dyDescent="0.65"/>
    <row r="368" ht="9.75" customHeight="1" x14ac:dyDescent="0.65"/>
    <row r="369" ht="9.75" customHeight="1" x14ac:dyDescent="0.65"/>
    <row r="370" ht="9.75" customHeight="1" x14ac:dyDescent="0.65"/>
    <row r="371" ht="9.75" customHeight="1" x14ac:dyDescent="0.65"/>
    <row r="372" ht="9.75" customHeight="1" x14ac:dyDescent="0.65"/>
    <row r="373" ht="9.75" customHeight="1" x14ac:dyDescent="0.65"/>
    <row r="374" ht="9.75" customHeight="1" x14ac:dyDescent="0.65"/>
    <row r="375" ht="9.75" customHeight="1" x14ac:dyDescent="0.65"/>
    <row r="376" ht="9.75" customHeight="1" x14ac:dyDescent="0.65"/>
    <row r="377" ht="9.75" customHeight="1" x14ac:dyDescent="0.65"/>
    <row r="378" ht="9.75" customHeight="1" x14ac:dyDescent="0.65"/>
    <row r="379" ht="9.75" customHeight="1" x14ac:dyDescent="0.65"/>
    <row r="380" ht="9.75" customHeight="1" x14ac:dyDescent="0.65"/>
    <row r="381" ht="9.75" customHeight="1" x14ac:dyDescent="0.65"/>
    <row r="382" ht="9.75" customHeight="1" x14ac:dyDescent="0.65"/>
    <row r="383" ht="9.75" customHeight="1" x14ac:dyDescent="0.65"/>
    <row r="384" ht="9.75" customHeight="1" x14ac:dyDescent="0.65"/>
    <row r="385" ht="9.75" customHeight="1" x14ac:dyDescent="0.65"/>
    <row r="386" ht="9.75" customHeight="1" x14ac:dyDescent="0.65"/>
    <row r="387" ht="9.75" customHeight="1" x14ac:dyDescent="0.65"/>
    <row r="388" ht="9.75" customHeight="1" x14ac:dyDescent="0.65"/>
    <row r="389" ht="9.75" customHeight="1" x14ac:dyDescent="0.65"/>
    <row r="390" ht="9.75" customHeight="1" x14ac:dyDescent="0.65"/>
    <row r="391" ht="9.75" customHeight="1" x14ac:dyDescent="0.65"/>
    <row r="392" ht="9.75" customHeight="1" x14ac:dyDescent="0.65"/>
    <row r="393" ht="9.75" customHeight="1" x14ac:dyDescent="0.65"/>
    <row r="394" ht="9.75" customHeight="1" x14ac:dyDescent="0.65"/>
    <row r="395" ht="9.75" customHeight="1" x14ac:dyDescent="0.65"/>
    <row r="396" ht="9.75" customHeight="1" x14ac:dyDescent="0.65"/>
    <row r="397" ht="9.75" customHeight="1" x14ac:dyDescent="0.65"/>
    <row r="398" ht="9.75" customHeight="1" x14ac:dyDescent="0.65"/>
    <row r="399" ht="9.75" customHeight="1" x14ac:dyDescent="0.65"/>
    <row r="400" ht="9.75" customHeight="1" x14ac:dyDescent="0.65"/>
    <row r="401" ht="9.75" customHeight="1" x14ac:dyDescent="0.65"/>
    <row r="402" ht="9.75" customHeight="1" x14ac:dyDescent="0.65"/>
    <row r="403" ht="9.75" customHeight="1" x14ac:dyDescent="0.65"/>
    <row r="404" ht="9.75" customHeight="1" x14ac:dyDescent="0.65"/>
    <row r="405" ht="9.75" customHeight="1" x14ac:dyDescent="0.65"/>
    <row r="406" ht="9.75" customHeight="1" x14ac:dyDescent="0.65"/>
    <row r="407" ht="9.75" customHeight="1" x14ac:dyDescent="0.65"/>
    <row r="408" ht="9.75" customHeight="1" x14ac:dyDescent="0.65"/>
    <row r="409" ht="9.75" customHeight="1" x14ac:dyDescent="0.65"/>
    <row r="410" ht="9.75" customHeight="1" x14ac:dyDescent="0.65"/>
    <row r="411" ht="9.75" customHeight="1" x14ac:dyDescent="0.65"/>
    <row r="412" ht="9.75" customHeight="1" x14ac:dyDescent="0.65"/>
    <row r="413" ht="9.75" customHeight="1" x14ac:dyDescent="0.65"/>
    <row r="414" ht="9.75" customHeight="1" x14ac:dyDescent="0.65"/>
    <row r="415" ht="9.75" customHeight="1" x14ac:dyDescent="0.65"/>
    <row r="416" ht="9.75" customHeight="1" x14ac:dyDescent="0.65"/>
    <row r="417" ht="9.75" customHeight="1" x14ac:dyDescent="0.65"/>
    <row r="418" ht="9.75" customHeight="1" x14ac:dyDescent="0.65"/>
    <row r="419" ht="9.75" customHeight="1" x14ac:dyDescent="0.65"/>
    <row r="420" ht="9.75" customHeight="1" x14ac:dyDescent="0.65"/>
    <row r="421" ht="9.75" customHeight="1" x14ac:dyDescent="0.65"/>
    <row r="422" ht="9.75" customHeight="1" x14ac:dyDescent="0.65"/>
    <row r="423" ht="9.75" customHeight="1" x14ac:dyDescent="0.65"/>
    <row r="424" ht="9.75" customHeight="1" x14ac:dyDescent="0.65"/>
    <row r="425" ht="9.75" customHeight="1" x14ac:dyDescent="0.65"/>
    <row r="426" ht="9.75" customHeight="1" x14ac:dyDescent="0.65"/>
    <row r="427" ht="9.75" customHeight="1" x14ac:dyDescent="0.65"/>
    <row r="428" ht="9.75" customHeight="1" x14ac:dyDescent="0.65"/>
    <row r="429" ht="9.75" customHeight="1" x14ac:dyDescent="0.65"/>
    <row r="430" ht="9.75" customHeight="1" x14ac:dyDescent="0.65"/>
    <row r="431" ht="9.75" customHeight="1" x14ac:dyDescent="0.65"/>
    <row r="432" ht="9.75" customHeight="1" x14ac:dyDescent="0.65"/>
    <row r="433" ht="9.75" customHeight="1" x14ac:dyDescent="0.65"/>
    <row r="434" ht="9.75" customHeight="1" x14ac:dyDescent="0.65"/>
    <row r="435" ht="9.75" customHeight="1" x14ac:dyDescent="0.65"/>
    <row r="436" ht="9.75" customHeight="1" x14ac:dyDescent="0.65"/>
    <row r="437" ht="9.75" customHeight="1" x14ac:dyDescent="0.65"/>
    <row r="438" ht="9.75" customHeight="1" x14ac:dyDescent="0.65"/>
    <row r="439" ht="9.75" customHeight="1" x14ac:dyDescent="0.65"/>
    <row r="440" ht="9.75" customHeight="1" x14ac:dyDescent="0.65"/>
    <row r="441" ht="9.75" customHeight="1" x14ac:dyDescent="0.65"/>
    <row r="442" ht="9.75" customHeight="1" x14ac:dyDescent="0.65"/>
    <row r="443" ht="9.75" customHeight="1" x14ac:dyDescent="0.65"/>
    <row r="444" ht="9.75" customHeight="1" x14ac:dyDescent="0.65"/>
    <row r="445" ht="9.75" customHeight="1" x14ac:dyDescent="0.65"/>
    <row r="446" ht="9.75" customHeight="1" x14ac:dyDescent="0.65"/>
    <row r="447" ht="9.75" customHeight="1" x14ac:dyDescent="0.65"/>
    <row r="448" ht="9.75" customHeight="1" x14ac:dyDescent="0.65"/>
    <row r="449" ht="9.75" customHeight="1" x14ac:dyDescent="0.65"/>
    <row r="450" ht="9.75" customHeight="1" x14ac:dyDescent="0.65"/>
    <row r="451" ht="9.75" customHeight="1" x14ac:dyDescent="0.65"/>
    <row r="452" ht="9.75" customHeight="1" x14ac:dyDescent="0.65"/>
    <row r="453" ht="9.75" customHeight="1" x14ac:dyDescent="0.65"/>
    <row r="454" ht="9.75" customHeight="1" x14ac:dyDescent="0.65"/>
    <row r="455" ht="9.75" customHeight="1" x14ac:dyDescent="0.65"/>
    <row r="456" ht="9.75" customHeight="1" x14ac:dyDescent="0.65"/>
    <row r="457" ht="9.75" customHeight="1" x14ac:dyDescent="0.65"/>
    <row r="458" ht="9.75" customHeight="1" x14ac:dyDescent="0.65"/>
    <row r="459" ht="9.75" customHeight="1" x14ac:dyDescent="0.65"/>
    <row r="460" ht="9.75" customHeight="1" x14ac:dyDescent="0.65"/>
    <row r="461" ht="9.75" customHeight="1" x14ac:dyDescent="0.65"/>
    <row r="462" ht="9.75" customHeight="1" x14ac:dyDescent="0.65"/>
    <row r="463" ht="9.75" customHeight="1" x14ac:dyDescent="0.65"/>
    <row r="464" ht="9.75" customHeight="1" x14ac:dyDescent="0.65"/>
    <row r="465" ht="9.75" customHeight="1" x14ac:dyDescent="0.65"/>
    <row r="466" ht="9.75" customHeight="1" x14ac:dyDescent="0.65"/>
    <row r="467" ht="9.75" customHeight="1" x14ac:dyDescent="0.65"/>
    <row r="468" ht="9.75" customHeight="1" x14ac:dyDescent="0.65"/>
    <row r="469" ht="9.75" customHeight="1" x14ac:dyDescent="0.65"/>
    <row r="470" ht="9.75" customHeight="1" x14ac:dyDescent="0.65"/>
    <row r="471" ht="9.75" customHeight="1" x14ac:dyDescent="0.65"/>
    <row r="472" ht="9.75" customHeight="1" x14ac:dyDescent="0.65"/>
    <row r="473" ht="9.75" customHeight="1" x14ac:dyDescent="0.65"/>
    <row r="474" ht="9.75" customHeight="1" x14ac:dyDescent="0.65"/>
    <row r="475" ht="9.75" customHeight="1" x14ac:dyDescent="0.65"/>
    <row r="476" ht="9.75" customHeight="1" x14ac:dyDescent="0.65"/>
    <row r="477" ht="9.75" customHeight="1" x14ac:dyDescent="0.65"/>
    <row r="478" ht="9.75" customHeight="1" x14ac:dyDescent="0.65"/>
    <row r="479" ht="9.75" customHeight="1" x14ac:dyDescent="0.65"/>
    <row r="480" ht="9.75" customHeight="1" x14ac:dyDescent="0.65"/>
    <row r="481" ht="9.75" customHeight="1" x14ac:dyDescent="0.65"/>
    <row r="482" ht="9.75" customHeight="1" x14ac:dyDescent="0.65"/>
    <row r="483" ht="9.75" customHeight="1" x14ac:dyDescent="0.65"/>
    <row r="484" ht="9.75" customHeight="1" x14ac:dyDescent="0.65"/>
    <row r="485" ht="9.75" customHeight="1" x14ac:dyDescent="0.65"/>
    <row r="486" ht="9.75" customHeight="1" x14ac:dyDescent="0.65"/>
    <row r="487" ht="9.75" customHeight="1" x14ac:dyDescent="0.65"/>
    <row r="488" ht="9.75" customHeight="1" x14ac:dyDescent="0.65"/>
    <row r="489" ht="9.75" customHeight="1" x14ac:dyDescent="0.65"/>
    <row r="490" ht="9.75" customHeight="1" x14ac:dyDescent="0.65"/>
    <row r="491" ht="9.75" customHeight="1" x14ac:dyDescent="0.65"/>
    <row r="492" ht="9.75" customHeight="1" x14ac:dyDescent="0.65"/>
    <row r="493" ht="9.75" customHeight="1" x14ac:dyDescent="0.65"/>
    <row r="494" ht="9.75" customHeight="1" x14ac:dyDescent="0.65"/>
    <row r="495" ht="9.75" customHeight="1" x14ac:dyDescent="0.65"/>
    <row r="496" ht="9.75" customHeight="1" x14ac:dyDescent="0.65"/>
    <row r="497" ht="9.75" customHeight="1" x14ac:dyDescent="0.65"/>
    <row r="498" ht="9.75" customHeight="1" x14ac:dyDescent="0.65"/>
    <row r="499" ht="9.75" customHeight="1" x14ac:dyDescent="0.65"/>
    <row r="500" ht="9.75" customHeight="1" x14ac:dyDescent="0.65"/>
    <row r="501" ht="9.75" customHeight="1" x14ac:dyDescent="0.65"/>
    <row r="502" ht="9.75" customHeight="1" x14ac:dyDescent="0.65"/>
    <row r="503" ht="9.75" customHeight="1" x14ac:dyDescent="0.65"/>
    <row r="504" ht="9.75" customHeight="1" x14ac:dyDescent="0.65"/>
    <row r="505" ht="9.75" customHeight="1" x14ac:dyDescent="0.65"/>
    <row r="506" ht="9.75" customHeight="1" x14ac:dyDescent="0.65"/>
    <row r="507" ht="9.75" customHeight="1" x14ac:dyDescent="0.65"/>
    <row r="508" ht="9.75" customHeight="1" x14ac:dyDescent="0.65"/>
    <row r="509" ht="9.75" customHeight="1" x14ac:dyDescent="0.65"/>
    <row r="510" ht="9.75" customHeight="1" x14ac:dyDescent="0.65"/>
    <row r="511" ht="9.75" customHeight="1" x14ac:dyDescent="0.65"/>
    <row r="512" ht="9.75" customHeight="1" x14ac:dyDescent="0.65"/>
    <row r="513" ht="9.75" customHeight="1" x14ac:dyDescent="0.65"/>
    <row r="514" ht="9.75" customHeight="1" x14ac:dyDescent="0.65"/>
    <row r="515" ht="9.75" customHeight="1" x14ac:dyDescent="0.65"/>
    <row r="516" ht="9.75" customHeight="1" x14ac:dyDescent="0.65"/>
    <row r="517" ht="9.75" customHeight="1" x14ac:dyDescent="0.65"/>
    <row r="518" ht="9.75" customHeight="1" x14ac:dyDescent="0.65"/>
    <row r="519" ht="9.75" customHeight="1" x14ac:dyDescent="0.65"/>
    <row r="520" ht="9.75" customHeight="1" x14ac:dyDescent="0.65"/>
    <row r="521" ht="9.75" customHeight="1" x14ac:dyDescent="0.65"/>
    <row r="522" ht="9.75" customHeight="1" x14ac:dyDescent="0.65"/>
    <row r="523" ht="9.75" customHeight="1" x14ac:dyDescent="0.65"/>
    <row r="524" ht="9.75" customHeight="1" x14ac:dyDescent="0.65"/>
    <row r="525" ht="9.75" customHeight="1" x14ac:dyDescent="0.65"/>
    <row r="526" ht="9.75" customHeight="1" x14ac:dyDescent="0.65"/>
    <row r="527" ht="9.75" customHeight="1" x14ac:dyDescent="0.65"/>
    <row r="528" ht="9.75" customHeight="1" x14ac:dyDescent="0.65"/>
    <row r="529" ht="9.75" customHeight="1" x14ac:dyDescent="0.65"/>
    <row r="530" ht="9.75" customHeight="1" x14ac:dyDescent="0.65"/>
    <row r="531" ht="9.75" customHeight="1" x14ac:dyDescent="0.65"/>
    <row r="532" ht="9.75" customHeight="1" x14ac:dyDescent="0.65"/>
    <row r="533" ht="9.75" customHeight="1" x14ac:dyDescent="0.65"/>
    <row r="534" ht="9.75" customHeight="1" x14ac:dyDescent="0.65"/>
    <row r="535" ht="9.75" customHeight="1" x14ac:dyDescent="0.65"/>
    <row r="536" ht="9.75" customHeight="1" x14ac:dyDescent="0.65"/>
    <row r="537" ht="9.75" customHeight="1" x14ac:dyDescent="0.65"/>
    <row r="538" ht="9.75" customHeight="1" x14ac:dyDescent="0.65"/>
    <row r="539" ht="9.75" customHeight="1" x14ac:dyDescent="0.65"/>
    <row r="540" ht="9.75" customHeight="1" x14ac:dyDescent="0.65"/>
    <row r="541" ht="9.75" customHeight="1" x14ac:dyDescent="0.65"/>
    <row r="542" ht="9.75" customHeight="1" x14ac:dyDescent="0.65"/>
    <row r="543" ht="9.75" customHeight="1" x14ac:dyDescent="0.65"/>
    <row r="544" ht="9.75" customHeight="1" x14ac:dyDescent="0.65"/>
    <row r="545" ht="9.75" customHeight="1" x14ac:dyDescent="0.65"/>
    <row r="546" ht="9.75" customHeight="1" x14ac:dyDescent="0.65"/>
    <row r="547" ht="9.75" customHeight="1" x14ac:dyDescent="0.65"/>
    <row r="548" ht="9.75" customHeight="1" x14ac:dyDescent="0.65"/>
    <row r="549" ht="9.75" customHeight="1" x14ac:dyDescent="0.65"/>
    <row r="550" ht="9.75" customHeight="1" x14ac:dyDescent="0.65"/>
    <row r="551" ht="9.75" customHeight="1" x14ac:dyDescent="0.65"/>
    <row r="552" ht="9.75" customHeight="1" x14ac:dyDescent="0.65"/>
    <row r="553" ht="9.75" customHeight="1" x14ac:dyDescent="0.65"/>
    <row r="554" ht="9.75" customHeight="1" x14ac:dyDescent="0.65"/>
    <row r="555" ht="9.75" customHeight="1" x14ac:dyDescent="0.65"/>
    <row r="556" ht="9.75" customHeight="1" x14ac:dyDescent="0.65"/>
    <row r="557" ht="9.75" customHeight="1" x14ac:dyDescent="0.65"/>
    <row r="558" ht="9.75" customHeight="1" x14ac:dyDescent="0.65"/>
    <row r="559" ht="9.75" customHeight="1" x14ac:dyDescent="0.65"/>
    <row r="560" ht="9.75" customHeight="1" x14ac:dyDescent="0.65"/>
    <row r="561" ht="9.75" customHeight="1" x14ac:dyDescent="0.65"/>
    <row r="562" ht="9.75" customHeight="1" x14ac:dyDescent="0.65"/>
    <row r="563" ht="9.75" customHeight="1" x14ac:dyDescent="0.65"/>
    <row r="564" ht="9.75" customHeight="1" x14ac:dyDescent="0.65"/>
    <row r="565" ht="9.75" customHeight="1" x14ac:dyDescent="0.65"/>
    <row r="566" ht="9.75" customHeight="1" x14ac:dyDescent="0.65"/>
    <row r="567" ht="9.75" customHeight="1" x14ac:dyDescent="0.65"/>
    <row r="568" ht="9.75" customHeight="1" x14ac:dyDescent="0.65"/>
    <row r="569" ht="9.75" customHeight="1" x14ac:dyDescent="0.65"/>
    <row r="570" ht="9.75" customHeight="1" x14ac:dyDescent="0.65"/>
    <row r="571" ht="9.75" customHeight="1" x14ac:dyDescent="0.65"/>
    <row r="572" ht="9.75" customHeight="1" x14ac:dyDescent="0.65"/>
    <row r="573" ht="9.75" customHeight="1" x14ac:dyDescent="0.65"/>
    <row r="574" ht="9.75" customHeight="1" x14ac:dyDescent="0.65"/>
    <row r="575" ht="9.75" customHeight="1" x14ac:dyDescent="0.65"/>
    <row r="576" ht="9.75" customHeight="1" x14ac:dyDescent="0.65"/>
    <row r="577" ht="9.75" customHeight="1" x14ac:dyDescent="0.65"/>
    <row r="578" ht="9.75" customHeight="1" x14ac:dyDescent="0.65"/>
    <row r="579" ht="9.75" customHeight="1" x14ac:dyDescent="0.65"/>
    <row r="580" ht="9.75" customHeight="1" x14ac:dyDescent="0.65"/>
    <row r="581" ht="9.75" customHeight="1" x14ac:dyDescent="0.65"/>
    <row r="582" ht="9.75" customHeight="1" x14ac:dyDescent="0.65"/>
    <row r="583" ht="9.75" customHeight="1" x14ac:dyDescent="0.65"/>
    <row r="584" ht="9.75" customHeight="1" x14ac:dyDescent="0.65"/>
    <row r="585" ht="9.75" customHeight="1" x14ac:dyDescent="0.65"/>
    <row r="586" ht="9.75" customHeight="1" x14ac:dyDescent="0.65"/>
    <row r="587" ht="9.75" customHeight="1" x14ac:dyDescent="0.65"/>
    <row r="588" ht="9.75" customHeight="1" x14ac:dyDescent="0.65"/>
    <row r="589" ht="9.75" customHeight="1" x14ac:dyDescent="0.65"/>
    <row r="590" ht="9.75" customHeight="1" x14ac:dyDescent="0.65"/>
    <row r="591" ht="9.75" customHeight="1" x14ac:dyDescent="0.65"/>
    <row r="592" ht="9.75" customHeight="1" x14ac:dyDescent="0.65"/>
    <row r="593" ht="9.75" customHeight="1" x14ac:dyDescent="0.65"/>
    <row r="594" ht="9.75" customHeight="1" x14ac:dyDescent="0.65"/>
    <row r="595" ht="9.75" customHeight="1" x14ac:dyDescent="0.65"/>
    <row r="596" ht="9.75" customHeight="1" x14ac:dyDescent="0.65"/>
    <row r="597" ht="9.75" customHeight="1" x14ac:dyDescent="0.65"/>
    <row r="598" ht="9.75" customHeight="1" x14ac:dyDescent="0.65"/>
    <row r="599" ht="9.75" customHeight="1" x14ac:dyDescent="0.65"/>
    <row r="600" ht="9.75" customHeight="1" x14ac:dyDescent="0.65"/>
    <row r="601" ht="9.75" customHeight="1" x14ac:dyDescent="0.65"/>
    <row r="602" ht="9.75" customHeight="1" x14ac:dyDescent="0.65"/>
    <row r="603" ht="9.75" customHeight="1" x14ac:dyDescent="0.65"/>
    <row r="604" ht="9.75" customHeight="1" x14ac:dyDescent="0.65"/>
    <row r="605" ht="9.75" customHeight="1" x14ac:dyDescent="0.65"/>
    <row r="606" ht="9.75" customHeight="1" x14ac:dyDescent="0.65"/>
    <row r="607" ht="9.75" customHeight="1" x14ac:dyDescent="0.65"/>
    <row r="608" ht="9.75" customHeight="1" x14ac:dyDescent="0.65"/>
    <row r="609" ht="9.75" customHeight="1" x14ac:dyDescent="0.65"/>
    <row r="610" ht="9.75" customHeight="1" x14ac:dyDescent="0.65"/>
    <row r="611" ht="9.75" customHeight="1" x14ac:dyDescent="0.65"/>
    <row r="612" ht="9.75" customHeight="1" x14ac:dyDescent="0.65"/>
    <row r="613" ht="9.75" customHeight="1" x14ac:dyDescent="0.65"/>
    <row r="614" ht="9.75" customHeight="1" x14ac:dyDescent="0.65"/>
    <row r="615" ht="9.75" customHeight="1" x14ac:dyDescent="0.65"/>
    <row r="616" ht="9.75" customHeight="1" x14ac:dyDescent="0.65"/>
    <row r="617" ht="9.75" customHeight="1" x14ac:dyDescent="0.65"/>
    <row r="618" ht="9.75" customHeight="1" x14ac:dyDescent="0.65"/>
    <row r="619" ht="9.75" customHeight="1" x14ac:dyDescent="0.65"/>
    <row r="620" ht="9.75" customHeight="1" x14ac:dyDescent="0.65"/>
    <row r="621" ht="9.75" customHeight="1" x14ac:dyDescent="0.65"/>
    <row r="622" ht="9.75" customHeight="1" x14ac:dyDescent="0.65"/>
    <row r="623" ht="9.75" customHeight="1" x14ac:dyDescent="0.65"/>
    <row r="624" ht="9.75" customHeight="1" x14ac:dyDescent="0.65"/>
    <row r="625" ht="9.75" customHeight="1" x14ac:dyDescent="0.65"/>
    <row r="626" ht="9.75" customHeight="1" x14ac:dyDescent="0.65"/>
    <row r="627" ht="9.75" customHeight="1" x14ac:dyDescent="0.65"/>
    <row r="628" ht="9.75" customHeight="1" x14ac:dyDescent="0.65"/>
    <row r="629" ht="9.75" customHeight="1" x14ac:dyDescent="0.65"/>
    <row r="630" ht="9.75" customHeight="1" x14ac:dyDescent="0.65"/>
    <row r="631" ht="9.75" customHeight="1" x14ac:dyDescent="0.65"/>
    <row r="632" ht="9.75" customHeight="1" x14ac:dyDescent="0.65"/>
    <row r="633" ht="9.75" customHeight="1" x14ac:dyDescent="0.65"/>
    <row r="634" ht="9.75" customHeight="1" x14ac:dyDescent="0.65"/>
    <row r="635" ht="9.75" customHeight="1" x14ac:dyDescent="0.65"/>
    <row r="636" ht="9.75" customHeight="1" x14ac:dyDescent="0.65"/>
    <row r="637" ht="9.75" customHeight="1" x14ac:dyDescent="0.65"/>
    <row r="638" ht="9.75" customHeight="1" x14ac:dyDescent="0.65"/>
    <row r="639" ht="9.75" customHeight="1" x14ac:dyDescent="0.65"/>
    <row r="640" ht="9.75" customHeight="1" x14ac:dyDescent="0.65"/>
    <row r="641" ht="9.75" customHeight="1" x14ac:dyDescent="0.65"/>
    <row r="642" ht="9.75" customHeight="1" x14ac:dyDescent="0.65"/>
    <row r="643" ht="9.75" customHeight="1" x14ac:dyDescent="0.65"/>
    <row r="644" ht="9.75" customHeight="1" x14ac:dyDescent="0.65"/>
    <row r="645" ht="9.75" customHeight="1" x14ac:dyDescent="0.65"/>
    <row r="646" ht="9.75" customHeight="1" x14ac:dyDescent="0.65"/>
    <row r="647" ht="9.75" customHeight="1" x14ac:dyDescent="0.65"/>
    <row r="648" ht="9.75" customHeight="1" x14ac:dyDescent="0.65"/>
    <row r="649" ht="9.75" customHeight="1" x14ac:dyDescent="0.65"/>
    <row r="650" ht="9.75" customHeight="1" x14ac:dyDescent="0.65"/>
    <row r="651" ht="9.75" customHeight="1" x14ac:dyDescent="0.65"/>
    <row r="652" ht="9.75" customHeight="1" x14ac:dyDescent="0.65"/>
    <row r="653" ht="9.75" customHeight="1" x14ac:dyDescent="0.65"/>
    <row r="654" ht="9.75" customHeight="1" x14ac:dyDescent="0.65"/>
    <row r="655" ht="9.75" customHeight="1" x14ac:dyDescent="0.65"/>
    <row r="656" ht="9.75" customHeight="1" x14ac:dyDescent="0.65"/>
    <row r="657" ht="9.75" customHeight="1" x14ac:dyDescent="0.65"/>
    <row r="658" ht="9.75" customHeight="1" x14ac:dyDescent="0.65"/>
    <row r="659" ht="9.75" customHeight="1" x14ac:dyDescent="0.65"/>
    <row r="660" ht="9.75" customHeight="1" x14ac:dyDescent="0.65"/>
    <row r="661" ht="9.75" customHeight="1" x14ac:dyDescent="0.65"/>
    <row r="662" ht="9.75" customHeight="1" x14ac:dyDescent="0.65"/>
    <row r="663" ht="9.75" customHeight="1" x14ac:dyDescent="0.65"/>
    <row r="664" ht="9.75" customHeight="1" x14ac:dyDescent="0.65"/>
    <row r="665" ht="9.75" customHeight="1" x14ac:dyDescent="0.65"/>
    <row r="666" ht="9.75" customHeight="1" x14ac:dyDescent="0.65"/>
    <row r="667" ht="9.75" customHeight="1" x14ac:dyDescent="0.65"/>
    <row r="668" ht="9.75" customHeight="1" x14ac:dyDescent="0.65"/>
    <row r="669" ht="9.75" customHeight="1" x14ac:dyDescent="0.65"/>
    <row r="670" ht="9.75" customHeight="1" x14ac:dyDescent="0.65"/>
    <row r="671" ht="9.75" customHeight="1" x14ac:dyDescent="0.65"/>
    <row r="672" ht="9.75" customHeight="1" x14ac:dyDescent="0.65"/>
    <row r="673" ht="9.75" customHeight="1" x14ac:dyDescent="0.65"/>
    <row r="674" ht="9.75" customHeight="1" x14ac:dyDescent="0.65"/>
    <row r="675" ht="9.75" customHeight="1" x14ac:dyDescent="0.65"/>
    <row r="676" ht="9.75" customHeight="1" x14ac:dyDescent="0.65"/>
    <row r="677" ht="9.75" customHeight="1" x14ac:dyDescent="0.65"/>
    <row r="678" ht="9.75" customHeight="1" x14ac:dyDescent="0.65"/>
    <row r="679" ht="9.75" customHeight="1" x14ac:dyDescent="0.65"/>
    <row r="680" ht="9.75" customHeight="1" x14ac:dyDescent="0.65"/>
    <row r="681" ht="9.75" customHeight="1" x14ac:dyDescent="0.65"/>
    <row r="682" ht="9.75" customHeight="1" x14ac:dyDescent="0.65"/>
    <row r="683" ht="9.75" customHeight="1" x14ac:dyDescent="0.65"/>
    <row r="684" ht="9.75" customHeight="1" x14ac:dyDescent="0.65"/>
    <row r="685" ht="9.75" customHeight="1" x14ac:dyDescent="0.65"/>
    <row r="686" ht="9.75" customHeight="1" x14ac:dyDescent="0.65"/>
    <row r="687" ht="9.75" customHeight="1" x14ac:dyDescent="0.65"/>
    <row r="688" ht="9.75" customHeight="1" x14ac:dyDescent="0.65"/>
    <row r="689" ht="9.75" customHeight="1" x14ac:dyDescent="0.65"/>
    <row r="690" ht="9.75" customHeight="1" x14ac:dyDescent="0.65"/>
    <row r="691" ht="9.75" customHeight="1" x14ac:dyDescent="0.65"/>
    <row r="692" ht="9.75" customHeight="1" x14ac:dyDescent="0.65"/>
    <row r="693" ht="9.75" customHeight="1" x14ac:dyDescent="0.65"/>
    <row r="694" ht="9.75" customHeight="1" x14ac:dyDescent="0.65"/>
    <row r="695" ht="9.75" customHeight="1" x14ac:dyDescent="0.65"/>
    <row r="696" ht="9.75" customHeight="1" x14ac:dyDescent="0.65"/>
    <row r="697" ht="9.75" customHeight="1" x14ac:dyDescent="0.65"/>
    <row r="698" ht="9.75" customHeight="1" x14ac:dyDescent="0.65"/>
    <row r="699" ht="9.75" customHeight="1" x14ac:dyDescent="0.65"/>
    <row r="700" ht="9.75" customHeight="1" x14ac:dyDescent="0.65"/>
    <row r="701" ht="9.75" customHeight="1" x14ac:dyDescent="0.65"/>
    <row r="702" ht="9.75" customHeight="1" x14ac:dyDescent="0.65"/>
    <row r="703" ht="9.75" customHeight="1" x14ac:dyDescent="0.65"/>
    <row r="704" ht="9.75" customHeight="1" x14ac:dyDescent="0.65"/>
    <row r="705" ht="9.75" customHeight="1" x14ac:dyDescent="0.65"/>
    <row r="706" ht="9.75" customHeight="1" x14ac:dyDescent="0.65"/>
    <row r="707" ht="9.75" customHeight="1" x14ac:dyDescent="0.65"/>
    <row r="708" ht="9.75" customHeight="1" x14ac:dyDescent="0.65"/>
    <row r="709" ht="9.75" customHeight="1" x14ac:dyDescent="0.65"/>
    <row r="710" ht="9.75" customHeight="1" x14ac:dyDescent="0.65"/>
    <row r="711" ht="9.75" customHeight="1" x14ac:dyDescent="0.65"/>
    <row r="712" ht="9.75" customHeight="1" x14ac:dyDescent="0.65"/>
    <row r="713" ht="9.75" customHeight="1" x14ac:dyDescent="0.65"/>
    <row r="714" ht="9.75" customHeight="1" x14ac:dyDescent="0.65"/>
    <row r="715" ht="9.75" customHeight="1" x14ac:dyDescent="0.65"/>
    <row r="716" ht="9.75" customHeight="1" x14ac:dyDescent="0.65"/>
    <row r="717" ht="9.75" customHeight="1" x14ac:dyDescent="0.65"/>
    <row r="718" ht="9.75" customHeight="1" x14ac:dyDescent="0.65"/>
    <row r="719" ht="9.75" customHeight="1" x14ac:dyDescent="0.65"/>
    <row r="720" ht="9.75" customHeight="1" x14ac:dyDescent="0.65"/>
    <row r="721" ht="9.75" customHeight="1" x14ac:dyDescent="0.65"/>
    <row r="722" ht="9.75" customHeight="1" x14ac:dyDescent="0.65"/>
    <row r="723" ht="9.75" customHeight="1" x14ac:dyDescent="0.65"/>
    <row r="724" ht="9.75" customHeight="1" x14ac:dyDescent="0.65"/>
    <row r="725" ht="9.75" customHeight="1" x14ac:dyDescent="0.65"/>
    <row r="726" ht="9.75" customHeight="1" x14ac:dyDescent="0.65"/>
    <row r="727" ht="9.75" customHeight="1" x14ac:dyDescent="0.65"/>
    <row r="728" ht="9.75" customHeight="1" x14ac:dyDescent="0.65"/>
    <row r="729" ht="9.75" customHeight="1" x14ac:dyDescent="0.65"/>
    <row r="730" ht="9.75" customHeight="1" x14ac:dyDescent="0.65"/>
    <row r="731" ht="9.75" customHeight="1" x14ac:dyDescent="0.65"/>
    <row r="732" ht="9.75" customHeight="1" x14ac:dyDescent="0.65"/>
    <row r="733" ht="9.75" customHeight="1" x14ac:dyDescent="0.65"/>
    <row r="734" ht="9.75" customHeight="1" x14ac:dyDescent="0.65"/>
    <row r="735" ht="9.75" customHeight="1" x14ac:dyDescent="0.65"/>
    <row r="736" ht="9.75" customHeight="1" x14ac:dyDescent="0.65"/>
    <row r="737" ht="9.75" customHeight="1" x14ac:dyDescent="0.65"/>
    <row r="738" ht="9.75" customHeight="1" x14ac:dyDescent="0.65"/>
    <row r="739" ht="9.75" customHeight="1" x14ac:dyDescent="0.65"/>
    <row r="740" ht="9.75" customHeight="1" x14ac:dyDescent="0.65"/>
    <row r="741" ht="9.75" customHeight="1" x14ac:dyDescent="0.65"/>
    <row r="742" ht="9.75" customHeight="1" x14ac:dyDescent="0.65"/>
    <row r="743" ht="9.75" customHeight="1" x14ac:dyDescent="0.65"/>
    <row r="744" ht="9.75" customHeight="1" x14ac:dyDescent="0.65"/>
    <row r="745" ht="9.75" customHeight="1" x14ac:dyDescent="0.65"/>
    <row r="746" ht="9.75" customHeight="1" x14ac:dyDescent="0.65"/>
    <row r="747" ht="9.75" customHeight="1" x14ac:dyDescent="0.65"/>
    <row r="748" ht="9.75" customHeight="1" x14ac:dyDescent="0.65"/>
    <row r="749" ht="9.75" customHeight="1" x14ac:dyDescent="0.65"/>
    <row r="750" ht="9.75" customHeight="1" x14ac:dyDescent="0.65"/>
    <row r="751" ht="9.75" customHeight="1" x14ac:dyDescent="0.65"/>
    <row r="752" ht="9.75" customHeight="1" x14ac:dyDescent="0.65"/>
    <row r="753" ht="9.75" customHeight="1" x14ac:dyDescent="0.65"/>
    <row r="754" ht="9.75" customHeight="1" x14ac:dyDescent="0.65"/>
    <row r="755" ht="9.75" customHeight="1" x14ac:dyDescent="0.65"/>
    <row r="756" ht="9.75" customHeight="1" x14ac:dyDescent="0.65"/>
    <row r="757" ht="9.75" customHeight="1" x14ac:dyDescent="0.65"/>
    <row r="758" ht="9.75" customHeight="1" x14ac:dyDescent="0.65"/>
    <row r="759" ht="9.75" customHeight="1" x14ac:dyDescent="0.65"/>
    <row r="760" ht="9.75" customHeight="1" x14ac:dyDescent="0.65"/>
    <row r="761" ht="9.75" customHeight="1" x14ac:dyDescent="0.65"/>
    <row r="762" ht="9.75" customHeight="1" x14ac:dyDescent="0.65"/>
    <row r="763" ht="9.75" customHeight="1" x14ac:dyDescent="0.65"/>
    <row r="764" ht="9.75" customHeight="1" x14ac:dyDescent="0.65"/>
    <row r="765" ht="9.75" customHeight="1" x14ac:dyDescent="0.65"/>
    <row r="766" ht="9.75" customHeight="1" x14ac:dyDescent="0.65"/>
    <row r="767" ht="9.75" customHeight="1" x14ac:dyDescent="0.65"/>
    <row r="768" ht="9.75" customHeight="1" x14ac:dyDescent="0.65"/>
    <row r="769" ht="9.75" customHeight="1" x14ac:dyDescent="0.65"/>
    <row r="770" ht="9.75" customHeight="1" x14ac:dyDescent="0.65"/>
    <row r="771" ht="9.75" customHeight="1" x14ac:dyDescent="0.65"/>
    <row r="772" ht="9.75" customHeight="1" x14ac:dyDescent="0.65"/>
    <row r="773" ht="9.75" customHeight="1" x14ac:dyDescent="0.65"/>
    <row r="774" ht="9.75" customHeight="1" x14ac:dyDescent="0.65"/>
    <row r="775" ht="9.75" customHeight="1" x14ac:dyDescent="0.65"/>
    <row r="776" ht="9.75" customHeight="1" x14ac:dyDescent="0.65"/>
    <row r="777" ht="9.75" customHeight="1" x14ac:dyDescent="0.65"/>
    <row r="778" ht="9.75" customHeight="1" x14ac:dyDescent="0.65"/>
    <row r="779" ht="9.75" customHeight="1" x14ac:dyDescent="0.65"/>
    <row r="780" ht="9.75" customHeight="1" x14ac:dyDescent="0.65"/>
    <row r="781" ht="9.75" customHeight="1" x14ac:dyDescent="0.65"/>
    <row r="782" ht="9.75" customHeight="1" x14ac:dyDescent="0.65"/>
    <row r="783" ht="9.75" customHeight="1" x14ac:dyDescent="0.65"/>
    <row r="784" ht="9.75" customHeight="1" x14ac:dyDescent="0.65"/>
    <row r="785" ht="9.75" customHeight="1" x14ac:dyDescent="0.65"/>
    <row r="786" ht="9.75" customHeight="1" x14ac:dyDescent="0.65"/>
    <row r="787" ht="9.75" customHeight="1" x14ac:dyDescent="0.65"/>
    <row r="788" ht="9.75" customHeight="1" x14ac:dyDescent="0.65"/>
    <row r="789" ht="9.75" customHeight="1" x14ac:dyDescent="0.65"/>
    <row r="790" ht="9.75" customHeight="1" x14ac:dyDescent="0.65"/>
    <row r="791" ht="9.75" customHeight="1" x14ac:dyDescent="0.65"/>
    <row r="792" ht="9.75" customHeight="1" x14ac:dyDescent="0.65"/>
    <row r="793" ht="9.75" customHeight="1" x14ac:dyDescent="0.65"/>
    <row r="794" ht="9.75" customHeight="1" x14ac:dyDescent="0.65"/>
    <row r="795" ht="9.75" customHeight="1" x14ac:dyDescent="0.65"/>
    <row r="796" ht="9.75" customHeight="1" x14ac:dyDescent="0.65"/>
    <row r="797" ht="9.75" customHeight="1" x14ac:dyDescent="0.65"/>
    <row r="798" ht="9.75" customHeight="1" x14ac:dyDescent="0.65"/>
    <row r="799" ht="9.75" customHeight="1" x14ac:dyDescent="0.65"/>
    <row r="800" ht="9.75" customHeight="1" x14ac:dyDescent="0.65"/>
    <row r="801" ht="9.75" customHeight="1" x14ac:dyDescent="0.65"/>
    <row r="802" ht="9.75" customHeight="1" x14ac:dyDescent="0.65"/>
    <row r="803" ht="9.75" customHeight="1" x14ac:dyDescent="0.65"/>
    <row r="804" ht="9.75" customHeight="1" x14ac:dyDescent="0.65"/>
    <row r="805" ht="9.75" customHeight="1" x14ac:dyDescent="0.65"/>
    <row r="806" ht="9.75" customHeight="1" x14ac:dyDescent="0.65"/>
    <row r="807" ht="9.75" customHeight="1" x14ac:dyDescent="0.65"/>
    <row r="808" ht="9.75" customHeight="1" x14ac:dyDescent="0.65"/>
    <row r="809" ht="9.75" customHeight="1" x14ac:dyDescent="0.65"/>
    <row r="810" ht="9.75" customHeight="1" x14ac:dyDescent="0.65"/>
    <row r="811" ht="9.75" customHeight="1" x14ac:dyDescent="0.65"/>
    <row r="812" ht="9.75" customHeight="1" x14ac:dyDescent="0.65"/>
    <row r="813" ht="9.75" customHeight="1" x14ac:dyDescent="0.65"/>
    <row r="814" ht="9.75" customHeight="1" x14ac:dyDescent="0.65"/>
    <row r="815" ht="9.75" customHeight="1" x14ac:dyDescent="0.65"/>
    <row r="816" ht="9.75" customHeight="1" x14ac:dyDescent="0.65"/>
    <row r="817" ht="9.75" customHeight="1" x14ac:dyDescent="0.65"/>
    <row r="818" ht="9.75" customHeight="1" x14ac:dyDescent="0.65"/>
    <row r="819" ht="9.75" customHeight="1" x14ac:dyDescent="0.65"/>
    <row r="820" ht="9.75" customHeight="1" x14ac:dyDescent="0.65"/>
    <row r="821" ht="9.75" customHeight="1" x14ac:dyDescent="0.65"/>
    <row r="822" ht="9.75" customHeight="1" x14ac:dyDescent="0.65"/>
    <row r="823" ht="9.75" customHeight="1" x14ac:dyDescent="0.65"/>
    <row r="824" ht="9.75" customHeight="1" x14ac:dyDescent="0.65"/>
    <row r="825" ht="9.75" customHeight="1" x14ac:dyDescent="0.65"/>
    <row r="826" ht="9.75" customHeight="1" x14ac:dyDescent="0.65"/>
    <row r="827" ht="9.75" customHeight="1" x14ac:dyDescent="0.65"/>
    <row r="828" ht="9.75" customHeight="1" x14ac:dyDescent="0.65"/>
    <row r="829" ht="9.75" customHeight="1" x14ac:dyDescent="0.65"/>
    <row r="830" ht="9.75" customHeight="1" x14ac:dyDescent="0.65"/>
    <row r="831" ht="9.75" customHeight="1" x14ac:dyDescent="0.65"/>
    <row r="832" ht="9.75" customHeight="1" x14ac:dyDescent="0.65"/>
    <row r="833" ht="9.75" customHeight="1" x14ac:dyDescent="0.65"/>
    <row r="834" ht="9.75" customHeight="1" x14ac:dyDescent="0.65"/>
    <row r="835" ht="9.75" customHeight="1" x14ac:dyDescent="0.65"/>
    <row r="836" ht="9.75" customHeight="1" x14ac:dyDescent="0.65"/>
    <row r="837" ht="9.75" customHeight="1" x14ac:dyDescent="0.65"/>
    <row r="838" ht="9.75" customHeight="1" x14ac:dyDescent="0.65"/>
    <row r="839" ht="9.75" customHeight="1" x14ac:dyDescent="0.65"/>
    <row r="840" ht="9.75" customHeight="1" x14ac:dyDescent="0.65"/>
    <row r="841" ht="9.75" customHeight="1" x14ac:dyDescent="0.65"/>
    <row r="842" ht="9.75" customHeight="1" x14ac:dyDescent="0.65"/>
    <row r="843" ht="9.75" customHeight="1" x14ac:dyDescent="0.65"/>
    <row r="844" ht="9.75" customHeight="1" x14ac:dyDescent="0.65"/>
    <row r="845" ht="9.75" customHeight="1" x14ac:dyDescent="0.65"/>
    <row r="846" ht="9.75" customHeight="1" x14ac:dyDescent="0.65"/>
    <row r="847" ht="9.75" customHeight="1" x14ac:dyDescent="0.65"/>
    <row r="848" ht="9.75" customHeight="1" x14ac:dyDescent="0.65"/>
    <row r="849" ht="9.75" customHeight="1" x14ac:dyDescent="0.65"/>
    <row r="850" ht="9.75" customHeight="1" x14ac:dyDescent="0.65"/>
    <row r="851" ht="9.75" customHeight="1" x14ac:dyDescent="0.65"/>
    <row r="852" ht="9.75" customHeight="1" x14ac:dyDescent="0.65"/>
    <row r="853" ht="9.75" customHeight="1" x14ac:dyDescent="0.65"/>
    <row r="854" ht="9.75" customHeight="1" x14ac:dyDescent="0.65"/>
    <row r="855" ht="9.75" customHeight="1" x14ac:dyDescent="0.65"/>
    <row r="856" ht="9.75" customHeight="1" x14ac:dyDescent="0.65"/>
    <row r="857" ht="9.75" customHeight="1" x14ac:dyDescent="0.65"/>
    <row r="858" ht="9.75" customHeight="1" x14ac:dyDescent="0.65"/>
    <row r="859" ht="9.75" customHeight="1" x14ac:dyDescent="0.65"/>
    <row r="860" ht="9.75" customHeight="1" x14ac:dyDescent="0.65"/>
    <row r="861" ht="9.75" customHeight="1" x14ac:dyDescent="0.65"/>
    <row r="862" ht="9.75" customHeight="1" x14ac:dyDescent="0.65"/>
    <row r="863" ht="9.75" customHeight="1" x14ac:dyDescent="0.65"/>
    <row r="864" ht="9.75" customHeight="1" x14ac:dyDescent="0.65"/>
    <row r="865" ht="9.75" customHeight="1" x14ac:dyDescent="0.65"/>
    <row r="866" ht="9.75" customHeight="1" x14ac:dyDescent="0.65"/>
    <row r="867" ht="9.75" customHeight="1" x14ac:dyDescent="0.65"/>
    <row r="868" ht="9.75" customHeight="1" x14ac:dyDescent="0.65"/>
    <row r="869" ht="9.75" customHeight="1" x14ac:dyDescent="0.65"/>
    <row r="870" ht="9.75" customHeight="1" x14ac:dyDescent="0.65"/>
    <row r="871" ht="9.75" customHeight="1" x14ac:dyDescent="0.65"/>
    <row r="872" ht="9.75" customHeight="1" x14ac:dyDescent="0.65"/>
    <row r="873" ht="9.75" customHeight="1" x14ac:dyDescent="0.65"/>
    <row r="874" ht="9.75" customHeight="1" x14ac:dyDescent="0.65"/>
    <row r="875" ht="9.75" customHeight="1" x14ac:dyDescent="0.65"/>
    <row r="876" ht="9.75" customHeight="1" x14ac:dyDescent="0.65"/>
    <row r="877" ht="9.75" customHeight="1" x14ac:dyDescent="0.65"/>
    <row r="878" ht="9.75" customHeight="1" x14ac:dyDescent="0.65"/>
    <row r="879" ht="9.75" customHeight="1" x14ac:dyDescent="0.65"/>
    <row r="880" ht="9.75" customHeight="1" x14ac:dyDescent="0.65"/>
    <row r="881" ht="9.75" customHeight="1" x14ac:dyDescent="0.65"/>
    <row r="882" ht="9.75" customHeight="1" x14ac:dyDescent="0.65"/>
    <row r="883" ht="9.75" customHeight="1" x14ac:dyDescent="0.65"/>
    <row r="884" ht="9.75" customHeight="1" x14ac:dyDescent="0.65"/>
    <row r="885" ht="9.75" customHeight="1" x14ac:dyDescent="0.65"/>
    <row r="886" ht="9.75" customHeight="1" x14ac:dyDescent="0.65"/>
    <row r="887" ht="9.75" customHeight="1" x14ac:dyDescent="0.65"/>
    <row r="888" ht="9.75" customHeight="1" x14ac:dyDescent="0.65"/>
    <row r="889" ht="9.75" customHeight="1" x14ac:dyDescent="0.65"/>
    <row r="890" ht="9.75" customHeight="1" x14ac:dyDescent="0.65"/>
    <row r="891" ht="9.75" customHeight="1" x14ac:dyDescent="0.65"/>
    <row r="892" ht="9.75" customHeight="1" x14ac:dyDescent="0.65"/>
    <row r="893" ht="9.75" customHeight="1" x14ac:dyDescent="0.65"/>
    <row r="894" ht="9.75" customHeight="1" x14ac:dyDescent="0.65"/>
    <row r="895" ht="9.75" customHeight="1" x14ac:dyDescent="0.65"/>
    <row r="896" ht="9.75" customHeight="1" x14ac:dyDescent="0.65"/>
    <row r="897" ht="9.75" customHeight="1" x14ac:dyDescent="0.65"/>
    <row r="898" ht="9.75" customHeight="1" x14ac:dyDescent="0.65"/>
    <row r="899" ht="9.75" customHeight="1" x14ac:dyDescent="0.65"/>
    <row r="900" ht="9.75" customHeight="1" x14ac:dyDescent="0.65"/>
    <row r="901" ht="9.75" customHeight="1" x14ac:dyDescent="0.65"/>
    <row r="902" ht="9.75" customHeight="1" x14ac:dyDescent="0.65"/>
    <row r="903" ht="9.75" customHeight="1" x14ac:dyDescent="0.65"/>
    <row r="904" ht="9.75" customHeight="1" x14ac:dyDescent="0.65"/>
    <row r="905" ht="9.75" customHeight="1" x14ac:dyDescent="0.65"/>
    <row r="906" ht="9.75" customHeight="1" x14ac:dyDescent="0.65"/>
    <row r="907" ht="9.75" customHeight="1" x14ac:dyDescent="0.65"/>
    <row r="908" ht="9.75" customHeight="1" x14ac:dyDescent="0.65"/>
    <row r="909" ht="9.75" customHeight="1" x14ac:dyDescent="0.65"/>
    <row r="910" ht="9.75" customHeight="1" x14ac:dyDescent="0.65"/>
    <row r="911" ht="9.75" customHeight="1" x14ac:dyDescent="0.65"/>
    <row r="912" ht="9.75" customHeight="1" x14ac:dyDescent="0.65"/>
    <row r="913" ht="9.75" customHeight="1" x14ac:dyDescent="0.65"/>
    <row r="914" ht="9.75" customHeight="1" x14ac:dyDescent="0.65"/>
    <row r="915" ht="9.75" customHeight="1" x14ac:dyDescent="0.65"/>
    <row r="916" ht="9.75" customHeight="1" x14ac:dyDescent="0.65"/>
    <row r="917" ht="9.75" customHeight="1" x14ac:dyDescent="0.65"/>
    <row r="918" ht="9.75" customHeight="1" x14ac:dyDescent="0.65"/>
    <row r="919" ht="9.75" customHeight="1" x14ac:dyDescent="0.65"/>
    <row r="920" ht="9.75" customHeight="1" x14ac:dyDescent="0.65"/>
    <row r="921" ht="9.75" customHeight="1" x14ac:dyDescent="0.65"/>
    <row r="922" ht="9.75" customHeight="1" x14ac:dyDescent="0.65"/>
    <row r="923" ht="9.75" customHeight="1" x14ac:dyDescent="0.65"/>
    <row r="924" ht="9.75" customHeight="1" x14ac:dyDescent="0.65"/>
    <row r="925" ht="9.75" customHeight="1" x14ac:dyDescent="0.65"/>
    <row r="926" ht="9.75" customHeight="1" x14ac:dyDescent="0.65"/>
    <row r="927" ht="9.75" customHeight="1" x14ac:dyDescent="0.65"/>
    <row r="928" ht="9.75" customHeight="1" x14ac:dyDescent="0.65"/>
    <row r="929" ht="9.75" customHeight="1" x14ac:dyDescent="0.65"/>
    <row r="930" ht="9.75" customHeight="1" x14ac:dyDescent="0.65"/>
    <row r="931" ht="9.75" customHeight="1" x14ac:dyDescent="0.65"/>
    <row r="932" ht="9.75" customHeight="1" x14ac:dyDescent="0.65"/>
    <row r="933" ht="9.75" customHeight="1" x14ac:dyDescent="0.65"/>
    <row r="934" ht="9.75" customHeight="1" x14ac:dyDescent="0.65"/>
    <row r="935" ht="9.75" customHeight="1" x14ac:dyDescent="0.65"/>
    <row r="936" ht="9.75" customHeight="1" x14ac:dyDescent="0.65"/>
    <row r="937" ht="9.75" customHeight="1" x14ac:dyDescent="0.65"/>
    <row r="938" ht="9.75" customHeight="1" x14ac:dyDescent="0.65"/>
    <row r="939" ht="9.75" customHeight="1" x14ac:dyDescent="0.65"/>
    <row r="940" ht="9.75" customHeight="1" x14ac:dyDescent="0.65"/>
    <row r="941" ht="9.75" customHeight="1" x14ac:dyDescent="0.65"/>
    <row r="942" ht="9.75" customHeight="1" x14ac:dyDescent="0.65"/>
    <row r="943" ht="9.75" customHeight="1" x14ac:dyDescent="0.65"/>
    <row r="944" ht="9.75" customHeight="1" x14ac:dyDescent="0.65"/>
    <row r="945" ht="9.75" customHeight="1" x14ac:dyDescent="0.65"/>
    <row r="946" ht="9.75" customHeight="1" x14ac:dyDescent="0.65"/>
    <row r="947" ht="9.75" customHeight="1" x14ac:dyDescent="0.65"/>
    <row r="948" ht="9.75" customHeight="1" x14ac:dyDescent="0.65"/>
    <row r="949" ht="9.75" customHeight="1" x14ac:dyDescent="0.65"/>
    <row r="950" ht="9.75" customHeight="1" x14ac:dyDescent="0.65"/>
    <row r="951" ht="9.75" customHeight="1" x14ac:dyDescent="0.65"/>
    <row r="952" ht="9.75" customHeight="1" x14ac:dyDescent="0.65"/>
    <row r="953" ht="9.75" customHeight="1" x14ac:dyDescent="0.65"/>
    <row r="954" ht="9.75" customHeight="1" x14ac:dyDescent="0.65"/>
    <row r="955" ht="9.75" customHeight="1" x14ac:dyDescent="0.65"/>
    <row r="956" ht="9.75" customHeight="1" x14ac:dyDescent="0.65"/>
    <row r="957" ht="9.75" customHeight="1" x14ac:dyDescent="0.65"/>
    <row r="958" ht="9.75" customHeight="1" x14ac:dyDescent="0.65"/>
    <row r="959" ht="9.75" customHeight="1" x14ac:dyDescent="0.65"/>
    <row r="960" ht="9.75" customHeight="1" x14ac:dyDescent="0.65"/>
    <row r="961" ht="9.75" customHeight="1" x14ac:dyDescent="0.65"/>
    <row r="962" ht="9.75" customHeight="1" x14ac:dyDescent="0.65"/>
    <row r="963" ht="9.75" customHeight="1" x14ac:dyDescent="0.65"/>
    <row r="964" ht="9.75" customHeight="1" x14ac:dyDescent="0.65"/>
    <row r="965" ht="9.75" customHeight="1" x14ac:dyDescent="0.65"/>
    <row r="966" ht="9.75" customHeight="1" x14ac:dyDescent="0.65"/>
    <row r="967" ht="9.75" customHeight="1" x14ac:dyDescent="0.65"/>
    <row r="968" ht="9.75" customHeight="1" x14ac:dyDescent="0.65"/>
    <row r="969" ht="9.75" customHeight="1" x14ac:dyDescent="0.65"/>
    <row r="970" ht="9.75" customHeight="1" x14ac:dyDescent="0.65"/>
    <row r="971" ht="9.75" customHeight="1" x14ac:dyDescent="0.65"/>
    <row r="972" ht="9.75" customHeight="1" x14ac:dyDescent="0.65"/>
    <row r="973" ht="9.75" customHeight="1" x14ac:dyDescent="0.65"/>
    <row r="974" ht="9.75" customHeight="1" x14ac:dyDescent="0.65"/>
    <row r="975" ht="9.75" customHeight="1" x14ac:dyDescent="0.65"/>
    <row r="976" ht="9.75" customHeight="1" x14ac:dyDescent="0.65"/>
    <row r="977" ht="9.75" customHeight="1" x14ac:dyDescent="0.65"/>
    <row r="978" ht="9.75" customHeight="1" x14ac:dyDescent="0.65"/>
    <row r="979" ht="9.75" customHeight="1" x14ac:dyDescent="0.65"/>
    <row r="980" ht="9.75" customHeight="1" x14ac:dyDescent="0.65"/>
    <row r="981" ht="9.75" customHeight="1" x14ac:dyDescent="0.65"/>
    <row r="982" ht="9.75" customHeight="1" x14ac:dyDescent="0.65"/>
    <row r="983" ht="9.75" customHeight="1" x14ac:dyDescent="0.65"/>
    <row r="984" ht="9.75" customHeight="1" x14ac:dyDescent="0.65"/>
    <row r="985" ht="9.75" customHeight="1" x14ac:dyDescent="0.65"/>
    <row r="986" ht="9.75" customHeight="1" x14ac:dyDescent="0.65"/>
    <row r="987" ht="9.75" customHeight="1" x14ac:dyDescent="0.65"/>
    <row r="988" ht="9.75" customHeight="1" x14ac:dyDescent="0.65"/>
    <row r="989" ht="9.75" customHeight="1" x14ac:dyDescent="0.65"/>
    <row r="990" ht="9.75" customHeight="1" x14ac:dyDescent="0.65"/>
    <row r="991" ht="9.75" customHeight="1" x14ac:dyDescent="0.65"/>
    <row r="992" ht="9.75" customHeight="1" x14ac:dyDescent="0.65"/>
    <row r="993" ht="9.75" customHeight="1" x14ac:dyDescent="0.65"/>
    <row r="994" ht="9.75" customHeight="1" x14ac:dyDescent="0.65"/>
    <row r="995" ht="9.75" customHeight="1" x14ac:dyDescent="0.65"/>
    <row r="996" ht="9.75" customHeight="1" x14ac:dyDescent="0.65"/>
    <row r="997" ht="9.75" customHeight="1" x14ac:dyDescent="0.65"/>
    <row r="998" ht="9.75" customHeight="1" x14ac:dyDescent="0.65"/>
    <row r="999" ht="9.75" customHeight="1" x14ac:dyDescent="0.65"/>
    <row r="1000" ht="9.75" customHeight="1" x14ac:dyDescent="0.65"/>
    <row r="1001" ht="9.75" customHeight="1" x14ac:dyDescent="0.65"/>
  </sheetData>
  <pageMargins left="0.7" right="0.7" top="0.75" bottom="0.75" header="0" footer="0"/>
  <pageSetup scale="5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4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14.41796875" defaultRowHeight="14.4" customHeight="1" outlineLevelRow="1" x14ac:dyDescent="0.65"/>
  <cols>
    <col min="1" max="1" width="4.578125" style="51" customWidth="1"/>
    <col min="2" max="2" width="37.7890625" style="51" customWidth="1"/>
    <col min="3" max="3" width="10.578125" style="51" customWidth="1"/>
    <col min="4" max="9" width="12.578125" style="51" customWidth="1"/>
    <col min="10" max="27" width="8.83984375" style="51" customWidth="1"/>
    <col min="28" max="16384" width="14.41796875" style="51"/>
  </cols>
  <sheetData>
    <row r="1" spans="1:27" customFormat="1" ht="50.1" customHeight="1" x14ac:dyDescent="0.55000000000000004">
      <c r="B1" s="67"/>
      <c r="C1" s="68"/>
      <c r="D1" s="68"/>
      <c r="E1" s="68"/>
      <c r="F1" s="68"/>
      <c r="G1" s="68"/>
      <c r="H1" s="68"/>
      <c r="I1" s="6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customFormat="1" ht="11.25" customHeight="1" x14ac:dyDescent="0.55000000000000004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43" customFormat="1" ht="17.7" x14ac:dyDescent="0.75">
      <c r="A3" s="43" t="s">
        <v>178</v>
      </c>
      <c r="B3" s="44" t="s">
        <v>38</v>
      </c>
      <c r="C3" s="44"/>
      <c r="D3" s="44"/>
      <c r="E3" s="44"/>
      <c r="F3" s="44"/>
      <c r="G3" s="44" t="s">
        <v>5</v>
      </c>
      <c r="H3" s="44"/>
      <c r="I3" s="44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s="43" customFormat="1" ht="14.4" customHeight="1" x14ac:dyDescent="0.75">
      <c r="B4" s="87"/>
      <c r="C4" s="87"/>
      <c r="D4" s="87"/>
      <c r="E4" s="87"/>
      <c r="F4" s="87"/>
      <c r="G4" s="87"/>
      <c r="H4" s="87"/>
      <c r="I4" s="87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43" customFormat="1" ht="14.4" customHeight="1" outlineLevel="1" thickBot="1" x14ac:dyDescent="0.8">
      <c r="B5" s="87"/>
      <c r="C5" s="87"/>
      <c r="D5" s="89">
        <f>'Monthly Schedule'!B21</f>
        <v>2017</v>
      </c>
      <c r="E5" s="89">
        <f t="shared" ref="E5:I5" si="0">+D5+1</f>
        <v>2018</v>
      </c>
      <c r="F5" s="89">
        <f t="shared" si="0"/>
        <v>2019</v>
      </c>
      <c r="G5" s="89">
        <f t="shared" si="0"/>
        <v>2020</v>
      </c>
      <c r="H5" s="89">
        <f t="shared" si="0"/>
        <v>2021</v>
      </c>
      <c r="I5" s="89">
        <f t="shared" si="0"/>
        <v>2022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s="43" customFormat="1" ht="14.4" customHeight="1" outlineLevel="1" x14ac:dyDescent="0.75">
      <c r="B6" s="87"/>
      <c r="C6" s="87"/>
      <c r="D6" s="87"/>
      <c r="E6" s="87"/>
      <c r="F6" s="87"/>
      <c r="G6" s="87"/>
      <c r="H6" s="87"/>
      <c r="I6" s="87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outlineLevel="1" x14ac:dyDescent="0.65">
      <c r="B7" s="51" t="s">
        <v>14</v>
      </c>
      <c r="D7" s="124">
        <f>'Monthly Schedule'!O26</f>
        <v>171.43678243439783</v>
      </c>
      <c r="E7" s="124">
        <f>'Monthly Schedule'!O51</f>
        <v>272.02892138802486</v>
      </c>
      <c r="F7" s="124">
        <f>'Monthly Schedule'!O76</f>
        <v>392.85028174461763</v>
      </c>
      <c r="G7" s="124">
        <f>'Monthly Schedule'!O101</f>
        <v>527.70753284054354</v>
      </c>
      <c r="H7" s="124">
        <f>'Monthly Schedule'!O126</f>
        <v>672.30347950572241</v>
      </c>
      <c r="I7" s="124">
        <f>'Monthly Schedule'!O151</f>
        <v>823.65654569768753</v>
      </c>
      <c r="K7" s="122"/>
    </row>
    <row r="8" spans="1:27" outlineLevel="1" x14ac:dyDescent="0.65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outlineLevel="1" x14ac:dyDescent="0.65">
      <c r="B9" s="56" t="s">
        <v>25</v>
      </c>
      <c r="C9" s="56"/>
      <c r="D9" s="125">
        <f>'Monthly Schedule'!D44</f>
        <v>144000</v>
      </c>
      <c r="E9" s="125">
        <f>'Monthly Schedule'!D69</f>
        <v>216000</v>
      </c>
      <c r="F9" s="125">
        <f>'Monthly Schedule'!D94</f>
        <v>333600</v>
      </c>
      <c r="G9" s="125">
        <f>'Monthly Schedule'!D119</f>
        <v>656400</v>
      </c>
      <c r="H9" s="125">
        <f>'Monthly Schedule'!D144</f>
        <v>865200</v>
      </c>
      <c r="I9" s="125">
        <f>'Monthly Schedule'!D169</f>
        <v>1117320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outlineLevel="1" x14ac:dyDescent="0.65">
      <c r="B10" s="51" t="s">
        <v>39</v>
      </c>
      <c r="D10" s="107">
        <v>50</v>
      </c>
      <c r="E10" s="107">
        <v>50</v>
      </c>
      <c r="F10" s="107">
        <v>50</v>
      </c>
      <c r="G10" s="107">
        <v>50</v>
      </c>
      <c r="H10" s="107">
        <v>50</v>
      </c>
      <c r="I10" s="107">
        <v>50</v>
      </c>
    </row>
    <row r="11" spans="1:27" outlineLevel="1" x14ac:dyDescent="0.65">
      <c r="B11" s="56" t="s">
        <v>40</v>
      </c>
      <c r="C11" s="56"/>
      <c r="D11" s="66">
        <f t="shared" ref="D11:I11" si="1">D10*D7</f>
        <v>8571.8391217198914</v>
      </c>
      <c r="E11" s="66">
        <f t="shared" si="1"/>
        <v>13601.446069401243</v>
      </c>
      <c r="F11" s="66">
        <f t="shared" si="1"/>
        <v>19642.51408723088</v>
      </c>
      <c r="G11" s="66">
        <f t="shared" si="1"/>
        <v>26385.376642027179</v>
      </c>
      <c r="H11" s="66">
        <f t="shared" si="1"/>
        <v>33615.173975286118</v>
      </c>
      <c r="I11" s="66">
        <f t="shared" si="1"/>
        <v>41182.827284884377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outlineLevel="1" x14ac:dyDescent="0.65">
      <c r="B12" s="59" t="s">
        <v>41</v>
      </c>
      <c r="C12" s="59"/>
      <c r="D12" s="61">
        <f t="shared" ref="D12:I12" si="2">D9+D11</f>
        <v>152571.83912171988</v>
      </c>
      <c r="E12" s="61">
        <f t="shared" si="2"/>
        <v>229601.44606940125</v>
      </c>
      <c r="F12" s="61">
        <f t="shared" si="2"/>
        <v>353242.5140872309</v>
      </c>
      <c r="G12" s="61">
        <f t="shared" si="2"/>
        <v>682785.37664202717</v>
      </c>
      <c r="H12" s="61">
        <f t="shared" si="2"/>
        <v>898815.17397528607</v>
      </c>
      <c r="I12" s="61">
        <f t="shared" si="2"/>
        <v>1158502.8272848844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outlineLevel="1" x14ac:dyDescent="0.65">
      <c r="B13" s="56"/>
      <c r="C13" s="56"/>
      <c r="D13" s="66"/>
      <c r="E13" s="71"/>
      <c r="F13" s="71"/>
      <c r="G13" s="71"/>
      <c r="H13" s="71"/>
      <c r="I13" s="71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outlineLevel="1" x14ac:dyDescent="0.65">
      <c r="B14" s="92" t="s">
        <v>42</v>
      </c>
      <c r="C14" s="92"/>
      <c r="D14" s="93"/>
      <c r="E14" s="93"/>
      <c r="F14" s="93"/>
      <c r="G14" s="93"/>
      <c r="H14" s="93"/>
      <c r="I14" s="93"/>
    </row>
    <row r="15" spans="1:27" outlineLevel="1" x14ac:dyDescent="0.65">
      <c r="B15" s="66"/>
      <c r="C15" s="66"/>
      <c r="D15" s="53"/>
      <c r="E15" s="53"/>
      <c r="F15" s="53"/>
      <c r="G15" s="53"/>
      <c r="H15" s="53"/>
      <c r="I15" s="53"/>
    </row>
    <row r="16" spans="1:27" outlineLevel="1" x14ac:dyDescent="0.65">
      <c r="B16" s="56" t="s">
        <v>43</v>
      </c>
      <c r="C16" s="56"/>
      <c r="D16" s="124">
        <f>'Monthly Schedule'!D43</f>
        <v>182786.62441510818</v>
      </c>
      <c r="E16" s="124">
        <f>'Monthly Schedule'!D68</f>
        <v>322095.90061653254</v>
      </c>
      <c r="F16" s="124">
        <f>'Monthly Schedule'!D93</f>
        <v>504645.43404621881</v>
      </c>
      <c r="G16" s="124">
        <f>'Monthly Schedule'!D118</f>
        <v>723263.04834928084</v>
      </c>
      <c r="H16" s="124">
        <f>'Monthly Schedule'!D143</f>
        <v>971966.20194553025</v>
      </c>
      <c r="I16" s="124">
        <f>'Monthly Schedule'!D168</f>
        <v>1245764.6656510022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2:27" outlineLevel="1" x14ac:dyDescent="0.65">
      <c r="B17" s="56" t="s">
        <v>44</v>
      </c>
      <c r="C17" s="56"/>
      <c r="D17" s="126">
        <f t="shared" ref="D17:I17" si="3">D11</f>
        <v>8571.8391217198914</v>
      </c>
      <c r="E17" s="126">
        <f t="shared" si="3"/>
        <v>13601.446069401243</v>
      </c>
      <c r="F17" s="126">
        <f t="shared" si="3"/>
        <v>19642.51408723088</v>
      </c>
      <c r="G17" s="126">
        <f t="shared" si="3"/>
        <v>26385.376642027179</v>
      </c>
      <c r="H17" s="126">
        <f t="shared" si="3"/>
        <v>33615.173975286118</v>
      </c>
      <c r="I17" s="126">
        <f t="shared" si="3"/>
        <v>41182.827284884377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2:27" outlineLevel="1" x14ac:dyDescent="0.65">
      <c r="B18" s="56"/>
      <c r="C18" s="56"/>
      <c r="D18" s="66"/>
      <c r="E18" s="66"/>
      <c r="F18" s="66"/>
      <c r="G18" s="66"/>
      <c r="H18" s="66"/>
      <c r="I18" s="6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2:27" outlineLevel="1" x14ac:dyDescent="0.65">
      <c r="B19" s="92" t="s">
        <v>45</v>
      </c>
      <c r="C19" s="92"/>
      <c r="D19" s="93"/>
      <c r="E19" s="93"/>
      <c r="F19" s="93"/>
      <c r="G19" s="93"/>
      <c r="H19" s="93"/>
      <c r="I19" s="93"/>
    </row>
    <row r="20" spans="2:27" outlineLevel="1" x14ac:dyDescent="0.65">
      <c r="B20" s="66"/>
      <c r="C20" s="66"/>
      <c r="D20" s="53"/>
      <c r="E20" s="53"/>
      <c r="F20" s="53"/>
      <c r="G20" s="53"/>
      <c r="H20" s="53"/>
      <c r="I20" s="53"/>
    </row>
    <row r="21" spans="2:27" outlineLevel="1" x14ac:dyDescent="0.65">
      <c r="B21" s="51" t="s">
        <v>46</v>
      </c>
      <c r="D21" s="53">
        <f t="shared" ref="D21:I21" si="4">+D22*D16</f>
        <v>27417.993662266224</v>
      </c>
      <c r="E21" s="53">
        <f t="shared" si="4"/>
        <v>48314.385092479883</v>
      </c>
      <c r="F21" s="53">
        <f t="shared" si="4"/>
        <v>75696.815106932816</v>
      </c>
      <c r="G21" s="53">
        <f t="shared" si="4"/>
        <v>108489.45725239212</v>
      </c>
      <c r="H21" s="53">
        <f t="shared" si="4"/>
        <v>145794.93029182954</v>
      </c>
      <c r="I21" s="53">
        <f t="shared" si="4"/>
        <v>186864.69984765034</v>
      </c>
    </row>
    <row r="22" spans="2:27" outlineLevel="1" x14ac:dyDescent="0.65">
      <c r="B22" s="72" t="s">
        <v>47</v>
      </c>
      <c r="C22" s="62"/>
      <c r="D22" s="105">
        <v>0.15</v>
      </c>
      <c r="E22" s="105">
        <v>0.15</v>
      </c>
      <c r="F22" s="105">
        <v>0.15</v>
      </c>
      <c r="G22" s="105">
        <v>0.15</v>
      </c>
      <c r="H22" s="105">
        <v>0.15</v>
      </c>
      <c r="I22" s="105">
        <v>0.15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7" outlineLevel="1" x14ac:dyDescent="0.65">
      <c r="B23" s="51" t="s">
        <v>48</v>
      </c>
      <c r="D23" s="53">
        <f t="shared" ref="D23:I23" si="5">+D24*D17</f>
        <v>7286.0632534619072</v>
      </c>
      <c r="E23" s="53">
        <f t="shared" si="5"/>
        <v>11561.229158991056</v>
      </c>
      <c r="F23" s="53">
        <f t="shared" si="5"/>
        <v>16696.136974146248</v>
      </c>
      <c r="G23" s="53">
        <f t="shared" si="5"/>
        <v>22427.570145723101</v>
      </c>
      <c r="H23" s="53">
        <f t="shared" si="5"/>
        <v>28572.897878993201</v>
      </c>
      <c r="I23" s="53">
        <f t="shared" si="5"/>
        <v>35005.403192151716</v>
      </c>
    </row>
    <row r="24" spans="2:27" outlineLevel="1" x14ac:dyDescent="0.65">
      <c r="B24" s="72" t="s">
        <v>49</v>
      </c>
      <c r="C24" s="62"/>
      <c r="D24" s="105">
        <v>0.85</v>
      </c>
      <c r="E24" s="105">
        <v>0.85</v>
      </c>
      <c r="F24" s="105">
        <v>0.85</v>
      </c>
      <c r="G24" s="105">
        <v>0.85</v>
      </c>
      <c r="H24" s="105">
        <v>0.85</v>
      </c>
      <c r="I24" s="105">
        <v>0.85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2:27" outlineLevel="1" x14ac:dyDescent="0.65">
      <c r="B25" s="7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2:27" outlineLevel="1" x14ac:dyDescent="0.65">
      <c r="B26" s="92" t="s">
        <v>50</v>
      </c>
      <c r="C26" s="92"/>
      <c r="D26" s="93"/>
      <c r="E26" s="93"/>
      <c r="F26" s="93"/>
      <c r="G26" s="93"/>
      <c r="H26" s="93"/>
      <c r="I26" s="93"/>
    </row>
    <row r="27" spans="2:27" outlineLevel="1" x14ac:dyDescent="0.65">
      <c r="B27" s="66"/>
      <c r="C27" s="66"/>
      <c r="D27" s="53"/>
      <c r="E27" s="53"/>
      <c r="F27" s="53"/>
      <c r="G27" s="53"/>
      <c r="H27" s="53"/>
      <c r="I27" s="53"/>
    </row>
    <row r="28" spans="2:27" outlineLevel="1" x14ac:dyDescent="0.65">
      <c r="B28" s="51" t="s">
        <v>51</v>
      </c>
      <c r="C28" s="62"/>
      <c r="D28" s="107">
        <v>45</v>
      </c>
      <c r="E28" s="53">
        <f t="shared" ref="E28:I28" si="6">+(E7-D7)/E29</f>
        <v>63.365763387651846</v>
      </c>
      <c r="F28" s="53">
        <f t="shared" si="6"/>
        <v>76.10870801802379</v>
      </c>
      <c r="G28" s="53">
        <f t="shared" si="6"/>
        <v>84.950302806395158</v>
      </c>
      <c r="H28" s="53">
        <f t="shared" si="6"/>
        <v>91.084975809323737</v>
      </c>
      <c r="I28" s="53">
        <f t="shared" si="6"/>
        <v>95.341471809610667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2:27" outlineLevel="1" x14ac:dyDescent="0.65">
      <c r="B29" s="72" t="s">
        <v>52</v>
      </c>
      <c r="C29" s="62"/>
      <c r="D29" s="115">
        <f>+(D7-'Monthly Schedule'!$D$23)/D28</f>
        <v>1.5874840540977295</v>
      </c>
      <c r="E29" s="115">
        <f t="shared" ref="E29:I29" si="7">+D29</f>
        <v>1.5874840540977295</v>
      </c>
      <c r="F29" s="115">
        <f t="shared" si="7"/>
        <v>1.5874840540977295</v>
      </c>
      <c r="G29" s="115">
        <f t="shared" si="7"/>
        <v>1.5874840540977295</v>
      </c>
      <c r="H29" s="115">
        <f t="shared" si="7"/>
        <v>1.5874840540977295</v>
      </c>
      <c r="I29" s="115">
        <f t="shared" si="7"/>
        <v>1.5874840540977295</v>
      </c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2:27" outlineLevel="1" x14ac:dyDescent="0.65">
      <c r="B30" s="51" t="s">
        <v>53</v>
      </c>
      <c r="C30" s="62"/>
      <c r="D30" s="104">
        <v>1000</v>
      </c>
      <c r="E30" s="104">
        <v>1000</v>
      </c>
      <c r="F30" s="104">
        <v>1000</v>
      </c>
      <c r="G30" s="104">
        <v>1000</v>
      </c>
      <c r="H30" s="104">
        <v>1000</v>
      </c>
      <c r="I30" s="104">
        <v>1000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2:27" outlineLevel="1" x14ac:dyDescent="0.65">
      <c r="B31" s="59" t="s">
        <v>54</v>
      </c>
      <c r="C31" s="59"/>
      <c r="D31" s="61">
        <f t="shared" ref="D31:I31" si="8">+D28*D30</f>
        <v>45000</v>
      </c>
      <c r="E31" s="61">
        <f t="shared" si="8"/>
        <v>63365.763387651845</v>
      </c>
      <c r="F31" s="61">
        <f t="shared" si="8"/>
        <v>76108.708018023797</v>
      </c>
      <c r="G31" s="61">
        <f t="shared" si="8"/>
        <v>84950.302806395164</v>
      </c>
      <c r="H31" s="61">
        <f t="shared" si="8"/>
        <v>91084.975809323732</v>
      </c>
      <c r="I31" s="61">
        <f t="shared" si="8"/>
        <v>95341.471809610666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2:27" outlineLevel="1" x14ac:dyDescent="0.65">
      <c r="B32" s="56"/>
      <c r="C32" s="56"/>
      <c r="D32" s="66"/>
      <c r="E32" s="66"/>
      <c r="F32" s="66"/>
      <c r="G32" s="66"/>
      <c r="H32" s="66"/>
      <c r="I32" s="6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2:27" outlineLevel="1" x14ac:dyDescent="0.65">
      <c r="B33" s="52" t="s">
        <v>55</v>
      </c>
      <c r="C33" s="99">
        <v>0.05</v>
      </c>
      <c r="D33" s="73"/>
      <c r="E33" s="73"/>
      <c r="F33" s="73"/>
      <c r="G33" s="73"/>
      <c r="H33" s="73"/>
      <c r="I33" s="73"/>
    </row>
    <row r="34" spans="2:27" outlineLevel="1" x14ac:dyDescent="0.65">
      <c r="B34" s="53" t="s">
        <v>56</v>
      </c>
      <c r="C34" s="55"/>
      <c r="D34" s="58">
        <f t="shared" ref="D34:I34" si="9">+$C$33*D12</f>
        <v>7628.5919560859948</v>
      </c>
      <c r="E34" s="58">
        <f t="shared" si="9"/>
        <v>11480.072303470064</v>
      </c>
      <c r="F34" s="58">
        <f t="shared" si="9"/>
        <v>17662.125704361544</v>
      </c>
      <c r="G34" s="58">
        <f t="shared" si="9"/>
        <v>34139.268832101363</v>
      </c>
      <c r="H34" s="58">
        <f t="shared" si="9"/>
        <v>44940.758698764308</v>
      </c>
      <c r="I34" s="58">
        <f t="shared" si="9"/>
        <v>57925.14136424422</v>
      </c>
    </row>
    <row r="35" spans="2:27" outlineLevel="1" x14ac:dyDescent="0.65">
      <c r="B35" s="51" t="s">
        <v>57</v>
      </c>
      <c r="D35" s="53">
        <f t="shared" ref="D35:I35" si="10">$C$33*D16</f>
        <v>9139.33122075541</v>
      </c>
      <c r="E35" s="53">
        <f t="shared" si="10"/>
        <v>16104.795030826628</v>
      </c>
      <c r="F35" s="53">
        <f t="shared" si="10"/>
        <v>25232.271702310944</v>
      </c>
      <c r="G35" s="53">
        <f t="shared" si="10"/>
        <v>36163.152417464044</v>
      </c>
      <c r="H35" s="53">
        <f t="shared" si="10"/>
        <v>48598.310097276517</v>
      </c>
      <c r="I35" s="53">
        <f t="shared" si="10"/>
        <v>62288.233282550114</v>
      </c>
    </row>
    <row r="36" spans="2:27" outlineLevel="1" x14ac:dyDescent="0.65">
      <c r="B36" s="7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2:27" outlineLevel="1" x14ac:dyDescent="0.65">
      <c r="B37" s="59" t="s">
        <v>58</v>
      </c>
      <c r="C37" s="59"/>
      <c r="D37" s="61">
        <f t="shared" ref="D37:I37" si="11">+D35+D31</f>
        <v>54139.331220755412</v>
      </c>
      <c r="E37" s="61">
        <f t="shared" si="11"/>
        <v>79470.558418478468</v>
      </c>
      <c r="F37" s="61">
        <f t="shared" si="11"/>
        <v>101340.97972033474</v>
      </c>
      <c r="G37" s="61">
        <f t="shared" si="11"/>
        <v>121113.4552238592</v>
      </c>
      <c r="H37" s="61">
        <f t="shared" si="11"/>
        <v>139683.28590660024</v>
      </c>
      <c r="I37" s="61">
        <f t="shared" si="11"/>
        <v>157629.70509216079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spans="2:27" outlineLevel="1" x14ac:dyDescent="0.65">
      <c r="B38" s="7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2:27" outlineLevel="1" x14ac:dyDescent="0.65">
      <c r="B39" s="92" t="s">
        <v>59</v>
      </c>
      <c r="C39" s="92"/>
      <c r="D39" s="93"/>
      <c r="E39" s="93"/>
      <c r="F39" s="93"/>
      <c r="G39" s="93"/>
      <c r="H39" s="93"/>
      <c r="I39" s="93"/>
    </row>
    <row r="40" spans="2:27" outlineLevel="1" x14ac:dyDescent="0.65">
      <c r="B40" s="66"/>
      <c r="C40" s="66"/>
      <c r="D40" s="53"/>
      <c r="E40" s="53"/>
      <c r="F40" s="53"/>
      <c r="G40" s="53"/>
      <c r="H40" s="53"/>
      <c r="I40" s="53"/>
    </row>
    <row r="41" spans="2:27" outlineLevel="1" x14ac:dyDescent="0.65">
      <c r="B41" s="51" t="s">
        <v>60</v>
      </c>
      <c r="C41" s="62"/>
      <c r="D41" s="107">
        <v>15</v>
      </c>
      <c r="E41" s="53">
        <f t="shared" ref="E41:I41" si="12">D41+5</f>
        <v>20</v>
      </c>
      <c r="F41" s="53">
        <f t="shared" si="12"/>
        <v>25</v>
      </c>
      <c r="G41" s="53">
        <f t="shared" si="12"/>
        <v>30</v>
      </c>
      <c r="H41" s="53">
        <f t="shared" si="12"/>
        <v>35</v>
      </c>
      <c r="I41" s="53">
        <f t="shared" si="12"/>
        <v>40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2:27" outlineLevel="1" x14ac:dyDescent="0.65">
      <c r="B42" s="51" t="s">
        <v>53</v>
      </c>
      <c r="C42" s="62"/>
      <c r="D42" s="104">
        <v>1500</v>
      </c>
      <c r="E42" s="104">
        <v>1500</v>
      </c>
      <c r="F42" s="104">
        <v>1500</v>
      </c>
      <c r="G42" s="104">
        <v>1500</v>
      </c>
      <c r="H42" s="104">
        <v>1500</v>
      </c>
      <c r="I42" s="104">
        <v>1500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2:27" outlineLevel="1" x14ac:dyDescent="0.65">
      <c r="B43" s="59" t="s">
        <v>61</v>
      </c>
      <c r="C43" s="59"/>
      <c r="D43" s="61">
        <f t="shared" ref="D43:I43" si="13">+D41*D42</f>
        <v>22500</v>
      </c>
      <c r="E43" s="61">
        <f t="shared" si="13"/>
        <v>30000</v>
      </c>
      <c r="F43" s="61">
        <f t="shared" si="13"/>
        <v>37500</v>
      </c>
      <c r="G43" s="61">
        <f t="shared" si="13"/>
        <v>45000</v>
      </c>
      <c r="H43" s="61">
        <f t="shared" si="13"/>
        <v>52500</v>
      </c>
      <c r="I43" s="61">
        <f t="shared" si="13"/>
        <v>60000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2:27" outlineLevel="1" x14ac:dyDescent="0.65">
      <c r="B44" s="51" t="s">
        <v>62</v>
      </c>
      <c r="C44" s="62"/>
      <c r="D44" s="104">
        <v>100</v>
      </c>
      <c r="E44" s="104">
        <v>100</v>
      </c>
      <c r="F44" s="104">
        <v>100</v>
      </c>
      <c r="G44" s="104">
        <v>100</v>
      </c>
      <c r="H44" s="104">
        <v>100</v>
      </c>
      <c r="I44" s="104">
        <v>100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2:27" outlineLevel="1" x14ac:dyDescent="0.65">
      <c r="B45" s="59" t="s">
        <v>63</v>
      </c>
      <c r="C45" s="59"/>
      <c r="D45" s="61">
        <f t="shared" ref="D45:I45" si="14">+D43+D44</f>
        <v>22600</v>
      </c>
      <c r="E45" s="61">
        <f t="shared" si="14"/>
        <v>30100</v>
      </c>
      <c r="F45" s="61">
        <f t="shared" si="14"/>
        <v>37600</v>
      </c>
      <c r="G45" s="61">
        <f t="shared" si="14"/>
        <v>45100</v>
      </c>
      <c r="H45" s="61">
        <f t="shared" si="14"/>
        <v>52600</v>
      </c>
      <c r="I45" s="61">
        <f t="shared" si="14"/>
        <v>60100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2:27" outlineLevel="1" x14ac:dyDescent="0.65">
      <c r="B46" s="56"/>
      <c r="C46" s="5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2:27" outlineLevel="1" x14ac:dyDescent="0.65">
      <c r="B47" s="92" t="s">
        <v>64</v>
      </c>
      <c r="C47" s="92"/>
      <c r="D47" s="93"/>
      <c r="E47" s="93"/>
      <c r="F47" s="93"/>
      <c r="G47" s="93"/>
      <c r="H47" s="93"/>
      <c r="I47" s="93"/>
    </row>
    <row r="48" spans="2:27" outlineLevel="1" x14ac:dyDescent="0.65">
      <c r="B48" s="66"/>
      <c r="C48" s="66"/>
      <c r="D48" s="53"/>
      <c r="E48" s="53"/>
      <c r="F48" s="53"/>
      <c r="G48" s="53"/>
      <c r="H48" s="53"/>
      <c r="I48" s="53"/>
    </row>
    <row r="49" spans="2:27" outlineLevel="1" x14ac:dyDescent="0.65">
      <c r="B49" s="51" t="s">
        <v>65</v>
      </c>
      <c r="C49" s="62"/>
      <c r="D49" s="107">
        <v>8</v>
      </c>
      <c r="E49" s="107">
        <f t="shared" ref="E49:I49" si="15">D49+1</f>
        <v>9</v>
      </c>
      <c r="F49" s="107">
        <f t="shared" si="15"/>
        <v>10</v>
      </c>
      <c r="G49" s="107">
        <f t="shared" si="15"/>
        <v>11</v>
      </c>
      <c r="H49" s="107">
        <f t="shared" si="15"/>
        <v>12</v>
      </c>
      <c r="I49" s="107">
        <f t="shared" si="15"/>
        <v>13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2:27" outlineLevel="1" x14ac:dyDescent="0.65">
      <c r="B50" s="51" t="s">
        <v>53</v>
      </c>
      <c r="C50" s="62"/>
      <c r="D50" s="104">
        <v>1000</v>
      </c>
      <c r="E50" s="104">
        <v>1000</v>
      </c>
      <c r="F50" s="104">
        <v>1000</v>
      </c>
      <c r="G50" s="104">
        <v>1000</v>
      </c>
      <c r="H50" s="104">
        <v>1000</v>
      </c>
      <c r="I50" s="104">
        <v>1000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2:27" outlineLevel="1" x14ac:dyDescent="0.65">
      <c r="B51" s="59" t="s">
        <v>61</v>
      </c>
      <c r="C51" s="59"/>
      <c r="D51" s="61">
        <f t="shared" ref="D51:I51" si="16">+D49*D50</f>
        <v>8000</v>
      </c>
      <c r="E51" s="61">
        <f t="shared" si="16"/>
        <v>9000</v>
      </c>
      <c r="F51" s="61">
        <f t="shared" si="16"/>
        <v>10000</v>
      </c>
      <c r="G51" s="61">
        <f t="shared" si="16"/>
        <v>11000</v>
      </c>
      <c r="H51" s="61">
        <f t="shared" si="16"/>
        <v>12000</v>
      </c>
      <c r="I51" s="61">
        <f t="shared" si="16"/>
        <v>13000</v>
      </c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spans="2:27" outlineLevel="1" x14ac:dyDescent="0.65">
      <c r="B52" s="51" t="s">
        <v>66</v>
      </c>
      <c r="C52" s="62"/>
      <c r="D52" s="104">
        <v>100</v>
      </c>
      <c r="E52" s="104">
        <v>100</v>
      </c>
      <c r="F52" s="104">
        <v>100</v>
      </c>
      <c r="G52" s="104">
        <v>100</v>
      </c>
      <c r="H52" s="104">
        <v>100</v>
      </c>
      <c r="I52" s="104">
        <v>100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2:27" outlineLevel="1" x14ac:dyDescent="0.65">
      <c r="B53" s="59" t="s">
        <v>63</v>
      </c>
      <c r="C53" s="59"/>
      <c r="D53" s="61">
        <f t="shared" ref="D53:I53" si="17">D51+D52</f>
        <v>8100</v>
      </c>
      <c r="E53" s="61">
        <f t="shared" si="17"/>
        <v>9100</v>
      </c>
      <c r="F53" s="61">
        <f t="shared" si="17"/>
        <v>10100</v>
      </c>
      <c r="G53" s="61">
        <f t="shared" si="17"/>
        <v>11100</v>
      </c>
      <c r="H53" s="61">
        <f t="shared" si="17"/>
        <v>12100</v>
      </c>
      <c r="I53" s="61">
        <f t="shared" si="17"/>
        <v>13100</v>
      </c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spans="2:27" outlineLevel="1" x14ac:dyDescent="0.65">
      <c r="B54" s="56"/>
      <c r="C54" s="56"/>
      <c r="D54" s="66"/>
      <c r="E54" s="66"/>
      <c r="F54" s="66"/>
      <c r="G54" s="66"/>
      <c r="H54" s="66"/>
      <c r="I54" s="6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spans="2:27" outlineLevel="1" x14ac:dyDescent="0.65">
      <c r="B55" s="92" t="s">
        <v>67</v>
      </c>
      <c r="C55" s="92"/>
      <c r="D55" s="93"/>
      <c r="E55" s="93"/>
      <c r="F55" s="93"/>
      <c r="G55" s="93"/>
      <c r="H55" s="93"/>
      <c r="I55" s="93"/>
    </row>
    <row r="56" spans="2:27" outlineLevel="1" x14ac:dyDescent="0.65">
      <c r="B56" s="66"/>
      <c r="C56" s="66"/>
      <c r="D56" s="53"/>
      <c r="E56" s="53"/>
      <c r="F56" s="53"/>
      <c r="G56" s="53"/>
      <c r="H56" s="53"/>
      <c r="I56" s="53"/>
    </row>
    <row r="57" spans="2:27" outlineLevel="1" x14ac:dyDescent="0.65">
      <c r="B57" s="53" t="s">
        <v>68</v>
      </c>
      <c r="C57" s="108">
        <v>365</v>
      </c>
      <c r="D57" s="53"/>
      <c r="E57" s="53"/>
      <c r="F57" s="53"/>
      <c r="G57" s="53"/>
      <c r="H57" s="53"/>
      <c r="I57" s="53"/>
    </row>
    <row r="58" spans="2:27" outlineLevel="1" x14ac:dyDescent="0.65">
      <c r="B58" s="56" t="s">
        <v>69</v>
      </c>
      <c r="C58" s="56"/>
      <c r="D58" s="66"/>
      <c r="E58" s="66"/>
      <c r="F58" s="66"/>
      <c r="G58" s="66"/>
      <c r="H58" s="66"/>
      <c r="I58" s="6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spans="2:27" outlineLevel="1" x14ac:dyDescent="0.65">
      <c r="B59" s="51" t="s">
        <v>70</v>
      </c>
      <c r="C59" s="57"/>
      <c r="D59" s="104">
        <v>45</v>
      </c>
      <c r="E59" s="104">
        <v>45</v>
      </c>
      <c r="F59" s="104">
        <v>45</v>
      </c>
      <c r="G59" s="104">
        <v>45</v>
      </c>
      <c r="H59" s="104">
        <v>45</v>
      </c>
      <c r="I59" s="104">
        <v>45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spans="2:27" outlineLevel="1" x14ac:dyDescent="0.65">
      <c r="B60" s="51" t="s">
        <v>71</v>
      </c>
      <c r="C60" s="56"/>
      <c r="D60" s="109">
        <v>0.15</v>
      </c>
      <c r="E60" s="109">
        <v>0.15</v>
      </c>
      <c r="F60" s="109">
        <v>0.15</v>
      </c>
      <c r="G60" s="109">
        <v>0.15</v>
      </c>
      <c r="H60" s="109">
        <v>0.15</v>
      </c>
      <c r="I60" s="109">
        <v>0.15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spans="2:27" outlineLevel="1" x14ac:dyDescent="0.65">
      <c r="C61" s="56"/>
      <c r="D61" s="66"/>
      <c r="E61" s="66"/>
      <c r="F61" s="66"/>
      <c r="G61" s="66"/>
      <c r="H61" s="66"/>
      <c r="I61" s="6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spans="2:27" outlineLevel="1" x14ac:dyDescent="0.65">
      <c r="B62" s="56" t="s">
        <v>72</v>
      </c>
      <c r="C62" s="56"/>
      <c r="D62" s="66"/>
      <c r="E62" s="66"/>
      <c r="F62" s="66"/>
      <c r="G62" s="66"/>
      <c r="H62" s="66"/>
      <c r="I62" s="6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spans="2:27" outlineLevel="1" x14ac:dyDescent="0.65">
      <c r="B63" s="51" t="s">
        <v>73</v>
      </c>
      <c r="C63" s="57"/>
      <c r="D63" s="104">
        <v>10</v>
      </c>
      <c r="E63" s="104">
        <v>10</v>
      </c>
      <c r="F63" s="104">
        <v>10</v>
      </c>
      <c r="G63" s="104">
        <v>10</v>
      </c>
      <c r="H63" s="104">
        <v>10</v>
      </c>
      <c r="I63" s="104">
        <v>10</v>
      </c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spans="2:27" outlineLevel="1" x14ac:dyDescent="0.65">
      <c r="B64" s="56"/>
      <c r="C64" s="56"/>
      <c r="D64" s="66"/>
      <c r="E64" s="66"/>
      <c r="F64" s="66"/>
      <c r="G64" s="66"/>
      <c r="H64" s="66"/>
      <c r="I64" s="6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2:27" outlineLevel="1" x14ac:dyDescent="0.65">
      <c r="B65" s="56" t="s">
        <v>74</v>
      </c>
      <c r="C65" s="56"/>
      <c r="D65" s="66"/>
      <c r="E65" s="66"/>
      <c r="F65" s="66"/>
      <c r="G65" s="66"/>
      <c r="H65" s="66"/>
      <c r="I65" s="6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spans="2:27" outlineLevel="1" x14ac:dyDescent="0.65">
      <c r="B66" s="51" t="s">
        <v>75</v>
      </c>
      <c r="D66" s="104">
        <v>500</v>
      </c>
      <c r="E66" s="104">
        <v>200</v>
      </c>
      <c r="F66" s="104">
        <v>200</v>
      </c>
      <c r="G66" s="104">
        <v>200</v>
      </c>
      <c r="H66" s="104">
        <v>200</v>
      </c>
      <c r="I66" s="104">
        <v>200</v>
      </c>
    </row>
    <row r="67" spans="2:27" outlineLevel="1" x14ac:dyDescent="0.65">
      <c r="B67" s="51" t="s">
        <v>76</v>
      </c>
      <c r="D67" s="104">
        <v>500</v>
      </c>
      <c r="E67" s="104">
        <v>200</v>
      </c>
      <c r="F67" s="104">
        <v>200</v>
      </c>
      <c r="G67" s="104">
        <v>200</v>
      </c>
      <c r="H67" s="104">
        <v>200</v>
      </c>
      <c r="I67" s="104">
        <v>200</v>
      </c>
    </row>
    <row r="68" spans="2:27" outlineLevel="1" x14ac:dyDescent="0.65">
      <c r="B68" s="56"/>
      <c r="C68" s="56"/>
      <c r="D68" s="66"/>
      <c r="E68" s="66"/>
      <c r="F68" s="66"/>
      <c r="G68" s="66"/>
      <c r="H68" s="66"/>
      <c r="I68" s="6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spans="2:27" outlineLevel="1" x14ac:dyDescent="0.65">
      <c r="B69" s="56" t="s">
        <v>77</v>
      </c>
      <c r="C69" s="56"/>
      <c r="D69" s="66"/>
      <c r="E69" s="66"/>
      <c r="F69" s="66"/>
      <c r="G69" s="66"/>
      <c r="H69" s="66"/>
      <c r="I69" s="6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spans="2:27" outlineLevel="1" x14ac:dyDescent="0.65">
      <c r="B70" s="51" t="s">
        <v>78</v>
      </c>
      <c r="D70" s="104">
        <v>5</v>
      </c>
      <c r="E70" s="104">
        <v>5</v>
      </c>
      <c r="F70" s="104">
        <v>5</v>
      </c>
      <c r="G70" s="104">
        <v>5</v>
      </c>
      <c r="H70" s="104">
        <v>5</v>
      </c>
      <c r="I70" s="104">
        <v>5</v>
      </c>
    </row>
    <row r="71" spans="2:27" outlineLevel="1" x14ac:dyDescent="0.65">
      <c r="B71" s="51" t="s">
        <v>79</v>
      </c>
      <c r="D71" s="104">
        <v>5</v>
      </c>
      <c r="E71" s="104">
        <v>5</v>
      </c>
      <c r="F71" s="104">
        <v>5</v>
      </c>
      <c r="G71" s="104">
        <v>5</v>
      </c>
      <c r="H71" s="104">
        <v>5</v>
      </c>
      <c r="I71" s="104">
        <v>5</v>
      </c>
    </row>
    <row r="72" spans="2:27" outlineLevel="1" x14ac:dyDescent="0.65">
      <c r="B72" s="56"/>
      <c r="C72" s="56"/>
      <c r="D72" s="66"/>
      <c r="E72" s="66"/>
      <c r="F72" s="66"/>
      <c r="G72" s="66"/>
      <c r="H72" s="66"/>
      <c r="I72" s="6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spans="2:27" outlineLevel="1" x14ac:dyDescent="0.65">
      <c r="B73" s="56" t="s">
        <v>80</v>
      </c>
      <c r="C73" s="56"/>
      <c r="D73" s="66"/>
      <c r="E73" s="66"/>
      <c r="F73" s="66"/>
      <c r="G73" s="66"/>
      <c r="H73" s="66"/>
      <c r="I73" s="6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spans="2:27" outlineLevel="1" x14ac:dyDescent="0.65">
      <c r="B74" s="51" t="s">
        <v>81</v>
      </c>
      <c r="C74" s="56"/>
      <c r="D74" s="109">
        <v>0.03</v>
      </c>
      <c r="E74" s="109">
        <v>0.03</v>
      </c>
      <c r="F74" s="109">
        <v>0.03</v>
      </c>
      <c r="G74" s="109">
        <v>0.03</v>
      </c>
      <c r="H74" s="109">
        <v>0.03</v>
      </c>
      <c r="I74" s="109">
        <v>0.03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spans="2:27" outlineLevel="1" x14ac:dyDescent="0.65">
      <c r="B75" s="51" t="s">
        <v>82</v>
      </c>
      <c r="C75" s="56"/>
      <c r="D75" s="104">
        <v>5000</v>
      </c>
      <c r="E75" s="104">
        <v>0</v>
      </c>
      <c r="F75" s="104">
        <v>0</v>
      </c>
      <c r="G75" s="104">
        <v>0</v>
      </c>
      <c r="H75" s="104">
        <v>0</v>
      </c>
      <c r="I75" s="104">
        <v>0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spans="2:27" outlineLevel="1" x14ac:dyDescent="0.65">
      <c r="B76" s="51" t="s">
        <v>83</v>
      </c>
      <c r="C76" s="56"/>
      <c r="D76" s="104">
        <v>50000</v>
      </c>
      <c r="E76" s="104">
        <v>0</v>
      </c>
      <c r="F76" s="104">
        <v>0</v>
      </c>
      <c r="G76" s="104">
        <v>0</v>
      </c>
      <c r="H76" s="104">
        <v>0</v>
      </c>
      <c r="I76" s="104">
        <v>0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spans="2:27" outlineLevel="1" x14ac:dyDescent="0.65">
      <c r="B77" s="51" t="s">
        <v>84</v>
      </c>
      <c r="C77" s="56"/>
      <c r="D77" s="104">
        <v>0</v>
      </c>
      <c r="E77" s="104">
        <v>0</v>
      </c>
      <c r="F77" s="104">
        <v>0</v>
      </c>
      <c r="G77" s="104">
        <v>0</v>
      </c>
      <c r="H77" s="104">
        <v>0</v>
      </c>
      <c r="I77" s="104">
        <v>0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spans="2:27" outlineLevel="1" x14ac:dyDescent="0.65">
      <c r="B78" s="56"/>
      <c r="C78" s="56"/>
      <c r="D78" s="66"/>
      <c r="E78" s="66"/>
      <c r="F78" s="66"/>
      <c r="G78" s="66"/>
      <c r="H78" s="66"/>
      <c r="I78" s="6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spans="2:27" outlineLevel="1" x14ac:dyDescent="0.65">
      <c r="B79" s="56" t="s">
        <v>85</v>
      </c>
      <c r="C79" s="56"/>
      <c r="D79" s="66"/>
      <c r="E79" s="66"/>
      <c r="F79" s="66"/>
      <c r="G79" s="66"/>
      <c r="H79" s="66"/>
      <c r="I79" s="6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spans="2:27" outlineLevel="1" x14ac:dyDescent="0.65">
      <c r="B80" s="51" t="s">
        <v>86</v>
      </c>
      <c r="C80" s="56"/>
      <c r="D80" s="110">
        <v>0.3</v>
      </c>
      <c r="E80" s="110">
        <v>0.3</v>
      </c>
      <c r="F80" s="110">
        <v>0.3</v>
      </c>
      <c r="G80" s="110">
        <v>0.3</v>
      </c>
      <c r="H80" s="110">
        <v>0.3</v>
      </c>
      <c r="I80" s="110">
        <v>0.3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spans="1:27" outlineLevel="1" x14ac:dyDescent="0.65">
      <c r="B81" s="51" t="s">
        <v>87</v>
      </c>
      <c r="C81" s="111">
        <v>0.1</v>
      </c>
      <c r="D81" s="66"/>
      <c r="E81" s="66"/>
      <c r="F81" s="66"/>
      <c r="G81" s="66"/>
      <c r="H81" s="66"/>
      <c r="I81" s="6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spans="1:27" outlineLevel="1" x14ac:dyDescent="0.65">
      <c r="B82" s="51" t="s">
        <v>88</v>
      </c>
      <c r="C82" s="112">
        <v>11</v>
      </c>
      <c r="D82" s="66"/>
      <c r="E82" s="66"/>
      <c r="F82" s="66"/>
      <c r="G82" s="66"/>
      <c r="H82" s="66"/>
      <c r="I82" s="6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spans="1:27" s="43" customFormat="1" ht="16.5" outlineLevel="1" x14ac:dyDescent="0.75">
      <c r="B83" s="49"/>
      <c r="C83" s="49"/>
      <c r="D83" s="69"/>
      <c r="E83" s="50"/>
      <c r="F83" s="50"/>
      <c r="G83" s="50"/>
      <c r="H83" s="50"/>
      <c r="I83" s="50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s="43" customFormat="1" ht="17.7" x14ac:dyDescent="0.75">
      <c r="A84" s="43" t="s">
        <v>178</v>
      </c>
      <c r="B84" s="44" t="s">
        <v>89</v>
      </c>
      <c r="C84" s="45"/>
      <c r="D84" s="45"/>
      <c r="E84" s="45"/>
      <c r="F84" s="45"/>
      <c r="G84" s="45" t="s">
        <v>5</v>
      </c>
      <c r="H84" s="45"/>
      <c r="I84" s="45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spans="1:27" s="43" customFormat="1" ht="14.4" customHeight="1" x14ac:dyDescent="0.75">
      <c r="B85" s="87"/>
      <c r="C85" s="88"/>
      <c r="D85" s="88"/>
      <c r="E85" s="88"/>
      <c r="F85" s="88"/>
      <c r="G85" s="88"/>
      <c r="H85" s="88"/>
      <c r="I85" s="88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spans="1:27" ht="14.7" outlineLevel="1" thickBot="1" x14ac:dyDescent="0.7">
      <c r="B86" s="94"/>
      <c r="C86" s="94"/>
      <c r="D86" s="96">
        <f t="shared" ref="D86:I86" si="18">D$5</f>
        <v>2017</v>
      </c>
      <c r="E86" s="96">
        <f t="shared" si="18"/>
        <v>2018</v>
      </c>
      <c r="F86" s="96">
        <f t="shared" si="18"/>
        <v>2019</v>
      </c>
      <c r="G86" s="96">
        <f t="shared" si="18"/>
        <v>2020</v>
      </c>
      <c r="H86" s="96">
        <f t="shared" si="18"/>
        <v>2021</v>
      </c>
      <c r="I86" s="96">
        <f t="shared" si="18"/>
        <v>2022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outlineLevel="1" x14ac:dyDescent="0.65">
      <c r="B87" s="95"/>
      <c r="C87" s="95"/>
      <c r="D87" s="95"/>
      <c r="E87" s="95"/>
      <c r="F87" s="95"/>
      <c r="G87" s="95"/>
      <c r="H87" s="95"/>
      <c r="I87" s="95"/>
    </row>
    <row r="88" spans="1:27" outlineLevel="1" x14ac:dyDescent="0.65">
      <c r="B88" s="51" t="s">
        <v>43</v>
      </c>
      <c r="D88" s="123">
        <f t="shared" ref="D88:I88" si="19">+D16</f>
        <v>182786.62441510818</v>
      </c>
      <c r="E88" s="123">
        <f t="shared" si="19"/>
        <v>322095.90061653254</v>
      </c>
      <c r="F88" s="123">
        <f t="shared" si="19"/>
        <v>504645.43404621881</v>
      </c>
      <c r="G88" s="123">
        <f t="shared" si="19"/>
        <v>723263.04834928084</v>
      </c>
      <c r="H88" s="123">
        <f t="shared" si="19"/>
        <v>971966.20194553025</v>
      </c>
      <c r="I88" s="123">
        <f t="shared" si="19"/>
        <v>1245764.6656510022</v>
      </c>
    </row>
    <row r="89" spans="1:27" outlineLevel="1" x14ac:dyDescent="0.65">
      <c r="B89" s="51" t="s">
        <v>44</v>
      </c>
      <c r="D89" s="123">
        <f t="shared" ref="D89:I89" si="20">+D17</f>
        <v>8571.8391217198914</v>
      </c>
      <c r="E89" s="123">
        <f t="shared" si="20"/>
        <v>13601.446069401243</v>
      </c>
      <c r="F89" s="123">
        <f t="shared" si="20"/>
        <v>19642.51408723088</v>
      </c>
      <c r="G89" s="123">
        <f t="shared" si="20"/>
        <v>26385.376642027179</v>
      </c>
      <c r="H89" s="123">
        <f t="shared" si="20"/>
        <v>33615.173975286118</v>
      </c>
      <c r="I89" s="123">
        <f t="shared" si="20"/>
        <v>41182.827284884377</v>
      </c>
    </row>
    <row r="90" spans="1:27" outlineLevel="1" x14ac:dyDescent="0.65">
      <c r="B90" s="59" t="s">
        <v>90</v>
      </c>
      <c r="C90" s="59"/>
      <c r="D90" s="61">
        <f t="shared" ref="D90:I90" si="21">+D89+D88</f>
        <v>191358.46353682806</v>
      </c>
      <c r="E90" s="61">
        <f t="shared" si="21"/>
        <v>335697.34668593376</v>
      </c>
      <c r="F90" s="61">
        <f t="shared" si="21"/>
        <v>524287.94813344971</v>
      </c>
      <c r="G90" s="61">
        <f t="shared" si="21"/>
        <v>749648.42499130801</v>
      </c>
      <c r="H90" s="61">
        <f t="shared" si="21"/>
        <v>1005581.3759208163</v>
      </c>
      <c r="I90" s="61">
        <f t="shared" si="21"/>
        <v>1286947.4929358866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spans="1:27" outlineLevel="1" x14ac:dyDescent="0.65">
      <c r="B91" s="72" t="s">
        <v>20</v>
      </c>
      <c r="C91" s="52"/>
      <c r="D91" s="52"/>
      <c r="E91" s="63">
        <f t="shared" ref="E91:I91" si="22">+E90/D90-1</f>
        <v>0.75428533696042588</v>
      </c>
      <c r="F91" s="63">
        <f t="shared" si="22"/>
        <v>0.56178758429078224</v>
      </c>
      <c r="G91" s="63">
        <f t="shared" si="22"/>
        <v>0.42984103994794887</v>
      </c>
      <c r="H91" s="63">
        <f t="shared" si="22"/>
        <v>0.34140397337922201</v>
      </c>
      <c r="I91" s="63">
        <f t="shared" si="22"/>
        <v>0.27980442334407973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 spans="1:27" outlineLevel="1" x14ac:dyDescent="0.65">
      <c r="B92" s="51" t="s">
        <v>45</v>
      </c>
      <c r="D92" s="53">
        <f t="shared" ref="D92:I92" si="23">+D21+D23</f>
        <v>34704.056915728128</v>
      </c>
      <c r="E92" s="53">
        <f t="shared" si="23"/>
        <v>59875.614251470935</v>
      </c>
      <c r="F92" s="53">
        <f t="shared" si="23"/>
        <v>92392.952081079071</v>
      </c>
      <c r="G92" s="53">
        <f t="shared" si="23"/>
        <v>130917.02739811523</v>
      </c>
      <c r="H92" s="53">
        <f t="shared" si="23"/>
        <v>174367.82817082276</v>
      </c>
      <c r="I92" s="53">
        <f t="shared" si="23"/>
        <v>221870.10303980205</v>
      </c>
    </row>
    <row r="93" spans="1:27" outlineLevel="1" x14ac:dyDescent="0.65">
      <c r="B93" s="59" t="s">
        <v>91</v>
      </c>
      <c r="C93" s="59"/>
      <c r="D93" s="61">
        <f t="shared" ref="D93:I93" si="24">+D90-D92</f>
        <v>156654.40662109992</v>
      </c>
      <c r="E93" s="61">
        <f t="shared" si="24"/>
        <v>275821.73243446281</v>
      </c>
      <c r="F93" s="61">
        <f t="shared" si="24"/>
        <v>431894.99605237064</v>
      </c>
      <c r="G93" s="61">
        <f t="shared" si="24"/>
        <v>618731.39759319276</v>
      </c>
      <c r="H93" s="61">
        <f t="shared" si="24"/>
        <v>831213.54774999362</v>
      </c>
      <c r="I93" s="61">
        <f t="shared" si="24"/>
        <v>1065077.3898960846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spans="1:27" outlineLevel="1" x14ac:dyDescent="0.65">
      <c r="B94" s="72" t="s">
        <v>92</v>
      </c>
      <c r="C94" s="52"/>
      <c r="D94" s="63">
        <f t="shared" ref="D94:I94" si="25">+D93/D90</f>
        <v>0.81864373138087443</v>
      </c>
      <c r="E94" s="63">
        <f t="shared" si="25"/>
        <v>0.82163810693598238</v>
      </c>
      <c r="F94" s="63">
        <f t="shared" si="25"/>
        <v>0.82377441173306964</v>
      </c>
      <c r="G94" s="63">
        <f t="shared" si="25"/>
        <v>0.82536209904044922</v>
      </c>
      <c r="H94" s="63">
        <f t="shared" si="25"/>
        <v>0.82659998251145694</v>
      </c>
      <c r="I94" s="63">
        <f t="shared" si="25"/>
        <v>0.82759972395326376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 spans="1:27" outlineLevel="1" x14ac:dyDescent="0.65">
      <c r="B95" s="51" t="s">
        <v>93</v>
      </c>
      <c r="D95" s="123">
        <f t="shared" ref="D95:I95" si="26">D37</f>
        <v>54139.331220755412</v>
      </c>
      <c r="E95" s="123">
        <f t="shared" si="26"/>
        <v>79470.558418478468</v>
      </c>
      <c r="F95" s="123">
        <f t="shared" si="26"/>
        <v>101340.97972033474</v>
      </c>
      <c r="G95" s="123">
        <f t="shared" si="26"/>
        <v>121113.4552238592</v>
      </c>
      <c r="H95" s="123">
        <f t="shared" si="26"/>
        <v>139683.28590660024</v>
      </c>
      <c r="I95" s="123">
        <f t="shared" si="26"/>
        <v>157629.70509216079</v>
      </c>
    </row>
    <row r="96" spans="1:27" outlineLevel="1" x14ac:dyDescent="0.65">
      <c r="B96" s="72" t="s">
        <v>94</v>
      </c>
      <c r="D96" s="63">
        <f t="shared" ref="D96:I96" si="27">+D95/D93</f>
        <v>0.34559724420457727</v>
      </c>
      <c r="E96" s="63">
        <f t="shared" si="27"/>
        <v>0.288122903576357</v>
      </c>
      <c r="F96" s="63">
        <f t="shared" si="27"/>
        <v>0.23464263454454645</v>
      </c>
      <c r="G96" s="63">
        <f t="shared" si="27"/>
        <v>0.19574480250231233</v>
      </c>
      <c r="H96" s="63">
        <f t="shared" si="27"/>
        <v>0.16804741246663749</v>
      </c>
      <c r="I96" s="63">
        <f t="shared" si="27"/>
        <v>0.14799835822966828</v>
      </c>
    </row>
    <row r="97" spans="2:27" outlineLevel="1" x14ac:dyDescent="0.65">
      <c r="B97" s="51" t="s">
        <v>95</v>
      </c>
      <c r="D97" s="123">
        <f t="shared" ref="D97:I97" si="28">+D45</f>
        <v>22600</v>
      </c>
      <c r="E97" s="123">
        <f t="shared" si="28"/>
        <v>30100</v>
      </c>
      <c r="F97" s="123">
        <f t="shared" si="28"/>
        <v>37600</v>
      </c>
      <c r="G97" s="123">
        <f t="shared" si="28"/>
        <v>45100</v>
      </c>
      <c r="H97" s="123">
        <f t="shared" si="28"/>
        <v>52600</v>
      </c>
      <c r="I97" s="123">
        <f t="shared" si="28"/>
        <v>60100</v>
      </c>
    </row>
    <row r="98" spans="2:27" outlineLevel="1" x14ac:dyDescent="0.65">
      <c r="B98" s="72" t="s">
        <v>94</v>
      </c>
      <c r="D98" s="63">
        <f t="shared" ref="D98:I98" si="29">+D97/D90</f>
        <v>0.11810295495840714</v>
      </c>
      <c r="E98" s="63">
        <f t="shared" si="29"/>
        <v>8.9664098620834395E-2</v>
      </c>
      <c r="F98" s="63">
        <f t="shared" si="29"/>
        <v>7.1716315688472546E-2</v>
      </c>
      <c r="G98" s="63">
        <f t="shared" si="29"/>
        <v>6.0161535056280448E-2</v>
      </c>
      <c r="H98" s="63">
        <f t="shared" si="29"/>
        <v>5.2308049114209075E-2</v>
      </c>
      <c r="I98" s="63">
        <f t="shared" si="29"/>
        <v>4.6699651951529988E-2</v>
      </c>
    </row>
    <row r="99" spans="2:27" outlineLevel="1" x14ac:dyDescent="0.65">
      <c r="B99" s="51" t="s">
        <v>96</v>
      </c>
      <c r="D99" s="123">
        <f t="shared" ref="D99:I99" si="30">+D53</f>
        <v>8100</v>
      </c>
      <c r="E99" s="123">
        <f t="shared" si="30"/>
        <v>9100</v>
      </c>
      <c r="F99" s="123">
        <f t="shared" si="30"/>
        <v>10100</v>
      </c>
      <c r="G99" s="123">
        <f t="shared" si="30"/>
        <v>11100</v>
      </c>
      <c r="H99" s="123">
        <f t="shared" si="30"/>
        <v>12100</v>
      </c>
      <c r="I99" s="123">
        <f t="shared" si="30"/>
        <v>13100</v>
      </c>
    </row>
    <row r="100" spans="2:27" outlineLevel="1" x14ac:dyDescent="0.65">
      <c r="B100" s="72" t="s">
        <v>94</v>
      </c>
      <c r="D100" s="63">
        <f t="shared" ref="D100:I100" si="31">+D99/D90</f>
        <v>4.2328935184207869E-2</v>
      </c>
      <c r="E100" s="63">
        <f t="shared" si="31"/>
        <v>2.7107750745833655E-2</v>
      </c>
      <c r="F100" s="63">
        <f t="shared" si="31"/>
        <v>1.9264223097169488E-2</v>
      </c>
      <c r="G100" s="63">
        <f t="shared" si="31"/>
        <v>1.480694100054796E-2</v>
      </c>
      <c r="H100" s="63">
        <f t="shared" si="31"/>
        <v>1.2032840195473951E-2</v>
      </c>
      <c r="I100" s="63">
        <f t="shared" si="31"/>
        <v>1.0179125466972427E-2</v>
      </c>
    </row>
    <row r="101" spans="2:27" outlineLevel="1" x14ac:dyDescent="0.65">
      <c r="B101" s="59" t="s">
        <v>97</v>
      </c>
      <c r="C101" s="59"/>
      <c r="D101" s="61">
        <f t="shared" ref="D101:I101" si="32">+D93-D95-D97-D99</f>
        <v>71815.075400344504</v>
      </c>
      <c r="E101" s="61">
        <f t="shared" si="32"/>
        <v>157151.17401598435</v>
      </c>
      <c r="F101" s="61">
        <f t="shared" si="32"/>
        <v>282854.01633203588</v>
      </c>
      <c r="G101" s="61">
        <f t="shared" si="32"/>
        <v>441417.94236933358</v>
      </c>
      <c r="H101" s="61">
        <f t="shared" si="32"/>
        <v>626830.26184339332</v>
      </c>
      <c r="I101" s="61">
        <f t="shared" si="32"/>
        <v>834247.68480392382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spans="2:27" outlineLevel="1" x14ac:dyDescent="0.65">
      <c r="B102" s="72" t="s">
        <v>92</v>
      </c>
      <c r="C102" s="52"/>
      <c r="D102" s="63">
        <f t="shared" ref="D102:I102" si="33">+D101/D90</f>
        <v>0.37529082368767697</v>
      </c>
      <c r="E102" s="63">
        <f t="shared" si="33"/>
        <v>0.46813350050993779</v>
      </c>
      <c r="F102" s="63">
        <f t="shared" si="33"/>
        <v>0.53950127470799614</v>
      </c>
      <c r="G102" s="63">
        <f t="shared" si="33"/>
        <v>0.58883328191405415</v>
      </c>
      <c r="H102" s="63">
        <f t="shared" si="33"/>
        <v>0.62335110499575574</v>
      </c>
      <c r="I102" s="63">
        <f t="shared" si="33"/>
        <v>0.6482375461183516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 spans="2:27" outlineLevel="1" x14ac:dyDescent="0.65">
      <c r="D103" s="74"/>
      <c r="E103" s="74"/>
      <c r="F103" s="74"/>
      <c r="G103" s="74"/>
      <c r="H103" s="74"/>
      <c r="I103" s="74"/>
    </row>
    <row r="104" spans="2:27" outlineLevel="1" x14ac:dyDescent="0.65">
      <c r="B104" s="53" t="s">
        <v>98</v>
      </c>
      <c r="C104" s="53"/>
      <c r="D104" s="53">
        <f t="shared" ref="D104:I104" si="34">+-D179-D194</f>
        <v>800</v>
      </c>
      <c r="E104" s="53">
        <f t="shared" si="34"/>
        <v>1600</v>
      </c>
      <c r="F104" s="53">
        <f t="shared" si="34"/>
        <v>2400</v>
      </c>
      <c r="G104" s="53">
        <f t="shared" si="34"/>
        <v>3200</v>
      </c>
      <c r="H104" s="53">
        <f t="shared" si="34"/>
        <v>4000</v>
      </c>
      <c r="I104" s="53">
        <f t="shared" si="34"/>
        <v>4000</v>
      </c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2:27" outlineLevel="1" x14ac:dyDescent="0.65">
      <c r="B105" s="51" t="s">
        <v>99</v>
      </c>
      <c r="D105" s="123">
        <f t="shared" ref="D105:I105" si="35">D211</f>
        <v>150</v>
      </c>
      <c r="E105" s="123">
        <f t="shared" si="35"/>
        <v>150</v>
      </c>
      <c r="F105" s="123">
        <f t="shared" si="35"/>
        <v>150</v>
      </c>
      <c r="G105" s="123">
        <f t="shared" si="35"/>
        <v>150</v>
      </c>
      <c r="H105" s="123">
        <f t="shared" si="35"/>
        <v>150</v>
      </c>
      <c r="I105" s="123">
        <f t="shared" si="35"/>
        <v>150</v>
      </c>
    </row>
    <row r="106" spans="2:27" outlineLevel="1" x14ac:dyDescent="0.65">
      <c r="B106" s="59" t="s">
        <v>100</v>
      </c>
      <c r="C106" s="59"/>
      <c r="D106" s="61">
        <f t="shared" ref="D106:I106" si="36">+D101-D104-D105</f>
        <v>70865.075400344504</v>
      </c>
      <c r="E106" s="61">
        <f t="shared" si="36"/>
        <v>155401.17401598435</v>
      </c>
      <c r="F106" s="61">
        <f t="shared" si="36"/>
        <v>280304.01633203588</v>
      </c>
      <c r="G106" s="61">
        <f t="shared" si="36"/>
        <v>438067.94236933358</v>
      </c>
      <c r="H106" s="61">
        <f t="shared" si="36"/>
        <v>622680.26184339332</v>
      </c>
      <c r="I106" s="61">
        <f t="shared" si="36"/>
        <v>830097.68480392382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spans="2:27" outlineLevel="1" x14ac:dyDescent="0.65"/>
    <row r="108" spans="2:27" outlineLevel="1" x14ac:dyDescent="0.65">
      <c r="B108" s="51" t="s">
        <v>101</v>
      </c>
      <c r="D108" s="53">
        <f t="shared" ref="D108:I108" si="37">+D106*D80</f>
        <v>21259.522620103351</v>
      </c>
      <c r="E108" s="53">
        <f t="shared" si="37"/>
        <v>46620.352204795301</v>
      </c>
      <c r="F108" s="53">
        <f t="shared" si="37"/>
        <v>84091.204899610762</v>
      </c>
      <c r="G108" s="53">
        <f t="shared" si="37"/>
        <v>131420.38271080007</v>
      </c>
      <c r="H108" s="53">
        <f t="shared" si="37"/>
        <v>186804.07855301799</v>
      </c>
      <c r="I108" s="53">
        <f t="shared" si="37"/>
        <v>249029.30544117713</v>
      </c>
    </row>
    <row r="109" spans="2:27" outlineLevel="1" x14ac:dyDescent="0.65">
      <c r="B109" s="59" t="s">
        <v>102</v>
      </c>
      <c r="C109" s="59"/>
      <c r="D109" s="61">
        <f t="shared" ref="D109:I109" si="38">+D106-D108</f>
        <v>49605.552780241153</v>
      </c>
      <c r="E109" s="61">
        <f t="shared" si="38"/>
        <v>108780.82181118905</v>
      </c>
      <c r="F109" s="61">
        <f t="shared" si="38"/>
        <v>196212.81143242511</v>
      </c>
      <c r="G109" s="61">
        <f t="shared" si="38"/>
        <v>306647.55965853354</v>
      </c>
      <c r="H109" s="61">
        <f t="shared" si="38"/>
        <v>435876.18329037534</v>
      </c>
      <c r="I109" s="61">
        <f t="shared" si="38"/>
        <v>581068.37936274672</v>
      </c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spans="2:27" outlineLevel="1" x14ac:dyDescent="0.65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spans="2:27" outlineLevel="1" x14ac:dyDescent="0.65">
      <c r="B111" s="56" t="s">
        <v>103</v>
      </c>
      <c r="C111" s="56"/>
      <c r="D111" s="75">
        <f t="shared" ref="D111:I111" si="39">+D77</f>
        <v>0</v>
      </c>
      <c r="E111" s="75">
        <f t="shared" si="39"/>
        <v>0</v>
      </c>
      <c r="F111" s="75">
        <f t="shared" si="39"/>
        <v>0</v>
      </c>
      <c r="G111" s="75">
        <f t="shared" si="39"/>
        <v>0</v>
      </c>
      <c r="H111" s="75">
        <f t="shared" si="39"/>
        <v>0</v>
      </c>
      <c r="I111" s="75">
        <f t="shared" si="39"/>
        <v>0</v>
      </c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spans="2:27" s="43" customFormat="1" ht="16.5" outlineLevel="1" x14ac:dyDescent="0.75"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spans="1:27" s="43" customFormat="1" ht="17.7" x14ac:dyDescent="0.75">
      <c r="A113" s="43" t="s">
        <v>178</v>
      </c>
      <c r="B113" s="44" t="s">
        <v>104</v>
      </c>
      <c r="C113" s="45"/>
      <c r="D113" s="45"/>
      <c r="E113" s="45"/>
      <c r="F113" s="45"/>
      <c r="G113" s="45" t="s">
        <v>5</v>
      </c>
      <c r="H113" s="45"/>
      <c r="I113" s="4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spans="1:27" s="43" customFormat="1" ht="14.4" customHeight="1" x14ac:dyDescent="0.75">
      <c r="B114" s="87"/>
      <c r="C114" s="88"/>
      <c r="D114" s="88"/>
      <c r="E114" s="88"/>
      <c r="F114" s="88"/>
      <c r="G114" s="88"/>
      <c r="H114" s="88"/>
      <c r="I114" s="88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spans="1:27" s="43" customFormat="1" ht="14.4" customHeight="1" outlineLevel="1" thickBot="1" x14ac:dyDescent="0.8">
      <c r="B115" s="87"/>
      <c r="C115" s="88"/>
      <c r="D115" s="98">
        <f>D$86</f>
        <v>2017</v>
      </c>
      <c r="E115" s="98">
        <f t="shared" ref="E115:I115" si="40">E$86</f>
        <v>2018</v>
      </c>
      <c r="F115" s="98">
        <f t="shared" si="40"/>
        <v>2019</v>
      </c>
      <c r="G115" s="98">
        <f t="shared" si="40"/>
        <v>2020</v>
      </c>
      <c r="H115" s="98">
        <f t="shared" si="40"/>
        <v>2021</v>
      </c>
      <c r="I115" s="98">
        <f t="shared" si="40"/>
        <v>2022</v>
      </c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spans="1:27" outlineLevel="1" x14ac:dyDescent="0.65">
      <c r="B116" s="56" t="s">
        <v>105</v>
      </c>
      <c r="C116" s="76"/>
      <c r="D116" s="97"/>
      <c r="E116" s="97"/>
      <c r="F116" s="97"/>
      <c r="G116" s="97"/>
      <c r="H116" s="97"/>
      <c r="I116" s="9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</row>
    <row r="117" spans="1:27" outlineLevel="1" x14ac:dyDescent="0.65">
      <c r="B117" s="56" t="s">
        <v>106</v>
      </c>
    </row>
    <row r="118" spans="1:27" outlineLevel="1" x14ac:dyDescent="0.65">
      <c r="B118" s="51" t="s">
        <v>107</v>
      </c>
      <c r="D118" s="123">
        <f t="shared" ref="D118:I118" si="41">D171</f>
        <v>17566.467438127191</v>
      </c>
      <c r="E118" s="123">
        <f t="shared" si="41"/>
        <v>-7981.890260960412</v>
      </c>
      <c r="F118" s="123">
        <f t="shared" si="41"/>
        <v>-19485.490470661491</v>
      </c>
      <c r="G118" s="123">
        <f t="shared" si="41"/>
        <v>148145.71491775342</v>
      </c>
      <c r="H118" s="123">
        <f t="shared" si="41"/>
        <v>417079.92728943913</v>
      </c>
      <c r="I118" s="123">
        <f t="shared" si="41"/>
        <v>801146.96153094934</v>
      </c>
    </row>
    <row r="119" spans="1:27" outlineLevel="1" x14ac:dyDescent="0.65">
      <c r="B119" s="51" t="s">
        <v>108</v>
      </c>
      <c r="D119" s="53">
        <f t="shared" ref="D119:I119" si="42">+D59*D12/$C$57</f>
        <v>18810.226741033959</v>
      </c>
      <c r="E119" s="53">
        <f t="shared" si="42"/>
        <v>28307.027597597415</v>
      </c>
      <c r="F119" s="53">
        <f t="shared" si="42"/>
        <v>43550.44694226134</v>
      </c>
      <c r="G119" s="53">
        <f t="shared" si="42"/>
        <v>84179.019038058148</v>
      </c>
      <c r="H119" s="53">
        <f t="shared" si="42"/>
        <v>110812.82966818595</v>
      </c>
      <c r="I119" s="53">
        <f t="shared" si="42"/>
        <v>142829.11569265698</v>
      </c>
    </row>
    <row r="120" spans="1:27" outlineLevel="1" x14ac:dyDescent="0.65">
      <c r="B120" s="51" t="s">
        <v>109</v>
      </c>
      <c r="D120" s="53">
        <f t="shared" ref="D120:I120" si="43">++SUM($D$34:D34)-SUM($D$35:D35)</f>
        <v>-1510.7392646694152</v>
      </c>
      <c r="E120" s="53">
        <f t="shared" si="43"/>
        <v>-6135.4619920259793</v>
      </c>
      <c r="F120" s="53">
        <f t="shared" si="43"/>
        <v>-13705.607989975382</v>
      </c>
      <c r="G120" s="53">
        <f t="shared" si="43"/>
        <v>-15729.491575338063</v>
      </c>
      <c r="H120" s="53">
        <f t="shared" si="43"/>
        <v>-19387.042973850272</v>
      </c>
      <c r="I120" s="53">
        <f t="shared" si="43"/>
        <v>-23750.134892156173</v>
      </c>
    </row>
    <row r="121" spans="1:27" outlineLevel="1" x14ac:dyDescent="0.65">
      <c r="B121" s="51" t="s">
        <v>110</v>
      </c>
      <c r="D121" s="53">
        <f t="shared" ref="D121:I121" si="44">+D60*D90</f>
        <v>28703.769530524209</v>
      </c>
      <c r="E121" s="53">
        <f t="shared" si="44"/>
        <v>50354.60200289006</v>
      </c>
      <c r="F121" s="53">
        <f t="shared" si="44"/>
        <v>78643.192220017459</v>
      </c>
      <c r="G121" s="53">
        <f t="shared" si="44"/>
        <v>112447.2637486962</v>
      </c>
      <c r="H121" s="53">
        <f t="shared" si="44"/>
        <v>150837.20638812243</v>
      </c>
      <c r="I121" s="53">
        <f t="shared" si="44"/>
        <v>193042.123940383</v>
      </c>
    </row>
    <row r="122" spans="1:27" outlineLevel="1" x14ac:dyDescent="0.65">
      <c r="B122" s="59" t="s">
        <v>111</v>
      </c>
      <c r="C122" s="59"/>
      <c r="D122" s="61">
        <f t="shared" ref="D122:I122" si="45">SUM(D118:D121)</f>
        <v>63569.724445015941</v>
      </c>
      <c r="E122" s="61">
        <f t="shared" si="45"/>
        <v>64544.277347501084</v>
      </c>
      <c r="F122" s="61">
        <f t="shared" si="45"/>
        <v>89002.540701641934</v>
      </c>
      <c r="G122" s="61">
        <f t="shared" si="45"/>
        <v>329042.50612916972</v>
      </c>
      <c r="H122" s="61">
        <f t="shared" si="45"/>
        <v>659342.92037189717</v>
      </c>
      <c r="I122" s="61">
        <f t="shared" si="45"/>
        <v>1113268.0662718331</v>
      </c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spans="1:27" outlineLevel="1" x14ac:dyDescent="0.65">
      <c r="B123" s="51" t="s">
        <v>75</v>
      </c>
      <c r="D123" s="123">
        <f t="shared" ref="D123:I123" si="46">+D180</f>
        <v>1600</v>
      </c>
      <c r="E123" s="123">
        <f t="shared" si="46"/>
        <v>2800</v>
      </c>
      <c r="F123" s="123">
        <f t="shared" si="46"/>
        <v>3600</v>
      </c>
      <c r="G123" s="123">
        <f t="shared" si="46"/>
        <v>4000</v>
      </c>
      <c r="H123" s="123">
        <f t="shared" si="46"/>
        <v>4000</v>
      </c>
      <c r="I123" s="123">
        <f t="shared" si="46"/>
        <v>4000</v>
      </c>
    </row>
    <row r="124" spans="1:27" outlineLevel="1" x14ac:dyDescent="0.65">
      <c r="B124" s="51" t="s">
        <v>112</v>
      </c>
      <c r="D124" s="123">
        <f t="shared" ref="D124:I124" si="47">+D195</f>
        <v>1600</v>
      </c>
      <c r="E124" s="123">
        <f t="shared" si="47"/>
        <v>2800</v>
      </c>
      <c r="F124" s="123">
        <f t="shared" si="47"/>
        <v>3600</v>
      </c>
      <c r="G124" s="123">
        <f t="shared" si="47"/>
        <v>4000</v>
      </c>
      <c r="H124" s="123">
        <f t="shared" si="47"/>
        <v>4000</v>
      </c>
      <c r="I124" s="123">
        <f t="shared" si="47"/>
        <v>4000</v>
      </c>
    </row>
    <row r="125" spans="1:27" outlineLevel="1" x14ac:dyDescent="0.65">
      <c r="B125" s="59" t="s">
        <v>113</v>
      </c>
      <c r="C125" s="59"/>
      <c r="D125" s="61">
        <f t="shared" ref="D125:I125" si="48">SUM(D122:D124)</f>
        <v>66769.724445015949</v>
      </c>
      <c r="E125" s="61">
        <f t="shared" si="48"/>
        <v>70144.277347501076</v>
      </c>
      <c r="F125" s="61">
        <f t="shared" si="48"/>
        <v>96202.540701641934</v>
      </c>
      <c r="G125" s="61">
        <f t="shared" si="48"/>
        <v>337042.50612916972</v>
      </c>
      <c r="H125" s="61">
        <f t="shared" si="48"/>
        <v>667342.92037189717</v>
      </c>
      <c r="I125" s="61">
        <f t="shared" si="48"/>
        <v>1121268.0662718331</v>
      </c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spans="1:27" outlineLevel="1" x14ac:dyDescent="0.65"/>
    <row r="127" spans="1:27" outlineLevel="1" x14ac:dyDescent="0.65">
      <c r="B127" s="56" t="s">
        <v>114</v>
      </c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spans="1:27" outlineLevel="1" x14ac:dyDescent="0.65">
      <c r="B128" s="56" t="s">
        <v>72</v>
      </c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spans="1:27" outlineLevel="1" x14ac:dyDescent="0.65">
      <c r="B129" s="56" t="s">
        <v>106</v>
      </c>
      <c r="C129" s="56"/>
      <c r="D129" s="66"/>
      <c r="E129" s="66"/>
      <c r="F129" s="66"/>
      <c r="G129" s="66"/>
      <c r="H129" s="66"/>
      <c r="I129" s="6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spans="1:27" outlineLevel="1" x14ac:dyDescent="0.65">
      <c r="B130" s="51" t="s">
        <v>115</v>
      </c>
      <c r="D130" s="53">
        <f t="shared" ref="D130:I130" si="49">+D63*D92/$C$57</f>
        <v>950.79607988296254</v>
      </c>
      <c r="E130" s="53">
        <f t="shared" si="49"/>
        <v>1640.4277877115326</v>
      </c>
      <c r="F130" s="53">
        <f t="shared" si="49"/>
        <v>2531.3137556460019</v>
      </c>
      <c r="G130" s="53">
        <f t="shared" si="49"/>
        <v>3586.7678739209655</v>
      </c>
      <c r="H130" s="53">
        <f t="shared" si="49"/>
        <v>4777.2007718033628</v>
      </c>
      <c r="I130" s="53">
        <f t="shared" si="49"/>
        <v>6078.6329599945766</v>
      </c>
    </row>
    <row r="131" spans="1:27" outlineLevel="1" x14ac:dyDescent="0.65">
      <c r="B131" s="51" t="s">
        <v>116</v>
      </c>
      <c r="D131" s="53">
        <f t="shared" ref="D131:I131" si="50">+SUM($D$12:D12)-SUM($D$90:D90)</f>
        <v>-38786.624415108177</v>
      </c>
      <c r="E131" s="53">
        <f t="shared" si="50"/>
        <v>-144882.52503164066</v>
      </c>
      <c r="F131" s="53">
        <f t="shared" si="50"/>
        <v>-315927.95907785941</v>
      </c>
      <c r="G131" s="53">
        <f t="shared" si="50"/>
        <v>-382791.00742714014</v>
      </c>
      <c r="H131" s="53">
        <f t="shared" si="50"/>
        <v>-489557.20937267039</v>
      </c>
      <c r="I131" s="53">
        <f t="shared" si="50"/>
        <v>-618001.87502367236</v>
      </c>
    </row>
    <row r="132" spans="1:27" outlineLevel="1" x14ac:dyDescent="0.65">
      <c r="B132" s="59" t="s">
        <v>117</v>
      </c>
      <c r="C132" s="59"/>
      <c r="D132" s="61">
        <f t="shared" ref="D132:I132" si="51">SUM(D130:D131)</f>
        <v>-37835.828335225218</v>
      </c>
      <c r="E132" s="61">
        <f t="shared" si="51"/>
        <v>-143242.09724392914</v>
      </c>
      <c r="F132" s="61">
        <f t="shared" si="51"/>
        <v>-313396.64532221342</v>
      </c>
      <c r="G132" s="61">
        <f t="shared" si="51"/>
        <v>-379204.23955321917</v>
      </c>
      <c r="H132" s="61">
        <f t="shared" si="51"/>
        <v>-484780.008600867</v>
      </c>
      <c r="I132" s="61">
        <f t="shared" si="51"/>
        <v>-611923.24206367775</v>
      </c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spans="1:27" outlineLevel="1" x14ac:dyDescent="0.65">
      <c r="B133" s="51" t="s">
        <v>118</v>
      </c>
      <c r="D133" s="123">
        <f t="shared" ref="D133:I133" si="52">+D209</f>
        <v>5000</v>
      </c>
      <c r="E133" s="123">
        <f t="shared" si="52"/>
        <v>5000</v>
      </c>
      <c r="F133" s="123">
        <f t="shared" si="52"/>
        <v>5000</v>
      </c>
      <c r="G133" s="123">
        <f t="shared" si="52"/>
        <v>5000</v>
      </c>
      <c r="H133" s="123">
        <f t="shared" si="52"/>
        <v>5000</v>
      </c>
      <c r="I133" s="123">
        <f t="shared" si="52"/>
        <v>5000</v>
      </c>
    </row>
    <row r="134" spans="1:27" outlineLevel="1" x14ac:dyDescent="0.65">
      <c r="B134" s="59" t="s">
        <v>119</v>
      </c>
      <c r="C134" s="59"/>
      <c r="D134" s="61">
        <f t="shared" ref="D134:I134" si="53">+D132+D133</f>
        <v>-32835.828335225218</v>
      </c>
      <c r="E134" s="61">
        <f t="shared" si="53"/>
        <v>-138242.09724392914</v>
      </c>
      <c r="F134" s="61">
        <f t="shared" si="53"/>
        <v>-308396.64532221342</v>
      </c>
      <c r="G134" s="61">
        <f t="shared" si="53"/>
        <v>-374204.23955321917</v>
      </c>
      <c r="H134" s="61">
        <f t="shared" si="53"/>
        <v>-479780.008600867</v>
      </c>
      <c r="I134" s="61">
        <f t="shared" si="53"/>
        <v>-606923.24206367775</v>
      </c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spans="1:27" outlineLevel="1" x14ac:dyDescent="0.65">
      <c r="B135" s="56" t="s">
        <v>120</v>
      </c>
    </row>
    <row r="136" spans="1:27" outlineLevel="1" x14ac:dyDescent="0.65">
      <c r="B136" s="51" t="s">
        <v>121</v>
      </c>
      <c r="D136" s="123">
        <f>+D76</f>
        <v>50000</v>
      </c>
      <c r="E136" s="123">
        <f t="shared" ref="E136:I136" si="54">+D136+E76</f>
        <v>50000</v>
      </c>
      <c r="F136" s="123">
        <f t="shared" si="54"/>
        <v>50000</v>
      </c>
      <c r="G136" s="123">
        <f t="shared" si="54"/>
        <v>50000</v>
      </c>
      <c r="H136" s="123">
        <f t="shared" si="54"/>
        <v>50000</v>
      </c>
      <c r="I136" s="123">
        <f t="shared" si="54"/>
        <v>50000</v>
      </c>
    </row>
    <row r="137" spans="1:27" outlineLevel="1" x14ac:dyDescent="0.65">
      <c r="B137" s="51" t="s">
        <v>122</v>
      </c>
      <c r="D137" s="53">
        <f>+D109-D111</f>
        <v>49605.552780241153</v>
      </c>
      <c r="E137" s="53">
        <f t="shared" ref="E137:I137" si="55">+D137+E109-E111</f>
        <v>158386.37459143018</v>
      </c>
      <c r="F137" s="53">
        <f t="shared" si="55"/>
        <v>354599.18602385529</v>
      </c>
      <c r="G137" s="53">
        <f t="shared" si="55"/>
        <v>661246.74568238878</v>
      </c>
      <c r="H137" s="53">
        <f t="shared" si="55"/>
        <v>1097122.9289727642</v>
      </c>
      <c r="I137" s="53">
        <f t="shared" si="55"/>
        <v>1678191.308335511</v>
      </c>
    </row>
    <row r="138" spans="1:27" outlineLevel="1" x14ac:dyDescent="0.65">
      <c r="B138" s="59" t="s">
        <v>123</v>
      </c>
      <c r="C138" s="59"/>
      <c r="D138" s="61">
        <f t="shared" ref="D138:I138" si="56">SUM(D136:D137)</f>
        <v>99605.552780241153</v>
      </c>
      <c r="E138" s="61">
        <f t="shared" si="56"/>
        <v>208386.37459143018</v>
      </c>
      <c r="F138" s="61">
        <f t="shared" si="56"/>
        <v>404599.18602385529</v>
      </c>
      <c r="G138" s="61">
        <f t="shared" si="56"/>
        <v>711246.74568238878</v>
      </c>
      <c r="H138" s="61">
        <f t="shared" si="56"/>
        <v>1147122.9289727642</v>
      </c>
      <c r="I138" s="61">
        <f t="shared" si="56"/>
        <v>1728191.308335511</v>
      </c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spans="1:27" outlineLevel="1" x14ac:dyDescent="0.65">
      <c r="B139" s="59" t="s">
        <v>124</v>
      </c>
      <c r="C139" s="59"/>
      <c r="D139" s="61">
        <f t="shared" ref="D139:I139" si="57">+D134+D138</f>
        <v>66769.724445015934</v>
      </c>
      <c r="E139" s="61">
        <f t="shared" si="57"/>
        <v>70144.277347501047</v>
      </c>
      <c r="F139" s="61">
        <f t="shared" si="57"/>
        <v>96202.540701641876</v>
      </c>
      <c r="G139" s="61">
        <f t="shared" si="57"/>
        <v>337042.5061291696</v>
      </c>
      <c r="H139" s="61">
        <f t="shared" si="57"/>
        <v>667342.92037189717</v>
      </c>
      <c r="I139" s="61">
        <f t="shared" si="57"/>
        <v>1121268.0662718331</v>
      </c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spans="1:27" outlineLevel="1" x14ac:dyDescent="0.65">
      <c r="B140" s="56"/>
      <c r="C140" s="56"/>
      <c r="D140" s="66"/>
      <c r="E140" s="66"/>
      <c r="F140" s="66"/>
      <c r="G140" s="66"/>
      <c r="H140" s="66"/>
      <c r="I140" s="6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spans="1:27" outlineLevel="1" x14ac:dyDescent="0.65">
      <c r="B141" s="52" t="s">
        <v>125</v>
      </c>
      <c r="D141" s="58">
        <f t="shared" ref="D141:I141" si="58">+D125-D139</f>
        <v>0</v>
      </c>
      <c r="E141" s="58">
        <f t="shared" si="58"/>
        <v>0</v>
      </c>
      <c r="F141" s="58">
        <f t="shared" si="58"/>
        <v>0</v>
      </c>
      <c r="G141" s="58">
        <f t="shared" si="58"/>
        <v>0</v>
      </c>
      <c r="H141" s="58">
        <f t="shared" si="58"/>
        <v>0</v>
      </c>
      <c r="I141" s="58">
        <f t="shared" si="58"/>
        <v>0</v>
      </c>
    </row>
    <row r="142" spans="1:27" s="43" customFormat="1" ht="16.5" outlineLevel="1" x14ac:dyDescent="0.75">
      <c r="B142" s="48"/>
      <c r="C142" s="48"/>
      <c r="D142" s="47"/>
      <c r="E142" s="47"/>
      <c r="F142" s="47"/>
      <c r="G142" s="47"/>
      <c r="H142" s="47"/>
      <c r="I142" s="47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spans="1:27" s="43" customFormat="1" ht="17.7" x14ac:dyDescent="0.75">
      <c r="A143" s="43" t="s">
        <v>178</v>
      </c>
      <c r="B143" s="44" t="s">
        <v>126</v>
      </c>
      <c r="C143" s="45"/>
      <c r="D143" s="45"/>
      <c r="E143" s="45"/>
      <c r="F143" s="45"/>
      <c r="G143" s="45" t="s">
        <v>5</v>
      </c>
      <c r="H143" s="45"/>
      <c r="I143" s="45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spans="1:27" s="43" customFormat="1" ht="14.4" customHeight="1" x14ac:dyDescent="0.75">
      <c r="B144" s="88"/>
      <c r="C144" s="88"/>
      <c r="D144" s="88"/>
      <c r="E144" s="88"/>
      <c r="F144" s="88"/>
      <c r="G144" s="88"/>
      <c r="H144" s="88"/>
      <c r="I144" s="88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spans="2:27" s="43" customFormat="1" ht="14.4" customHeight="1" outlineLevel="1" thickBot="1" x14ac:dyDescent="0.8">
      <c r="B145" s="88"/>
      <c r="C145" s="88"/>
      <c r="D145" s="98">
        <f>D$86</f>
        <v>2017</v>
      </c>
      <c r="E145" s="98">
        <f t="shared" ref="E145:I145" si="59">E$86</f>
        <v>2018</v>
      </c>
      <c r="F145" s="98">
        <f t="shared" si="59"/>
        <v>2019</v>
      </c>
      <c r="G145" s="98">
        <f t="shared" si="59"/>
        <v>2020</v>
      </c>
      <c r="H145" s="98">
        <f t="shared" si="59"/>
        <v>2021</v>
      </c>
      <c r="I145" s="98">
        <f t="shared" si="59"/>
        <v>2022</v>
      </c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spans="2:27" outlineLevel="1" x14ac:dyDescent="0.65">
      <c r="B146" s="66" t="s">
        <v>127</v>
      </c>
      <c r="C146" s="76"/>
      <c r="D146" s="76"/>
      <c r="E146" s="76"/>
      <c r="F146" s="76"/>
      <c r="G146" s="76"/>
      <c r="H146" s="76"/>
      <c r="I146" s="76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</row>
    <row r="147" spans="2:27" outlineLevel="1" x14ac:dyDescent="0.65">
      <c r="B147" s="53" t="s">
        <v>102</v>
      </c>
      <c r="C147" s="76"/>
      <c r="D147" s="123">
        <f t="shared" ref="D147:I147" si="60">D109</f>
        <v>49605.552780241153</v>
      </c>
      <c r="E147" s="123">
        <f t="shared" si="60"/>
        <v>108780.82181118905</v>
      </c>
      <c r="F147" s="123">
        <f t="shared" si="60"/>
        <v>196212.81143242511</v>
      </c>
      <c r="G147" s="123">
        <f t="shared" si="60"/>
        <v>306647.55965853354</v>
      </c>
      <c r="H147" s="123">
        <f t="shared" si="60"/>
        <v>435876.18329037534</v>
      </c>
      <c r="I147" s="123">
        <f t="shared" si="60"/>
        <v>581068.37936274672</v>
      </c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</row>
    <row r="148" spans="2:27" outlineLevel="1" x14ac:dyDescent="0.65">
      <c r="B148" s="53" t="s">
        <v>77</v>
      </c>
      <c r="C148" s="76"/>
      <c r="D148" s="123">
        <f t="shared" ref="D148:I148" si="61">+D104</f>
        <v>800</v>
      </c>
      <c r="E148" s="123">
        <f t="shared" si="61"/>
        <v>1600</v>
      </c>
      <c r="F148" s="123">
        <f t="shared" si="61"/>
        <v>2400</v>
      </c>
      <c r="G148" s="123">
        <f t="shared" si="61"/>
        <v>3200</v>
      </c>
      <c r="H148" s="123">
        <f t="shared" si="61"/>
        <v>4000</v>
      </c>
      <c r="I148" s="123">
        <f t="shared" si="61"/>
        <v>4000</v>
      </c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</row>
    <row r="149" spans="2:27" outlineLevel="1" x14ac:dyDescent="0.65">
      <c r="B149" s="53" t="s">
        <v>128</v>
      </c>
      <c r="C149" s="76"/>
      <c r="D149" s="53"/>
      <c r="E149" s="53"/>
      <c r="F149" s="53"/>
      <c r="G149" s="53"/>
      <c r="H149" s="53"/>
      <c r="I149" s="53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</row>
    <row r="150" spans="2:27" outlineLevel="1" x14ac:dyDescent="0.65">
      <c r="B150" s="78" t="s">
        <v>108</v>
      </c>
      <c r="C150" s="76"/>
      <c r="D150" s="58">
        <f>+-(D119-0)</f>
        <v>-18810.226741033959</v>
      </c>
      <c r="E150" s="58">
        <f t="shared" ref="E150:I150" si="62">+-(E119-D119)</f>
        <v>-9496.8008565634555</v>
      </c>
      <c r="F150" s="58">
        <f t="shared" si="62"/>
        <v>-15243.419344663926</v>
      </c>
      <c r="G150" s="58">
        <f t="shared" si="62"/>
        <v>-40628.572095796808</v>
      </c>
      <c r="H150" s="58">
        <f t="shared" si="62"/>
        <v>-26633.810630127802</v>
      </c>
      <c r="I150" s="58">
        <f t="shared" si="62"/>
        <v>-32016.286024471032</v>
      </c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</row>
    <row r="151" spans="2:27" outlineLevel="1" x14ac:dyDescent="0.65">
      <c r="B151" s="78" t="s">
        <v>129</v>
      </c>
      <c r="C151" s="76"/>
      <c r="D151" s="58">
        <f>+-D120-0</f>
        <v>1510.7392646694152</v>
      </c>
      <c r="E151" s="58">
        <f t="shared" ref="E151:I151" si="63">+-(E120-D120)</f>
        <v>4624.7227273565641</v>
      </c>
      <c r="F151" s="58">
        <f t="shared" si="63"/>
        <v>7570.145997949403</v>
      </c>
      <c r="G151" s="58">
        <f t="shared" si="63"/>
        <v>2023.8835853626806</v>
      </c>
      <c r="H151" s="58">
        <f t="shared" si="63"/>
        <v>3657.5513985122088</v>
      </c>
      <c r="I151" s="58">
        <f t="shared" si="63"/>
        <v>4363.0919183059013</v>
      </c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</row>
    <row r="152" spans="2:27" outlineLevel="1" x14ac:dyDescent="0.65">
      <c r="B152" s="78" t="s">
        <v>130</v>
      </c>
      <c r="C152" s="76"/>
      <c r="D152" s="58">
        <f>+-D121-0</f>
        <v>-28703.769530524209</v>
      </c>
      <c r="E152" s="58">
        <f t="shared" ref="E152:I152" si="64">+-(E121-D121)</f>
        <v>-21650.832472365852</v>
      </c>
      <c r="F152" s="58">
        <f t="shared" si="64"/>
        <v>-28288.590217127399</v>
      </c>
      <c r="G152" s="58">
        <f t="shared" si="64"/>
        <v>-33804.071528678745</v>
      </c>
      <c r="H152" s="58">
        <f t="shared" si="64"/>
        <v>-38389.942639426226</v>
      </c>
      <c r="I152" s="58">
        <f t="shared" si="64"/>
        <v>-42204.917552260566</v>
      </c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</row>
    <row r="153" spans="2:27" outlineLevel="1" x14ac:dyDescent="0.65">
      <c r="B153" s="78" t="s">
        <v>115</v>
      </c>
      <c r="C153" s="76"/>
      <c r="D153" s="58">
        <f>+D130-0</f>
        <v>950.79607988296254</v>
      </c>
      <c r="E153" s="58">
        <f t="shared" ref="E153:I153" si="65">+E130-D130</f>
        <v>689.63170782857003</v>
      </c>
      <c r="F153" s="58">
        <f t="shared" si="65"/>
        <v>890.88596793446936</v>
      </c>
      <c r="G153" s="58">
        <f t="shared" si="65"/>
        <v>1055.4541182749635</v>
      </c>
      <c r="H153" s="58">
        <f t="shared" si="65"/>
        <v>1190.4328978823974</v>
      </c>
      <c r="I153" s="58">
        <f t="shared" si="65"/>
        <v>1301.4321881912138</v>
      </c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</row>
    <row r="154" spans="2:27" outlineLevel="1" x14ac:dyDescent="0.65">
      <c r="B154" s="78" t="s">
        <v>116</v>
      </c>
      <c r="C154" s="76"/>
      <c r="D154" s="58">
        <f>+D131-0</f>
        <v>-38786.624415108177</v>
      </c>
      <c r="E154" s="58">
        <f t="shared" ref="E154:I154" si="66">+E131-D131</f>
        <v>-106095.90061653248</v>
      </c>
      <c r="F154" s="58">
        <f t="shared" si="66"/>
        <v>-171045.43404621875</v>
      </c>
      <c r="G154" s="58">
        <f t="shared" si="66"/>
        <v>-66863.048349280725</v>
      </c>
      <c r="H154" s="58">
        <f t="shared" si="66"/>
        <v>-106766.20194553025</v>
      </c>
      <c r="I154" s="58">
        <f t="shared" si="66"/>
        <v>-128444.66565100197</v>
      </c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</row>
    <row r="155" spans="2:27" outlineLevel="1" x14ac:dyDescent="0.65">
      <c r="B155" s="59" t="s">
        <v>127</v>
      </c>
      <c r="C155" s="59"/>
      <c r="D155" s="61">
        <f t="shared" ref="D155:I155" si="67">SUM(D147:D154)</f>
        <v>-33433.532561872809</v>
      </c>
      <c r="E155" s="61">
        <f t="shared" si="67"/>
        <v>-21548.357699087603</v>
      </c>
      <c r="F155" s="61">
        <f t="shared" si="67"/>
        <v>-7503.6002097010787</v>
      </c>
      <c r="G155" s="61">
        <f t="shared" si="67"/>
        <v>171631.20538841491</v>
      </c>
      <c r="H155" s="61">
        <f t="shared" si="67"/>
        <v>272934.21237168572</v>
      </c>
      <c r="I155" s="61">
        <f t="shared" si="67"/>
        <v>388067.03424151021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spans="2:27" outlineLevel="1" x14ac:dyDescent="0.65">
      <c r="B156" s="53"/>
      <c r="C156" s="76"/>
      <c r="D156" s="76"/>
      <c r="E156" s="76"/>
      <c r="F156" s="76"/>
      <c r="G156" s="76"/>
      <c r="H156" s="76"/>
      <c r="I156" s="76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</row>
    <row r="157" spans="2:27" outlineLevel="1" x14ac:dyDescent="0.65">
      <c r="B157" s="66" t="s">
        <v>131</v>
      </c>
      <c r="C157" s="76"/>
      <c r="D157" s="76"/>
      <c r="E157" s="76"/>
      <c r="F157" s="76"/>
      <c r="G157" s="76"/>
      <c r="H157" s="76"/>
      <c r="I157" s="76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</row>
    <row r="158" spans="2:27" outlineLevel="1" x14ac:dyDescent="0.65">
      <c r="B158" s="53" t="s">
        <v>74</v>
      </c>
      <c r="C158" s="76"/>
      <c r="D158" s="58">
        <f t="shared" ref="D158:I158" si="68">+-(D193+D178)</f>
        <v>-4000</v>
      </c>
      <c r="E158" s="58">
        <f t="shared" si="68"/>
        <v>-4000</v>
      </c>
      <c r="F158" s="58">
        <f t="shared" si="68"/>
        <v>-4000</v>
      </c>
      <c r="G158" s="58">
        <f t="shared" si="68"/>
        <v>-4000</v>
      </c>
      <c r="H158" s="58">
        <f t="shared" si="68"/>
        <v>-4000</v>
      </c>
      <c r="I158" s="58">
        <f t="shared" si="68"/>
        <v>-4000</v>
      </c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</row>
    <row r="159" spans="2:27" outlineLevel="1" x14ac:dyDescent="0.65">
      <c r="B159" s="59" t="s">
        <v>131</v>
      </c>
      <c r="C159" s="59"/>
      <c r="D159" s="79">
        <f t="shared" ref="D159:I159" si="69">SUM(D158)</f>
        <v>-4000</v>
      </c>
      <c r="E159" s="79">
        <f t="shared" si="69"/>
        <v>-4000</v>
      </c>
      <c r="F159" s="79">
        <f t="shared" si="69"/>
        <v>-4000</v>
      </c>
      <c r="G159" s="79">
        <f t="shared" si="69"/>
        <v>-4000</v>
      </c>
      <c r="H159" s="79">
        <f t="shared" si="69"/>
        <v>-4000</v>
      </c>
      <c r="I159" s="79">
        <f t="shared" si="69"/>
        <v>-4000</v>
      </c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spans="2:27" outlineLevel="1" x14ac:dyDescent="0.65">
      <c r="B160" s="53"/>
      <c r="C160" s="76"/>
      <c r="D160" s="76"/>
      <c r="E160" s="76"/>
      <c r="F160" s="76"/>
      <c r="G160" s="76"/>
      <c r="H160" s="76"/>
      <c r="I160" s="76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</row>
    <row r="161" spans="1:27" outlineLevel="1" x14ac:dyDescent="0.65">
      <c r="B161" s="66" t="s">
        <v>132</v>
      </c>
      <c r="C161" s="76"/>
      <c r="D161" s="76"/>
      <c r="E161" s="76"/>
      <c r="F161" s="76"/>
      <c r="G161" s="76"/>
      <c r="H161" s="76"/>
      <c r="I161" s="76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</row>
    <row r="162" spans="1:27" outlineLevel="1" x14ac:dyDescent="0.65">
      <c r="B162" s="53" t="s">
        <v>133</v>
      </c>
      <c r="C162" s="76"/>
      <c r="D162" s="117">
        <f t="shared" ref="D162:I162" si="70">+D75</f>
        <v>5000</v>
      </c>
      <c r="E162" s="117">
        <f t="shared" si="70"/>
        <v>0</v>
      </c>
      <c r="F162" s="117">
        <f t="shared" si="70"/>
        <v>0</v>
      </c>
      <c r="G162" s="117">
        <f t="shared" si="70"/>
        <v>0</v>
      </c>
      <c r="H162" s="117">
        <f t="shared" si="70"/>
        <v>0</v>
      </c>
      <c r="I162" s="117">
        <f t="shared" si="70"/>
        <v>0</v>
      </c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</row>
    <row r="163" spans="1:27" outlineLevel="1" x14ac:dyDescent="0.65">
      <c r="B163" s="53" t="s">
        <v>134</v>
      </c>
      <c r="D163" s="117">
        <f t="shared" ref="D163:I163" si="71">+D76</f>
        <v>50000</v>
      </c>
      <c r="E163" s="117">
        <f t="shared" si="71"/>
        <v>0</v>
      </c>
      <c r="F163" s="117">
        <f t="shared" si="71"/>
        <v>0</v>
      </c>
      <c r="G163" s="117">
        <f t="shared" si="71"/>
        <v>0</v>
      </c>
      <c r="H163" s="117">
        <f t="shared" si="71"/>
        <v>0</v>
      </c>
      <c r="I163" s="117">
        <f t="shared" si="71"/>
        <v>0</v>
      </c>
    </row>
    <row r="164" spans="1:27" outlineLevel="1" x14ac:dyDescent="0.65">
      <c r="B164" s="53" t="s">
        <v>84</v>
      </c>
      <c r="D164" s="117">
        <f t="shared" ref="D164:I164" si="72">+D111</f>
        <v>0</v>
      </c>
      <c r="E164" s="117">
        <f t="shared" si="72"/>
        <v>0</v>
      </c>
      <c r="F164" s="117">
        <f t="shared" si="72"/>
        <v>0</v>
      </c>
      <c r="G164" s="117">
        <f t="shared" si="72"/>
        <v>0</v>
      </c>
      <c r="H164" s="117">
        <f t="shared" si="72"/>
        <v>0</v>
      </c>
      <c r="I164" s="117">
        <f t="shared" si="72"/>
        <v>0</v>
      </c>
    </row>
    <row r="165" spans="1:27" outlineLevel="1" x14ac:dyDescent="0.65">
      <c r="B165" s="59" t="s">
        <v>132</v>
      </c>
      <c r="C165" s="59"/>
      <c r="D165" s="79">
        <f t="shared" ref="D165:I165" si="73">SUM(D162:D164)</f>
        <v>55000</v>
      </c>
      <c r="E165" s="79">
        <f t="shared" si="73"/>
        <v>0</v>
      </c>
      <c r="F165" s="79">
        <f t="shared" si="73"/>
        <v>0</v>
      </c>
      <c r="G165" s="79">
        <f t="shared" si="73"/>
        <v>0</v>
      </c>
      <c r="H165" s="79">
        <f t="shared" si="73"/>
        <v>0</v>
      </c>
      <c r="I165" s="79">
        <f t="shared" si="73"/>
        <v>0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spans="1:27" outlineLevel="1" x14ac:dyDescent="0.65">
      <c r="B166" s="53"/>
    </row>
    <row r="167" spans="1:27" outlineLevel="1" x14ac:dyDescent="0.65">
      <c r="B167" s="66" t="s">
        <v>135</v>
      </c>
      <c r="C167" s="56"/>
      <c r="D167" s="66">
        <f t="shared" ref="D167:I167" si="74">+D165+D159+D155</f>
        <v>17566.467438127191</v>
      </c>
      <c r="E167" s="66">
        <f t="shared" si="74"/>
        <v>-25548.357699087603</v>
      </c>
      <c r="F167" s="66">
        <f t="shared" si="74"/>
        <v>-11503.600209701079</v>
      </c>
      <c r="G167" s="66">
        <f t="shared" si="74"/>
        <v>167631.20538841491</v>
      </c>
      <c r="H167" s="66">
        <f t="shared" si="74"/>
        <v>268934.21237168572</v>
      </c>
      <c r="I167" s="66">
        <f t="shared" si="74"/>
        <v>384067.03424151021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spans="1:27" outlineLevel="1" x14ac:dyDescent="0.65">
      <c r="B168" s="53"/>
    </row>
    <row r="169" spans="1:27" outlineLevel="1" x14ac:dyDescent="0.65">
      <c r="B169" s="53" t="s">
        <v>136</v>
      </c>
      <c r="D169" s="104">
        <v>0</v>
      </c>
      <c r="E169" s="53">
        <f t="shared" ref="E169:I169" si="75">+D171</f>
        <v>17566.467438127191</v>
      </c>
      <c r="F169" s="53">
        <f t="shared" si="75"/>
        <v>-7981.890260960412</v>
      </c>
      <c r="G169" s="53">
        <f t="shared" si="75"/>
        <v>-19485.490470661491</v>
      </c>
      <c r="H169" s="53">
        <f t="shared" si="75"/>
        <v>148145.71491775342</v>
      </c>
      <c r="I169" s="53">
        <f t="shared" si="75"/>
        <v>417079.92728943913</v>
      </c>
    </row>
    <row r="170" spans="1:27" outlineLevel="1" x14ac:dyDescent="0.65">
      <c r="B170" s="53" t="s">
        <v>137</v>
      </c>
      <c r="D170" s="53">
        <f t="shared" ref="D170:I170" si="76">+D167</f>
        <v>17566.467438127191</v>
      </c>
      <c r="E170" s="53">
        <f t="shared" si="76"/>
        <v>-25548.357699087603</v>
      </c>
      <c r="F170" s="53">
        <f t="shared" si="76"/>
        <v>-11503.600209701079</v>
      </c>
      <c r="G170" s="53">
        <f t="shared" si="76"/>
        <v>167631.20538841491</v>
      </c>
      <c r="H170" s="53">
        <f t="shared" si="76"/>
        <v>268934.21237168572</v>
      </c>
      <c r="I170" s="53">
        <f t="shared" si="76"/>
        <v>384067.03424151021</v>
      </c>
    </row>
    <row r="171" spans="1:27" outlineLevel="1" x14ac:dyDescent="0.65">
      <c r="B171" s="59" t="s">
        <v>138</v>
      </c>
      <c r="C171" s="59"/>
      <c r="D171" s="61">
        <f t="shared" ref="D171:I171" si="77">SUM(D169:D170)</f>
        <v>17566.467438127191</v>
      </c>
      <c r="E171" s="61">
        <f t="shared" si="77"/>
        <v>-7981.890260960412</v>
      </c>
      <c r="F171" s="61">
        <f t="shared" si="77"/>
        <v>-19485.490470661491</v>
      </c>
      <c r="G171" s="61">
        <f t="shared" si="77"/>
        <v>148145.71491775342</v>
      </c>
      <c r="H171" s="61">
        <f t="shared" si="77"/>
        <v>417079.92728943913</v>
      </c>
      <c r="I171" s="61">
        <f t="shared" si="77"/>
        <v>801146.96153094934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spans="1:27" s="43" customFormat="1" ht="16.5" outlineLevel="1" x14ac:dyDescent="0.75"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spans="1:27" s="43" customFormat="1" ht="17.7" x14ac:dyDescent="0.75">
      <c r="A173" s="43" t="s">
        <v>178</v>
      </c>
      <c r="B173" s="44" t="s">
        <v>139</v>
      </c>
      <c r="C173" s="45"/>
      <c r="D173" s="45"/>
      <c r="E173" s="45"/>
      <c r="F173" s="45"/>
      <c r="G173" s="45" t="s">
        <v>5</v>
      </c>
      <c r="H173" s="45"/>
      <c r="I173" s="45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spans="1:27" s="43" customFormat="1" ht="14.4" customHeight="1" x14ac:dyDescent="0.75">
      <c r="B174" s="88"/>
      <c r="C174" s="88"/>
      <c r="D174" s="88"/>
      <c r="E174" s="88"/>
      <c r="F174" s="88"/>
      <c r="G174" s="88"/>
      <c r="H174" s="88"/>
      <c r="I174" s="88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spans="1:27" s="43" customFormat="1" ht="14.4" customHeight="1" outlineLevel="1" thickBot="1" x14ac:dyDescent="0.8">
      <c r="B175" s="88"/>
      <c r="C175" s="88"/>
      <c r="D175" s="98">
        <f>D$86</f>
        <v>2017</v>
      </c>
      <c r="E175" s="98">
        <f t="shared" ref="E175:I175" si="78">E$86</f>
        <v>2018</v>
      </c>
      <c r="F175" s="98">
        <f t="shared" si="78"/>
        <v>2019</v>
      </c>
      <c r="G175" s="98">
        <f t="shared" si="78"/>
        <v>2020</v>
      </c>
      <c r="H175" s="98">
        <f t="shared" si="78"/>
        <v>2021</v>
      </c>
      <c r="I175" s="98">
        <f t="shared" si="78"/>
        <v>2022</v>
      </c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spans="1:27" outlineLevel="1" x14ac:dyDescent="0.65">
      <c r="B176" s="56" t="s">
        <v>75</v>
      </c>
      <c r="C176" s="76"/>
      <c r="D176" s="76"/>
      <c r="E176" s="76"/>
      <c r="F176" s="76"/>
      <c r="G176" s="76"/>
      <c r="H176" s="76"/>
      <c r="I176" s="76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</row>
    <row r="177" spans="2:27" outlineLevel="1" x14ac:dyDescent="0.65">
      <c r="B177" s="51" t="s">
        <v>11</v>
      </c>
      <c r="C177" s="116">
        <v>0</v>
      </c>
      <c r="D177" s="104">
        <v>0</v>
      </c>
      <c r="E177" s="58">
        <f t="shared" ref="E177:I177" si="79">+D180</f>
        <v>1600</v>
      </c>
      <c r="F177" s="58">
        <f t="shared" si="79"/>
        <v>2800</v>
      </c>
      <c r="G177" s="58">
        <f t="shared" si="79"/>
        <v>3600</v>
      </c>
      <c r="H177" s="58">
        <f t="shared" si="79"/>
        <v>4000</v>
      </c>
      <c r="I177" s="58">
        <f t="shared" si="79"/>
        <v>4000</v>
      </c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</row>
    <row r="178" spans="2:27" outlineLevel="1" x14ac:dyDescent="0.65">
      <c r="B178" s="51" t="s">
        <v>140</v>
      </c>
      <c r="C178" s="76"/>
      <c r="D178" s="104">
        <v>2000</v>
      </c>
      <c r="E178" s="104">
        <v>2000</v>
      </c>
      <c r="F178" s="104">
        <v>2000</v>
      </c>
      <c r="G178" s="104">
        <v>2000</v>
      </c>
      <c r="H178" s="104">
        <v>2000</v>
      </c>
      <c r="I178" s="104">
        <v>2000</v>
      </c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</row>
    <row r="179" spans="2:27" outlineLevel="1" x14ac:dyDescent="0.65">
      <c r="B179" s="51" t="s">
        <v>98</v>
      </c>
      <c r="C179" s="76"/>
      <c r="D179" s="117">
        <f t="shared" ref="D179:I179" si="80">+-D189</f>
        <v>-400</v>
      </c>
      <c r="E179" s="117">
        <f t="shared" si="80"/>
        <v>-800</v>
      </c>
      <c r="F179" s="117">
        <f t="shared" si="80"/>
        <v>-1200</v>
      </c>
      <c r="G179" s="117">
        <f t="shared" si="80"/>
        <v>-1600</v>
      </c>
      <c r="H179" s="117">
        <f t="shared" si="80"/>
        <v>-2000</v>
      </c>
      <c r="I179" s="117">
        <f t="shared" si="80"/>
        <v>-2000</v>
      </c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</row>
    <row r="180" spans="2:27" outlineLevel="1" x14ac:dyDescent="0.65">
      <c r="B180" s="59" t="s">
        <v>141</v>
      </c>
      <c r="C180" s="59"/>
      <c r="D180" s="61">
        <f t="shared" ref="D180:I180" si="81">SUM(D177:D179)</f>
        <v>1600</v>
      </c>
      <c r="E180" s="61">
        <f t="shared" si="81"/>
        <v>2800</v>
      </c>
      <c r="F180" s="61">
        <f t="shared" si="81"/>
        <v>3600</v>
      </c>
      <c r="G180" s="61">
        <f t="shared" si="81"/>
        <v>4000</v>
      </c>
      <c r="H180" s="61">
        <f t="shared" si="81"/>
        <v>4000</v>
      </c>
      <c r="I180" s="61">
        <f t="shared" si="81"/>
        <v>4000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spans="2:27" outlineLevel="1" x14ac:dyDescent="0.65">
      <c r="C181" s="76"/>
      <c r="D181" s="76"/>
      <c r="E181" s="76"/>
      <c r="F181" s="76"/>
      <c r="G181" s="76"/>
      <c r="H181" s="76"/>
      <c r="I181" s="76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</row>
    <row r="182" spans="2:27" outlineLevel="1" x14ac:dyDescent="0.65">
      <c r="B182" s="56" t="s">
        <v>75</v>
      </c>
    </row>
    <row r="183" spans="2:27" outlineLevel="1" x14ac:dyDescent="0.65">
      <c r="B183" s="128">
        <f>D$86</f>
        <v>2017</v>
      </c>
      <c r="D183" s="117">
        <f>+D$178/$D$70</f>
        <v>400</v>
      </c>
      <c r="E183" s="117">
        <f>IF(E$5&gt;$B183+D$70-1,0,D183)</f>
        <v>400</v>
      </c>
      <c r="F183" s="117">
        <f>IF(F$5&gt;$B183+E$70-1,0,E183)</f>
        <v>400</v>
      </c>
      <c r="G183" s="117">
        <f>IF(G$5&gt;$B183+F$70-1,0,F183)</f>
        <v>400</v>
      </c>
      <c r="H183" s="117">
        <f>IF(H$5&gt;$B183+G$70-1,0,G183)</f>
        <v>400</v>
      </c>
      <c r="I183" s="117">
        <f>IF(I$5&gt;$B183+H$70-1,0,H183)</f>
        <v>0</v>
      </c>
    </row>
    <row r="184" spans="2:27" outlineLevel="1" x14ac:dyDescent="0.65">
      <c r="B184" s="128">
        <f>E$86</f>
        <v>2018</v>
      </c>
      <c r="D184" s="104">
        <v>0</v>
      </c>
      <c r="E184" s="117">
        <f>+E$178/$D$70</f>
        <v>400</v>
      </c>
      <c r="F184" s="117">
        <f>IF(F$5&gt;$B184+E$70-1,0,E184)</f>
        <v>400</v>
      </c>
      <c r="G184" s="117">
        <f>IF(G$5&gt;$B184+F$70-1,0,F184)</f>
        <v>400</v>
      </c>
      <c r="H184" s="117">
        <f>IF(H$5&gt;$B184+G$70-1,0,G184)</f>
        <v>400</v>
      </c>
      <c r="I184" s="117">
        <f>IF(I$5&gt;$B184+H$70-1,0,H184)</f>
        <v>400</v>
      </c>
    </row>
    <row r="185" spans="2:27" outlineLevel="1" x14ac:dyDescent="0.65">
      <c r="B185" s="128">
        <f>F$86</f>
        <v>2019</v>
      </c>
      <c r="D185" s="104">
        <v>0</v>
      </c>
      <c r="E185" s="104">
        <v>0</v>
      </c>
      <c r="F185" s="117">
        <f>+F$178/$D$70</f>
        <v>400</v>
      </c>
      <c r="G185" s="117">
        <f>IF(G$5&gt;$B185+F$70-1,0,F185)</f>
        <v>400</v>
      </c>
      <c r="H185" s="117">
        <f>IF(H$5&gt;$B185+G$70-1,0,G185)</f>
        <v>400</v>
      </c>
      <c r="I185" s="117">
        <f>IF(I$5&gt;$B185+H$70-1,0,H185)</f>
        <v>400</v>
      </c>
    </row>
    <row r="186" spans="2:27" outlineLevel="1" x14ac:dyDescent="0.65">
      <c r="B186" s="128">
        <f>G$86</f>
        <v>2020</v>
      </c>
      <c r="D186" s="104">
        <v>0</v>
      </c>
      <c r="E186" s="104">
        <v>0</v>
      </c>
      <c r="F186" s="104">
        <v>0</v>
      </c>
      <c r="G186" s="117">
        <f>+G$178/$D$70</f>
        <v>400</v>
      </c>
      <c r="H186" s="117">
        <f>IF(H$5&gt;$B186+G$70-1,0,G186)</f>
        <v>400</v>
      </c>
      <c r="I186" s="117">
        <f>IF(I$5&gt;$B186+H$70-1,0,H186)</f>
        <v>400</v>
      </c>
    </row>
    <row r="187" spans="2:27" outlineLevel="1" x14ac:dyDescent="0.65">
      <c r="B187" s="128">
        <f>H$86</f>
        <v>2021</v>
      </c>
      <c r="D187" s="104">
        <v>0</v>
      </c>
      <c r="E187" s="104">
        <v>0</v>
      </c>
      <c r="F187" s="104">
        <v>0</v>
      </c>
      <c r="G187" s="104">
        <v>0</v>
      </c>
      <c r="H187" s="117">
        <f>+H$178/$D$70</f>
        <v>400</v>
      </c>
      <c r="I187" s="117">
        <f>IF(I$5&gt;$B187+H$70-1,0,H187)</f>
        <v>400</v>
      </c>
    </row>
    <row r="188" spans="2:27" outlineLevel="1" x14ac:dyDescent="0.65">
      <c r="B188" s="128">
        <f>I$86</f>
        <v>2022</v>
      </c>
      <c r="D188" s="104">
        <v>0</v>
      </c>
      <c r="E188" s="104">
        <v>0</v>
      </c>
      <c r="F188" s="104">
        <v>0</v>
      </c>
      <c r="G188" s="104">
        <v>0</v>
      </c>
      <c r="H188" s="104">
        <v>0</v>
      </c>
      <c r="I188" s="117">
        <f>+I$178/$D$70</f>
        <v>400</v>
      </c>
    </row>
    <row r="189" spans="2:27" outlineLevel="1" x14ac:dyDescent="0.65">
      <c r="B189" s="59" t="s">
        <v>142</v>
      </c>
      <c r="C189" s="59"/>
      <c r="D189" s="61">
        <f t="shared" ref="D189:I189" si="82">SUM(D183:D188)</f>
        <v>400</v>
      </c>
      <c r="E189" s="61">
        <f t="shared" si="82"/>
        <v>800</v>
      </c>
      <c r="F189" s="61">
        <f t="shared" si="82"/>
        <v>1200</v>
      </c>
      <c r="G189" s="61">
        <f t="shared" si="82"/>
        <v>1600</v>
      </c>
      <c r="H189" s="61">
        <f t="shared" si="82"/>
        <v>2000</v>
      </c>
      <c r="I189" s="61">
        <f t="shared" si="82"/>
        <v>2000</v>
      </c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spans="2:27" outlineLevel="1" x14ac:dyDescent="0.65"/>
    <row r="191" spans="2:27" outlineLevel="1" x14ac:dyDescent="0.65">
      <c r="B191" s="56" t="s">
        <v>143</v>
      </c>
      <c r="C191" s="76"/>
      <c r="D191" s="76"/>
      <c r="E191" s="76"/>
      <c r="F191" s="76"/>
      <c r="G191" s="76"/>
      <c r="H191" s="76"/>
      <c r="I191" s="76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</row>
    <row r="192" spans="2:27" outlineLevel="1" x14ac:dyDescent="0.65">
      <c r="B192" s="51" t="s">
        <v>11</v>
      </c>
      <c r="C192" s="116">
        <v>0</v>
      </c>
      <c r="D192" s="104">
        <v>0</v>
      </c>
      <c r="E192" s="58">
        <f t="shared" ref="E192:I192" si="83">+D195</f>
        <v>1600</v>
      </c>
      <c r="F192" s="58">
        <f t="shared" si="83"/>
        <v>2800</v>
      </c>
      <c r="G192" s="58">
        <f t="shared" si="83"/>
        <v>3600</v>
      </c>
      <c r="H192" s="58">
        <f t="shared" si="83"/>
        <v>4000</v>
      </c>
      <c r="I192" s="58">
        <f t="shared" si="83"/>
        <v>4000</v>
      </c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</row>
    <row r="193" spans="2:27" outlineLevel="1" x14ac:dyDescent="0.65">
      <c r="B193" s="51" t="s">
        <v>140</v>
      </c>
      <c r="C193" s="76"/>
      <c r="D193" s="104">
        <v>2000</v>
      </c>
      <c r="E193" s="104">
        <v>2000</v>
      </c>
      <c r="F193" s="104">
        <v>2000</v>
      </c>
      <c r="G193" s="104">
        <v>2000</v>
      </c>
      <c r="H193" s="104">
        <v>2000</v>
      </c>
      <c r="I193" s="104">
        <v>2000</v>
      </c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</row>
    <row r="194" spans="2:27" outlineLevel="1" x14ac:dyDescent="0.65">
      <c r="B194" s="51" t="s">
        <v>98</v>
      </c>
      <c r="C194" s="76"/>
      <c r="D194" s="117">
        <f t="shared" ref="D194:I194" si="84">+-D204</f>
        <v>-400</v>
      </c>
      <c r="E194" s="117">
        <f t="shared" si="84"/>
        <v>-800</v>
      </c>
      <c r="F194" s="117">
        <f t="shared" si="84"/>
        <v>-1200</v>
      </c>
      <c r="G194" s="117">
        <f t="shared" si="84"/>
        <v>-1600</v>
      </c>
      <c r="H194" s="117">
        <f t="shared" si="84"/>
        <v>-2000</v>
      </c>
      <c r="I194" s="117">
        <f t="shared" si="84"/>
        <v>-2000</v>
      </c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</row>
    <row r="195" spans="2:27" outlineLevel="1" x14ac:dyDescent="0.65">
      <c r="B195" s="59" t="s">
        <v>141</v>
      </c>
      <c r="C195" s="59"/>
      <c r="D195" s="61">
        <f t="shared" ref="D195:I195" si="85">SUM(D192:D194)</f>
        <v>1600</v>
      </c>
      <c r="E195" s="61">
        <f t="shared" si="85"/>
        <v>2800</v>
      </c>
      <c r="F195" s="61">
        <f t="shared" si="85"/>
        <v>3600</v>
      </c>
      <c r="G195" s="61">
        <f t="shared" si="85"/>
        <v>4000</v>
      </c>
      <c r="H195" s="61">
        <f t="shared" si="85"/>
        <v>4000</v>
      </c>
      <c r="I195" s="61">
        <f t="shared" si="85"/>
        <v>4000</v>
      </c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spans="2:27" outlineLevel="1" x14ac:dyDescent="0.65">
      <c r="C196" s="76"/>
      <c r="D196" s="76"/>
      <c r="E196" s="76"/>
      <c r="F196" s="76"/>
      <c r="G196" s="76"/>
      <c r="H196" s="76"/>
      <c r="I196" s="76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</row>
    <row r="197" spans="2:27" outlineLevel="1" x14ac:dyDescent="0.65">
      <c r="B197" s="56" t="s">
        <v>143</v>
      </c>
    </row>
    <row r="198" spans="2:27" outlineLevel="1" x14ac:dyDescent="0.65">
      <c r="B198" s="128">
        <f>D$86</f>
        <v>2017</v>
      </c>
      <c r="D198" s="117">
        <f>+D$193/$D$70</f>
        <v>400</v>
      </c>
      <c r="E198" s="117">
        <f>IF(E$5&gt;$B198+D$70-1,0,D198)</f>
        <v>400</v>
      </c>
      <c r="F198" s="117">
        <f>IF(F$5&gt;$B198+E$70-1,0,E198)</f>
        <v>400</v>
      </c>
      <c r="G198" s="117">
        <f>IF(G$5&gt;$B198+F$70-1,0,F198)</f>
        <v>400</v>
      </c>
      <c r="H198" s="117">
        <f>IF(H$5&gt;$B198+G$70-1,0,G198)</f>
        <v>400</v>
      </c>
      <c r="I198" s="117">
        <f>IF(I$5&gt;$B198+H$70-1,0,H198)</f>
        <v>0</v>
      </c>
    </row>
    <row r="199" spans="2:27" outlineLevel="1" x14ac:dyDescent="0.65">
      <c r="B199" s="128">
        <f>E$86</f>
        <v>2018</v>
      </c>
      <c r="D199" s="104">
        <v>0</v>
      </c>
      <c r="E199" s="117">
        <f>+E$193/$D$70</f>
        <v>400</v>
      </c>
      <c r="F199" s="117">
        <f>IF(F$5&gt;$B199+E$70-1,0,E199)</f>
        <v>400</v>
      </c>
      <c r="G199" s="117">
        <f>IF(G$5&gt;$B199+F$70-1,0,F199)</f>
        <v>400</v>
      </c>
      <c r="H199" s="117">
        <f>IF(H$5&gt;$B199+G$70-1,0,G199)</f>
        <v>400</v>
      </c>
      <c r="I199" s="117">
        <f>IF(I$5&gt;$B199+H$70-1,0,H199)</f>
        <v>400</v>
      </c>
    </row>
    <row r="200" spans="2:27" outlineLevel="1" x14ac:dyDescent="0.65">
      <c r="B200" s="128">
        <f>F$86</f>
        <v>2019</v>
      </c>
      <c r="D200" s="104">
        <v>0</v>
      </c>
      <c r="E200" s="104">
        <v>0</v>
      </c>
      <c r="F200" s="117">
        <f>+F$193/$D$70</f>
        <v>400</v>
      </c>
      <c r="G200" s="117">
        <f>IF(G$5&gt;$B200+F$70-1,0,F200)</f>
        <v>400</v>
      </c>
      <c r="H200" s="117">
        <f>IF(H$5&gt;$B200+G$70-1,0,G200)</f>
        <v>400</v>
      </c>
      <c r="I200" s="117">
        <f>IF(I$5&gt;$B200+H$70-1,0,H200)</f>
        <v>400</v>
      </c>
    </row>
    <row r="201" spans="2:27" outlineLevel="1" x14ac:dyDescent="0.65">
      <c r="B201" s="128">
        <f>G$86</f>
        <v>2020</v>
      </c>
      <c r="D201" s="104">
        <v>0</v>
      </c>
      <c r="E201" s="104">
        <v>0</v>
      </c>
      <c r="F201" s="104">
        <v>0</v>
      </c>
      <c r="G201" s="117">
        <f>+G$193/$D$70</f>
        <v>400</v>
      </c>
      <c r="H201" s="117">
        <f>IF(H$5&gt;$B201+G$70-1,0,G201)</f>
        <v>400</v>
      </c>
      <c r="I201" s="117">
        <f>IF(I$5&gt;$B201+H$70-1,0,H201)</f>
        <v>400</v>
      </c>
    </row>
    <row r="202" spans="2:27" outlineLevel="1" x14ac:dyDescent="0.65">
      <c r="B202" s="128">
        <f>H$86</f>
        <v>2021</v>
      </c>
      <c r="D202" s="104">
        <v>0</v>
      </c>
      <c r="E202" s="104">
        <v>0</v>
      </c>
      <c r="F202" s="104">
        <v>0</v>
      </c>
      <c r="G202" s="104">
        <v>0</v>
      </c>
      <c r="H202" s="117">
        <f>+H$193/$D$70</f>
        <v>400</v>
      </c>
      <c r="I202" s="117">
        <f>IF(I$5&gt;$B202+H$70-1,0,H202)</f>
        <v>400</v>
      </c>
    </row>
    <row r="203" spans="2:27" outlineLevel="1" x14ac:dyDescent="0.65">
      <c r="B203" s="128">
        <f>I$86</f>
        <v>2022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17">
        <f>+I$193/$D$70</f>
        <v>400</v>
      </c>
    </row>
    <row r="204" spans="2:27" outlineLevel="1" x14ac:dyDescent="0.65">
      <c r="B204" s="59" t="s">
        <v>142</v>
      </c>
      <c r="C204" s="59"/>
      <c r="D204" s="61">
        <f t="shared" ref="D204:I204" si="86">SUM(D198:D203)</f>
        <v>400</v>
      </c>
      <c r="E204" s="61">
        <f t="shared" si="86"/>
        <v>800</v>
      </c>
      <c r="F204" s="61">
        <f t="shared" si="86"/>
        <v>1200</v>
      </c>
      <c r="G204" s="61">
        <f t="shared" si="86"/>
        <v>1600</v>
      </c>
      <c r="H204" s="61">
        <f t="shared" si="86"/>
        <v>2000</v>
      </c>
      <c r="I204" s="61">
        <f t="shared" si="86"/>
        <v>2000</v>
      </c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spans="2:27" outlineLevel="1" x14ac:dyDescent="0.65"/>
    <row r="206" spans="2:27" outlineLevel="1" x14ac:dyDescent="0.65">
      <c r="B206" s="56" t="s">
        <v>144</v>
      </c>
    </row>
    <row r="207" spans="2:27" outlineLevel="1" x14ac:dyDescent="0.65">
      <c r="B207" s="51" t="s">
        <v>11</v>
      </c>
      <c r="D207" s="104">
        <v>0</v>
      </c>
      <c r="E207" s="58">
        <f t="shared" ref="E207:I207" si="87">+D209</f>
        <v>5000</v>
      </c>
      <c r="F207" s="58">
        <f t="shared" si="87"/>
        <v>5000</v>
      </c>
      <c r="G207" s="58">
        <f t="shared" si="87"/>
        <v>5000</v>
      </c>
      <c r="H207" s="58">
        <f t="shared" si="87"/>
        <v>5000</v>
      </c>
      <c r="I207" s="58">
        <f t="shared" si="87"/>
        <v>5000</v>
      </c>
    </row>
    <row r="208" spans="2:27" outlineLevel="1" x14ac:dyDescent="0.65">
      <c r="B208" s="51" t="s">
        <v>145</v>
      </c>
      <c r="D208" s="117">
        <f>+D75</f>
        <v>5000</v>
      </c>
      <c r="E208" s="104">
        <v>0</v>
      </c>
      <c r="F208" s="104">
        <v>0</v>
      </c>
      <c r="G208" s="104">
        <v>0</v>
      </c>
      <c r="H208" s="104">
        <v>0</v>
      </c>
      <c r="I208" s="104">
        <v>0</v>
      </c>
    </row>
    <row r="209" spans="1:27" outlineLevel="1" x14ac:dyDescent="0.65">
      <c r="B209" s="59" t="s">
        <v>141</v>
      </c>
      <c r="C209" s="59"/>
      <c r="D209" s="61">
        <f t="shared" ref="D209:I209" si="88">SUM(D207:D208)</f>
        <v>5000</v>
      </c>
      <c r="E209" s="61">
        <f t="shared" si="88"/>
        <v>5000</v>
      </c>
      <c r="F209" s="61">
        <f t="shared" si="88"/>
        <v>5000</v>
      </c>
      <c r="G209" s="61">
        <f t="shared" si="88"/>
        <v>5000</v>
      </c>
      <c r="H209" s="61">
        <f t="shared" si="88"/>
        <v>5000</v>
      </c>
      <c r="I209" s="61">
        <f t="shared" si="88"/>
        <v>5000</v>
      </c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spans="1:27" outlineLevel="1" x14ac:dyDescent="0.65"/>
    <row r="211" spans="1:27" outlineLevel="1" x14ac:dyDescent="0.65">
      <c r="B211" s="51" t="s">
        <v>146</v>
      </c>
      <c r="D211" s="51">
        <f t="shared" ref="D211:I211" si="89">+D209*D74</f>
        <v>150</v>
      </c>
      <c r="E211" s="51">
        <f t="shared" si="89"/>
        <v>150</v>
      </c>
      <c r="F211" s="51">
        <f t="shared" si="89"/>
        <v>150</v>
      </c>
      <c r="G211" s="51">
        <f t="shared" si="89"/>
        <v>150</v>
      </c>
      <c r="H211" s="51">
        <f t="shared" si="89"/>
        <v>150</v>
      </c>
      <c r="I211" s="51">
        <f t="shared" si="89"/>
        <v>150</v>
      </c>
    </row>
    <row r="212" spans="1:27" s="43" customFormat="1" ht="16.5" outlineLevel="1" x14ac:dyDescent="0.75"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spans="1:27" s="43" customFormat="1" ht="17.7" x14ac:dyDescent="0.75">
      <c r="A213" s="43" t="s">
        <v>178</v>
      </c>
      <c r="B213" s="44" t="s">
        <v>147</v>
      </c>
      <c r="C213" s="45"/>
      <c r="D213" s="45"/>
      <c r="E213" s="45"/>
      <c r="F213" s="45"/>
      <c r="G213" s="45" t="s">
        <v>5</v>
      </c>
      <c r="H213" s="45"/>
      <c r="I213" s="45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spans="1:27" s="43" customFormat="1" ht="14.4" customHeight="1" x14ac:dyDescent="0.75">
      <c r="B214" s="88"/>
      <c r="C214" s="88"/>
      <c r="D214" s="88"/>
      <c r="E214" s="88"/>
      <c r="F214" s="88"/>
      <c r="G214" s="88"/>
      <c r="H214" s="88"/>
      <c r="I214" s="88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spans="1:27" s="43" customFormat="1" ht="14.4" customHeight="1" outlineLevel="1" thickBot="1" x14ac:dyDescent="0.8">
      <c r="B215" s="88"/>
      <c r="C215" s="88"/>
      <c r="D215" s="98">
        <f>D$86</f>
        <v>2017</v>
      </c>
      <c r="E215" s="98">
        <f t="shared" ref="E215:I215" si="90">E$86</f>
        <v>2018</v>
      </c>
      <c r="F215" s="98">
        <f t="shared" si="90"/>
        <v>2019</v>
      </c>
      <c r="G215" s="98">
        <f t="shared" si="90"/>
        <v>2020</v>
      </c>
      <c r="H215" s="98">
        <f t="shared" si="90"/>
        <v>2021</v>
      </c>
      <c r="I215" s="98">
        <f t="shared" si="90"/>
        <v>2022</v>
      </c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spans="1:27" s="43" customFormat="1" ht="14.4" customHeight="1" outlineLevel="1" x14ac:dyDescent="0.75">
      <c r="B216" s="88"/>
      <c r="C216" s="88"/>
      <c r="D216" s="88"/>
      <c r="E216" s="88"/>
      <c r="F216" s="88"/>
      <c r="G216" s="88"/>
      <c r="H216" s="88"/>
      <c r="I216" s="88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spans="1:27" outlineLevel="1" x14ac:dyDescent="0.65">
      <c r="B217" s="52" t="s">
        <v>22</v>
      </c>
      <c r="D217" s="127">
        <f>+AVERAGE('Monthly Schedule'!D37:O37)</f>
        <v>1.9999999999999997E-2</v>
      </c>
      <c r="E217" s="127">
        <f>+AVERAGE('Monthly Schedule'!D62:O62)</f>
        <v>1.9999999999999997E-2</v>
      </c>
      <c r="F217" s="127">
        <f>+AVERAGE('Monthly Schedule'!D87:O87)</f>
        <v>1.9999999999999997E-2</v>
      </c>
      <c r="G217" s="127">
        <f>+AVERAGE('Monthly Schedule'!D112:O112)</f>
        <v>1.9999999999999997E-2</v>
      </c>
      <c r="H217" s="127">
        <f>+AVERAGE('Monthly Schedule'!D137:O137)</f>
        <v>1.9999999999999997E-2</v>
      </c>
      <c r="I217" s="127">
        <f>+AVERAGE('Monthly Schedule'!D162:O162)</f>
        <v>1.9999999999999997E-2</v>
      </c>
    </row>
    <row r="218" spans="1:27" outlineLevel="1" x14ac:dyDescent="0.65"/>
    <row r="219" spans="1:27" outlineLevel="1" x14ac:dyDescent="0.65">
      <c r="B219" s="51" t="s">
        <v>148</v>
      </c>
      <c r="D219" s="58">
        <f>'Monthly Schedule'!$C$19*'Financial Model'!D94/'Financial Model'!D217</f>
        <v>4093.2186569043729</v>
      </c>
      <c r="E219" s="58">
        <f>'Monthly Schedule'!$C$19*'Financial Model'!E94/'Financial Model'!E217</f>
        <v>4108.1905346799122</v>
      </c>
      <c r="F219" s="58">
        <f>'Monthly Schedule'!$C$19*'Financial Model'!F94/'Financial Model'!F217</f>
        <v>4118.872058665349</v>
      </c>
      <c r="G219" s="58">
        <f>'Monthly Schedule'!$C$19*'Financial Model'!G94/'Financial Model'!G217</f>
        <v>4126.8104952022468</v>
      </c>
      <c r="H219" s="58">
        <f>'Monthly Schedule'!$C$19*'Financial Model'!H94/'Financial Model'!H217</f>
        <v>4132.9999125572849</v>
      </c>
      <c r="I219" s="58">
        <f>'Monthly Schedule'!$C$19*'Financial Model'!I94/'Financial Model'!I217</f>
        <v>4137.9986197663193</v>
      </c>
    </row>
    <row r="220" spans="1:27" outlineLevel="1" x14ac:dyDescent="0.65">
      <c r="B220" s="51" t="s">
        <v>149</v>
      </c>
      <c r="D220" s="53">
        <f>D95/(D7-'Monthly Schedule'!D23)</f>
        <v>757.86351758595663</v>
      </c>
      <c r="E220" s="53">
        <f t="shared" ref="E220:I220" si="91">E95/(E7-D7)</f>
        <v>790.02752347392072</v>
      </c>
      <c r="F220" s="53">
        <f t="shared" si="91"/>
        <v>838.76708076482885</v>
      </c>
      <c r="G220" s="53">
        <f t="shared" si="91"/>
        <v>898.08634122098078</v>
      </c>
      <c r="H220" s="53">
        <f t="shared" si="91"/>
        <v>966.02490683951044</v>
      </c>
      <c r="I220" s="53">
        <f t="shared" si="91"/>
        <v>1041.4701800109872</v>
      </c>
    </row>
    <row r="221" spans="1:27" outlineLevel="1" x14ac:dyDescent="0.65">
      <c r="B221" s="51" t="s">
        <v>150</v>
      </c>
      <c r="D221" s="80">
        <f t="shared" ref="D221:I221" si="92">D219/D220</f>
        <v>5.400997095021296</v>
      </c>
      <c r="E221" s="80">
        <f t="shared" si="92"/>
        <v>5.2000600138781445</v>
      </c>
      <c r="F221" s="80">
        <f t="shared" si="92"/>
        <v>4.9106267438507007</v>
      </c>
      <c r="G221" s="80">
        <f t="shared" si="92"/>
        <v>4.5951155315330805</v>
      </c>
      <c r="H221" s="80">
        <f t="shared" si="92"/>
        <v>4.2783575074466649</v>
      </c>
      <c r="I221" s="80">
        <f t="shared" si="92"/>
        <v>3.9732281338316042</v>
      </c>
    </row>
    <row r="222" spans="1:27" outlineLevel="1" x14ac:dyDescent="0.65">
      <c r="B222" s="51" t="s">
        <v>151</v>
      </c>
      <c r="D222" s="81">
        <f>D220/('Monthly Schedule'!$C$19*'Financial Model'!D94)</f>
        <v>9.2575498783531298</v>
      </c>
      <c r="E222" s="81">
        <f>E220/('Monthly Schedule'!$C$19*'Financial Model'!E94)</f>
        <v>9.6152736442575364</v>
      </c>
      <c r="F222" s="81">
        <f>F220/('Monthly Schedule'!$C$19*'Financial Model'!F94)</f>
        <v>10.181999693341012</v>
      </c>
      <c r="G222" s="81">
        <f>G220/('Monthly Schedule'!$C$19*'Financial Model'!G94)</f>
        <v>10.881119235606764</v>
      </c>
      <c r="H222" s="81">
        <f>H220/('Monthly Schedule'!$C$19*'Financial Model'!H94)</f>
        <v>11.686727888675234</v>
      </c>
      <c r="I222" s="81">
        <f>I220/('Monthly Schedule'!$C$19*'Financial Model'!I94)</f>
        <v>12.584225802252698</v>
      </c>
    </row>
    <row r="223" spans="1:27" s="43" customFormat="1" ht="16.5" outlineLevel="1" x14ac:dyDescent="0.75"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spans="1:27" s="43" customFormat="1" ht="17.7" x14ac:dyDescent="0.75">
      <c r="A224" s="43" t="s">
        <v>178</v>
      </c>
      <c r="B224" s="44" t="s">
        <v>85</v>
      </c>
      <c r="C224" s="45"/>
      <c r="D224" s="45"/>
      <c r="E224" s="45"/>
      <c r="F224" s="45"/>
      <c r="G224" s="45" t="s">
        <v>5</v>
      </c>
      <c r="H224" s="45"/>
      <c r="I224" s="45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spans="2:27" s="43" customFormat="1" ht="14.4" customHeight="1" x14ac:dyDescent="0.75">
      <c r="B225" s="88"/>
      <c r="C225" s="88"/>
      <c r="D225" s="88"/>
      <c r="E225" s="88"/>
      <c r="F225" s="88"/>
      <c r="G225" s="88"/>
      <c r="H225" s="88"/>
      <c r="I225" s="88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spans="2:27" s="43" customFormat="1" ht="14.4" customHeight="1" outlineLevel="1" thickBot="1" x14ac:dyDescent="0.8">
      <c r="B226" s="88"/>
      <c r="C226" s="88"/>
      <c r="D226" s="98">
        <f>D$86</f>
        <v>2017</v>
      </c>
      <c r="E226" s="98">
        <f t="shared" ref="E226:I226" si="93">E$86</f>
        <v>2018</v>
      </c>
      <c r="F226" s="98">
        <f t="shared" si="93"/>
        <v>2019</v>
      </c>
      <c r="G226" s="98">
        <f t="shared" si="93"/>
        <v>2020</v>
      </c>
      <c r="H226" s="98">
        <f t="shared" si="93"/>
        <v>2021</v>
      </c>
      <c r="I226" s="98">
        <f t="shared" si="93"/>
        <v>2022</v>
      </c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spans="2:27" s="43" customFormat="1" ht="14.4" customHeight="1" outlineLevel="1" x14ac:dyDescent="0.75">
      <c r="B227" s="88"/>
      <c r="C227" s="88"/>
      <c r="D227" s="88"/>
      <c r="E227" s="88"/>
      <c r="F227" s="88"/>
      <c r="G227" s="88"/>
      <c r="H227" s="88"/>
      <c r="I227" s="88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spans="2:27" outlineLevel="1" x14ac:dyDescent="0.65">
      <c r="B228" s="51" t="s">
        <v>152</v>
      </c>
      <c r="D228" s="58">
        <f t="shared" ref="D228:I228" si="94">+D101-D104</f>
        <v>71015.075400344504</v>
      </c>
      <c r="E228" s="58">
        <f t="shared" si="94"/>
        <v>155551.17401598435</v>
      </c>
      <c r="F228" s="58">
        <f t="shared" si="94"/>
        <v>280454.01633203588</v>
      </c>
      <c r="G228" s="58">
        <f t="shared" si="94"/>
        <v>438217.94236933358</v>
      </c>
      <c r="H228" s="58">
        <f t="shared" si="94"/>
        <v>622830.26184339332</v>
      </c>
      <c r="I228" s="58">
        <f t="shared" si="94"/>
        <v>830247.68480392382</v>
      </c>
    </row>
    <row r="229" spans="2:27" outlineLevel="1" x14ac:dyDescent="0.65">
      <c r="B229" s="56" t="s">
        <v>153</v>
      </c>
      <c r="C229" s="56"/>
      <c r="D229" s="82">
        <f t="shared" ref="D229:I229" si="95">+D228*(1-D80)</f>
        <v>49710.552780241153</v>
      </c>
      <c r="E229" s="82">
        <f t="shared" si="95"/>
        <v>108885.82181118903</v>
      </c>
      <c r="F229" s="82">
        <f t="shared" si="95"/>
        <v>196317.81143242511</v>
      </c>
      <c r="G229" s="82">
        <f t="shared" si="95"/>
        <v>306752.55965853349</v>
      </c>
      <c r="H229" s="82">
        <f t="shared" si="95"/>
        <v>435981.18329037528</v>
      </c>
      <c r="I229" s="82">
        <f t="shared" si="95"/>
        <v>581173.37936274661</v>
      </c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spans="2:27" outlineLevel="1" x14ac:dyDescent="0.65">
      <c r="B230" s="51" t="s">
        <v>154</v>
      </c>
      <c r="D230" s="58">
        <f t="shared" ref="D230:I230" si="96">+D104</f>
        <v>800</v>
      </c>
      <c r="E230" s="58">
        <f t="shared" si="96"/>
        <v>1600</v>
      </c>
      <c r="F230" s="58">
        <f t="shared" si="96"/>
        <v>2400</v>
      </c>
      <c r="G230" s="58">
        <f t="shared" si="96"/>
        <v>3200</v>
      </c>
      <c r="H230" s="58">
        <f t="shared" si="96"/>
        <v>4000</v>
      </c>
      <c r="I230" s="58">
        <f t="shared" si="96"/>
        <v>4000</v>
      </c>
    </row>
    <row r="231" spans="2:27" outlineLevel="1" x14ac:dyDescent="0.65">
      <c r="B231" s="51" t="s">
        <v>155</v>
      </c>
      <c r="D231" s="83">
        <f t="shared" ref="D231:I231" si="97">+D158</f>
        <v>-4000</v>
      </c>
      <c r="E231" s="83">
        <f t="shared" si="97"/>
        <v>-4000</v>
      </c>
      <c r="F231" s="83">
        <f t="shared" si="97"/>
        <v>-4000</v>
      </c>
      <c r="G231" s="83">
        <f t="shared" si="97"/>
        <v>-4000</v>
      </c>
      <c r="H231" s="83">
        <f t="shared" si="97"/>
        <v>-4000</v>
      </c>
      <c r="I231" s="83">
        <f t="shared" si="97"/>
        <v>-4000</v>
      </c>
    </row>
    <row r="232" spans="2:27" outlineLevel="1" x14ac:dyDescent="0.65">
      <c r="B232" s="51" t="s">
        <v>156</v>
      </c>
      <c r="D232" s="83">
        <f t="shared" ref="D232:I232" si="98">+D154</f>
        <v>-38786.624415108177</v>
      </c>
      <c r="E232" s="83">
        <f t="shared" si="98"/>
        <v>-106095.90061653248</v>
      </c>
      <c r="F232" s="83">
        <f t="shared" si="98"/>
        <v>-171045.43404621875</v>
      </c>
      <c r="G232" s="83">
        <f t="shared" si="98"/>
        <v>-66863.048349280725</v>
      </c>
      <c r="H232" s="83">
        <f t="shared" si="98"/>
        <v>-106766.20194553025</v>
      </c>
      <c r="I232" s="83">
        <f t="shared" si="98"/>
        <v>-128444.66565100197</v>
      </c>
    </row>
    <row r="233" spans="2:27" outlineLevel="1" x14ac:dyDescent="0.65">
      <c r="B233" s="51" t="s">
        <v>157</v>
      </c>
      <c r="D233" s="83">
        <f t="shared" ref="D233:I233" si="99">+D151</f>
        <v>1510.7392646694152</v>
      </c>
      <c r="E233" s="83">
        <f t="shared" si="99"/>
        <v>4624.7227273565641</v>
      </c>
      <c r="F233" s="83">
        <f t="shared" si="99"/>
        <v>7570.145997949403</v>
      </c>
      <c r="G233" s="83">
        <f t="shared" si="99"/>
        <v>2023.8835853626806</v>
      </c>
      <c r="H233" s="83">
        <f t="shared" si="99"/>
        <v>3657.5513985122088</v>
      </c>
      <c r="I233" s="83">
        <f t="shared" si="99"/>
        <v>4363.0919183059013</v>
      </c>
    </row>
    <row r="234" spans="2:27" outlineLevel="1" x14ac:dyDescent="0.65">
      <c r="B234" s="51" t="s">
        <v>158</v>
      </c>
      <c r="D234" s="83">
        <f t="shared" ref="D234:I234" si="100">+D150+D152+D153</f>
        <v>-46563.200191675205</v>
      </c>
      <c r="E234" s="83">
        <f t="shared" si="100"/>
        <v>-30458.001621100739</v>
      </c>
      <c r="F234" s="83">
        <f t="shared" si="100"/>
        <v>-42641.123593856857</v>
      </c>
      <c r="G234" s="83">
        <f t="shared" si="100"/>
        <v>-73377.189506200579</v>
      </c>
      <c r="H234" s="83">
        <f t="shared" si="100"/>
        <v>-63833.320371671631</v>
      </c>
      <c r="I234" s="83">
        <f t="shared" si="100"/>
        <v>-72919.771388540379</v>
      </c>
    </row>
    <row r="235" spans="2:27" outlineLevel="1" x14ac:dyDescent="0.65">
      <c r="B235" s="59" t="s">
        <v>159</v>
      </c>
      <c r="C235" s="59"/>
      <c r="D235" s="61">
        <f t="shared" ref="D235:I235" si="101">SUM(D229:D234)</f>
        <v>-37328.532561872817</v>
      </c>
      <c r="E235" s="61">
        <f t="shared" si="101"/>
        <v>-25443.357699087624</v>
      </c>
      <c r="F235" s="61">
        <f t="shared" si="101"/>
        <v>-11398.600209701101</v>
      </c>
      <c r="G235" s="61">
        <f t="shared" si="101"/>
        <v>167736.20538841488</v>
      </c>
      <c r="H235" s="61">
        <f t="shared" si="101"/>
        <v>269039.2123716856</v>
      </c>
      <c r="I235" s="61">
        <f t="shared" si="101"/>
        <v>384172.03424151015</v>
      </c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spans="2:27" outlineLevel="1" x14ac:dyDescent="0.65"/>
    <row r="237" spans="2:27" outlineLevel="1" x14ac:dyDescent="0.65">
      <c r="B237" s="51" t="s">
        <v>160</v>
      </c>
      <c r="C237" s="83">
        <f>+C82*I235</f>
        <v>4225892.3766566115</v>
      </c>
    </row>
    <row r="238" spans="2:27" outlineLevel="1" x14ac:dyDescent="0.65"/>
    <row r="239" spans="2:27" outlineLevel="1" x14ac:dyDescent="0.65">
      <c r="B239" s="51" t="s">
        <v>161</v>
      </c>
      <c r="C239" s="83">
        <f t="array" ref="C239">+NPV(C81,(D235:I235))</f>
        <v>434946.83192268159</v>
      </c>
      <c r="D239" s="57"/>
      <c r="E239" s="57"/>
      <c r="F239" s="57"/>
      <c r="G239" s="57"/>
      <c r="H239" s="57"/>
      <c r="I239" s="57"/>
    </row>
    <row r="240" spans="2:27" outlineLevel="1" x14ac:dyDescent="0.65">
      <c r="B240" s="51" t="s">
        <v>162</v>
      </c>
      <c r="C240" s="83">
        <f>+C237/(1+C81)^6</f>
        <v>2385406.0778356544</v>
      </c>
    </row>
    <row r="241" spans="2:27" outlineLevel="1" x14ac:dyDescent="0.65">
      <c r="B241" s="56" t="s">
        <v>163</v>
      </c>
      <c r="C241" s="75">
        <f>+C239+C240</f>
        <v>2820352.9097583359</v>
      </c>
    </row>
    <row r="242" spans="2:27" outlineLevel="1" x14ac:dyDescent="0.65">
      <c r="B242" s="51" t="s">
        <v>164</v>
      </c>
      <c r="C242" s="83">
        <f>+D118</f>
        <v>17566.467438127191</v>
      </c>
    </row>
    <row r="243" spans="2:27" outlineLevel="1" x14ac:dyDescent="0.65">
      <c r="B243" s="51" t="s">
        <v>165</v>
      </c>
      <c r="C243" s="83">
        <f>+-D133</f>
        <v>-5000</v>
      </c>
    </row>
    <row r="244" spans="2:27" outlineLevel="1" x14ac:dyDescent="0.65">
      <c r="B244" s="56" t="s">
        <v>166</v>
      </c>
      <c r="C244" s="75">
        <f>SUM(C241:C243)</f>
        <v>2832919.3771964633</v>
      </c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spans="2:27" outlineLevel="1" x14ac:dyDescent="0.65"/>
    <row r="246" spans="2:27" outlineLevel="1" x14ac:dyDescent="0.65">
      <c r="B246" s="56" t="s">
        <v>167</v>
      </c>
      <c r="C246" s="84">
        <f>+C241/E235</f>
        <v>-110.84829852702464</v>
      </c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spans="2:27" outlineLevel="1" x14ac:dyDescent="0.65">
      <c r="B247" s="56" t="s">
        <v>168</v>
      </c>
      <c r="C247" s="84">
        <f>+C241/F235</f>
        <v>-247.42975960837674</v>
      </c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spans="2:27" s="43" customFormat="1" ht="16.5" outlineLevel="1" x14ac:dyDescent="0.75">
      <c r="B248" s="48"/>
      <c r="C248" s="70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spans="2:27" outlineLevel="1" x14ac:dyDescent="0.65">
      <c r="B249" s="92" t="s">
        <v>169</v>
      </c>
      <c r="C249" s="92"/>
      <c r="D249" s="93"/>
      <c r="E249" s="93"/>
      <c r="F249" s="93"/>
      <c r="G249" s="93"/>
      <c r="H249" s="93"/>
      <c r="I249" s="93"/>
    </row>
    <row r="250" spans="2:27" outlineLevel="1" x14ac:dyDescent="0.65">
      <c r="B250" s="66"/>
      <c r="C250" s="66"/>
      <c r="D250" s="129" t="s">
        <v>170</v>
      </c>
      <c r="E250" s="130"/>
      <c r="F250" s="130"/>
      <c r="G250" s="130"/>
      <c r="H250" s="130"/>
      <c r="I250" s="130"/>
    </row>
    <row r="251" spans="2:27" outlineLevel="1" x14ac:dyDescent="0.65">
      <c r="C251" s="85">
        <f>+C241</f>
        <v>2820352.9097583359</v>
      </c>
      <c r="D251" s="113">
        <v>0.08</v>
      </c>
      <c r="E251" s="86">
        <f t="shared" ref="E251:I251" si="102">+D251+0.01</f>
        <v>0.09</v>
      </c>
      <c r="F251" s="86">
        <f t="shared" si="102"/>
        <v>9.9999999999999992E-2</v>
      </c>
      <c r="G251" s="86">
        <f t="shared" si="102"/>
        <v>0.10999999999999999</v>
      </c>
      <c r="H251" s="86">
        <f t="shared" si="102"/>
        <v>0.11999999999999998</v>
      </c>
      <c r="I251" s="86">
        <f t="shared" si="102"/>
        <v>0.12999999999999998</v>
      </c>
    </row>
    <row r="252" spans="2:27" outlineLevel="1" x14ac:dyDescent="0.65">
      <c r="B252" s="131" t="s">
        <v>171</v>
      </c>
      <c r="C252" s="114">
        <v>9</v>
      </c>
      <c r="D252" s="118">
        <f t="dataTable" ref="D252:I257" dt2D="1" dtr="1" r1="C81" r2="C82"/>
        <v>2661904.5497085839</v>
      </c>
      <c r="E252" s="119">
        <v>2519914.5680971602</v>
      </c>
      <c r="F252" s="119">
        <v>2386642.7137882169</v>
      </c>
      <c r="G252" s="119">
        <v>2261481.0210126718</v>
      </c>
      <c r="H252" s="119">
        <v>2143868.9152016388</v>
      </c>
      <c r="I252" s="119">
        <v>2033289.1369082665</v>
      </c>
    </row>
    <row r="253" spans="2:27" outlineLevel="1" x14ac:dyDescent="0.65">
      <c r="B253" s="130"/>
      <c r="C253" s="84">
        <f t="shared" ref="C253:C257" si="103">+C252+1</f>
        <v>10</v>
      </c>
      <c r="D253" s="120">
        <v>2903998.0971854795</v>
      </c>
      <c r="E253" s="121">
        <v>2748983.8000160959</v>
      </c>
      <c r="F253" s="121">
        <v>2603497.8117732764</v>
      </c>
      <c r="G253" s="121">
        <v>2466875.0786014847</v>
      </c>
      <c r="H253" s="121">
        <v>2338502.4236343876</v>
      </c>
      <c r="I253" s="121">
        <v>2217814.0826761425</v>
      </c>
    </row>
    <row r="254" spans="2:27" outlineLevel="1" x14ac:dyDescent="0.65">
      <c r="B254" s="130"/>
      <c r="C254" s="84">
        <f t="shared" si="103"/>
        <v>11</v>
      </c>
      <c r="D254" s="120">
        <v>3146091.6446623751</v>
      </c>
      <c r="E254" s="121">
        <v>2978053.0319350315</v>
      </c>
      <c r="F254" s="121">
        <v>2820352.9097583359</v>
      </c>
      <c r="G254" s="121">
        <v>2672269.136190298</v>
      </c>
      <c r="H254" s="121">
        <v>2533135.9320671363</v>
      </c>
      <c r="I254" s="121">
        <v>2402339.0284440191</v>
      </c>
    </row>
    <row r="255" spans="2:27" outlineLevel="1" x14ac:dyDescent="0.65">
      <c r="B255" s="130"/>
      <c r="C255" s="84">
        <f t="shared" si="103"/>
        <v>12</v>
      </c>
      <c r="D255" s="120">
        <v>3388185.1921392712</v>
      </c>
      <c r="E255" s="121">
        <v>3207122.2638539672</v>
      </c>
      <c r="F255" s="121">
        <v>3037208.0077433954</v>
      </c>
      <c r="G255" s="121">
        <v>2877663.1937791109</v>
      </c>
      <c r="H255" s="121">
        <v>2727769.440499885</v>
      </c>
      <c r="I255" s="121">
        <v>2586863.9742118954</v>
      </c>
    </row>
    <row r="256" spans="2:27" outlineLevel="1" x14ac:dyDescent="0.65">
      <c r="B256" s="130"/>
      <c r="C256" s="84">
        <f t="shared" si="103"/>
        <v>13</v>
      </c>
      <c r="D256" s="120">
        <v>3630278.7396161663</v>
      </c>
      <c r="E256" s="121">
        <v>3436191.4957729029</v>
      </c>
      <c r="F256" s="121">
        <v>3254063.1057284549</v>
      </c>
      <c r="G256" s="121">
        <v>3083057.2513679238</v>
      </c>
      <c r="H256" s="121">
        <v>2922402.9489326328</v>
      </c>
      <c r="I256" s="121">
        <v>2771388.9199797711</v>
      </c>
    </row>
    <row r="257" spans="1:9" outlineLevel="1" x14ac:dyDescent="0.65">
      <c r="B257" s="130"/>
      <c r="C257" s="84">
        <f t="shared" si="103"/>
        <v>14</v>
      </c>
      <c r="D257" s="120">
        <v>3872372.2870930624</v>
      </c>
      <c r="E257" s="121">
        <v>3665260.7276918394</v>
      </c>
      <c r="F257" s="121">
        <v>3470918.2037135144</v>
      </c>
      <c r="G257" s="121">
        <v>3288451.3089567372</v>
      </c>
      <c r="H257" s="121">
        <v>3117036.4573653815</v>
      </c>
      <c r="I257" s="121">
        <v>2955913.8657476474</v>
      </c>
    </row>
    <row r="258" spans="1:9" ht="14.4" customHeight="1" outlineLevel="1" x14ac:dyDescent="0.65"/>
    <row r="264" spans="1:9" ht="14.4" customHeight="1" x14ac:dyDescent="0.65">
      <c r="A264" s="51" t="s">
        <v>178</v>
      </c>
    </row>
  </sheetData>
  <mergeCells count="2">
    <mergeCell ref="D250:I250"/>
    <mergeCell ref="B252:B257"/>
  </mergeCells>
  <pageMargins left="0.7" right="0.7" top="0.75" bottom="0.75" header="0" footer="0"/>
  <pageSetup scale="71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Monthly Schedule</vt:lpstr>
      <vt:lpstr>Financial Model</vt:lpstr>
      <vt:lpstr>Cover!Print_Area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Jeffrey Schmidt</cp:lastModifiedBy>
  <cp:lastPrinted>2024-07-18T17:32:54Z</cp:lastPrinted>
  <dcterms:created xsi:type="dcterms:W3CDTF">2019-01-09T22:14:10Z</dcterms:created>
  <dcterms:modified xsi:type="dcterms:W3CDTF">2024-07-24T19:45:29Z</dcterms:modified>
</cp:coreProperties>
</file>