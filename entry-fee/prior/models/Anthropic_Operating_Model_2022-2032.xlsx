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P&amp;L Build" sheetId="2" state="visible" r:id="rId2"/>
    <sheet name="Live Switch" sheetId="3" state="visible" r:id="rId3"/>
    <sheet name="D1" sheetId="4" state="hidden" r:id="rId4"/>
    <sheet name="D2" sheetId="5" state="hidden" r:id="rId5"/>
    <sheet name="D3" sheetId="6" state="hidden" r:id="rId6"/>
    <sheet name="D4" sheetId="7" state="hidden" r:id="rId7"/>
    <sheet name="D5" sheetId="8" state="hidden" r:id="rId8"/>
    <sheet name="D6" sheetId="9" state="hidden" r:id="rId9"/>
    <sheet name="Capacity &amp; Energy" sheetId="10" state="visible" r:id="rId10"/>
    <sheet name="Charts" sheetId="11" state="visible" r:id="rId11"/>
    <sheet name="Sources &amp; No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"/>
  </numFmts>
  <fonts count="1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1E3A5F"/>
      <sz val="11"/>
    </font>
    <font>
      <i val="1"/>
      <color rgb="006B7280"/>
      <sz val="9"/>
    </font>
    <font>
      <b val="1"/>
      <sz val="9"/>
    </font>
    <font>
      <sz val="9"/>
    </font>
    <font>
      <b val="1"/>
      <color rgb="00111827"/>
      <sz val="12"/>
    </font>
    <font>
      <b val="1"/>
      <color rgb="00FFFFFF"/>
      <sz val="10"/>
    </font>
    <font>
      <i val="1"/>
      <color rgb="006B7280"/>
      <sz val="8"/>
    </font>
    <font>
      <b val="1"/>
      <color rgb="00FFFFFF"/>
      <sz val="9"/>
    </font>
    <font>
      <i val="1"/>
      <color rgb="00D1D5DB"/>
      <sz val="8"/>
    </font>
    <font>
      <b val="1"/>
      <color rgb="00FFFFFF"/>
    </font>
    <font>
      <b val="1"/>
      <sz val="12"/>
    </font>
    <font>
      <b val="1"/>
      <sz val="8"/>
    </font>
    <font>
      <sz val="8"/>
    </font>
    <font>
      <color rgb="001155CC"/>
      <sz val="9"/>
      <u val="single"/>
    </font>
  </fonts>
  <fills count="7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1E3A5F"/>
      </patternFill>
    </fill>
    <fill>
      <patternFill patternType="solid">
        <fgColor rgb="00047857"/>
      </patternFill>
    </fill>
  </fills>
  <borders count="2">
    <border>
      <left/>
      <right/>
      <top/>
      <bottom/>
      <diagonal/>
    </border>
    <border>
      <left style="thin">
        <color rgb="00B45309"/>
      </left>
      <right style="thin">
        <color rgb="00B45309"/>
      </right>
      <top style="thin">
        <color rgb="00B45309"/>
      </top>
      <bottom style="thin">
        <color rgb="00B4530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right"/>
    </xf>
    <xf numFmtId="0" fontId="8" fillId="4" borderId="0" pivotButton="0" quotePrefix="0" xfId="0"/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 vertical="top" wrapText="1"/>
    </xf>
    <xf numFmtId="3" fontId="6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 vertical="top" wrapText="1"/>
    </xf>
    <xf numFmtId="0" fontId="11" fillId="5" borderId="0" applyAlignment="1" pivotButton="0" quotePrefix="0" xfId="0">
      <alignment horizontal="center"/>
    </xf>
    <xf numFmtId="0" fontId="11" fillId="5" borderId="0" applyAlignment="1" pivotButton="0" quotePrefix="0" xfId="0">
      <alignment horizontal="left" vertical="top" wrapText="1"/>
    </xf>
    <xf numFmtId="3" fontId="10" fillId="5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0" fontId="6" fillId="0" borderId="0" applyAlignment="1" pivotButton="0" quotePrefix="0" xfId="0">
      <alignment horizontal="right"/>
    </xf>
    <xf numFmtId="164" fontId="10" fillId="5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12" fillId="6" borderId="0" applyAlignment="1" pivotButton="0" quotePrefix="0" xfId="0">
      <alignment horizontal="center"/>
    </xf>
    <xf numFmtId="2" fontId="10" fillId="5" borderId="0" applyAlignment="1" pivotButton="0" quotePrefix="0" xfId="0">
      <alignment horizontal="righ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15" fillId="0" borderId="0" pivotButton="0" quotePrefix="0" xfId="0"/>
    <xf numFmtId="0" fontId="0" fillId="4" borderId="0" pivotButton="0" quotePrefix="0" xfId="0"/>
    <xf numFmtId="0" fontId="5" fillId="0" borderId="0" applyAlignment="1" pivotButton="0" quotePrefix="0" xfId="0">
      <alignment vertical="top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build: first-party API vs non-API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'Charts'!A93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'Charts'!$B$93:$L$93</f>
            </numRef>
          </val>
        </ser>
        <ser>
          <idx val="1"/>
          <order val="1"/>
          <tx>
            <strRef>
              <f>'Charts'!A94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'Charts'!$B$94:$L$94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Gross margin % and operating margin %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'Charts'!A96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'Charts'!$B$92:$L$92</f>
            </numRef>
          </cat>
          <val>
            <numRef>
              <f>'Charts'!$B$96:$L$96</f>
            </numRef>
          </val>
          <smooth val="0"/>
        </ser>
        <ser>
          <idx val="1"/>
          <order val="1"/>
          <tx>
            <strRef>
              <f>'Charts'!A97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'Charts'!$B$92:$L$92</f>
            </numRef>
          </cat>
          <val>
            <numRef>
              <f>'Charts'!$B$97:$L$97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Operating income ex-SBC ($M)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'Charts'!A98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'Charts'!$B$98:$L$98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stack: COGS / R&amp;D / S&amp;M / G&amp;A ($M)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'Charts'!A99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'Charts'!$B$99:$L$99</f>
            </numRef>
          </val>
        </ser>
        <ser>
          <idx val="1"/>
          <order val="1"/>
          <tx>
            <strRef>
              <f>'Charts'!A100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'Charts'!$B$100:$L$100</f>
            </numRef>
          </val>
        </ser>
        <ser>
          <idx val="2"/>
          <order val="2"/>
          <tx>
            <strRef>
              <f>'Charts'!A101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'Charts'!$B$101:$L$101</f>
            </numRef>
          </val>
        </ser>
        <ser>
          <idx val="3"/>
          <order val="3"/>
          <tx>
            <strRef>
              <f>'Charts'!A102</f>
            </strRef>
          </tx>
          <spPr>
            <a:ln>
              <a:prstDash val="solid"/>
            </a:ln>
          </spPr>
          <cat>
            <numRef>
              <f>'Charts'!$B$92:$L$92</f>
            </numRef>
          </cat>
          <val>
            <numRef>
              <f>'Charts'!$B$102:$L$102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Compute capacity: online GW vs committed ceiling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'Charts'!A103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'Charts'!$B$92:$L$92</f>
            </numRef>
          </cat>
          <val>
            <numRef>
              <f>'Charts'!$B$103:$L$103</f>
            </numRef>
          </val>
          <smooth val="0"/>
        </ser>
        <ser>
          <idx val="1"/>
          <order val="1"/>
          <tx>
            <strRef>
              <f>'Charts'!A104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'Charts'!$B$92:$L$92</f>
            </numRef>
          </cat>
          <val>
            <numRef>
              <f>'Charts'!$B$104:$L$104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400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</row>
      <rowOff>0</rowOff>
    </from>
    <ext cx="5400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18</row>
      <rowOff>0</rowOff>
    </from>
    <ext cx="5400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18</row>
      <rowOff>0</rowOff>
    </from>
    <ext cx="5400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34</row>
      <rowOff>0</rowOff>
    </from>
    <ext cx="5400000" cy="2736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anthropic.com/news/series-h" TargetMode="External" Id="rId1" /><Relationship Type="http://schemas.openxmlformats.org/officeDocument/2006/relationships/hyperlink" Target="https://www.theinformation.com/articles/anthropic-lowers-profit-margin-projection-revenue-skyrockets" TargetMode="External" Id="rId2" /><Relationship Type="http://schemas.openxmlformats.org/officeDocument/2006/relationships/hyperlink" Target="https://www.saastr.com/anthropic-just-passed-openai-in-revenue-while-spending-4x-less-to-train-their-models/" TargetMode="External" Id="rId3" /><Relationship Type="http://schemas.openxmlformats.org/officeDocument/2006/relationships/hyperlink" Target="https://www.saastr.com/anthropic-only-has-5000-employees-almost-no-one-has-ever-been-this-efficient-thats-by-choice/" TargetMode="External" Id="rId4" /><Relationship Type="http://schemas.openxmlformats.org/officeDocument/2006/relationships/hyperlink" Target="https://cybernews.com/ai-news/openai-anthropic-profit-revenue-ai/" TargetMode="External" Id="rId5" /><Relationship Type="http://schemas.openxmlformats.org/officeDocument/2006/relationships/hyperlink" Target="https://www.profgmedia.com/p/how-unprofitable-is-ai-really" TargetMode="External" Id="rId6" /><Relationship Type="http://schemas.openxmlformats.org/officeDocument/2006/relationships/hyperlink" Target="https://markmancapitalinsight.substack.com/p/anthropic-just-booked-its-first-profitable" TargetMode="External" Id="rId7" /><Relationship Type="http://schemas.openxmlformats.org/officeDocument/2006/relationships/hyperlink" Target="https://www.klover.ai/is_ai_profitable_anthropics_path_toward_profit_analysis_2026/" TargetMode="External" Id="rId8" /><Relationship Type="http://schemas.openxmlformats.org/officeDocument/2006/relationships/hyperlink" Target="https://www.lambdafin.com/articles/anthropic-compute-costs" TargetMode="External" Id="rId9" /><Relationship Type="http://schemas.openxmlformats.org/officeDocument/2006/relationships/hyperlink" Target="https://sacra.com/c/anthropic/" TargetMode="External" Id="rId10" /><Relationship Type="http://schemas.openxmlformats.org/officeDocument/2006/relationships/hyperlink" Target="https://platform.claude.com/docs/en/about-claude/pricing" TargetMode="External" Id="rId11" /><Relationship Type="http://schemas.openxmlformats.org/officeDocument/2006/relationships/hyperlink" Target="https://claude.com/pricing" TargetMode="External" Id="rId12" /><Relationship Type="http://schemas.openxmlformats.org/officeDocument/2006/relationships/hyperlink" Target="https://platform.claude.com/docs/en/build-with-claude/prompt-caching" TargetMode="External" Id="rId13" /><Relationship Type="http://schemas.openxmlformats.org/officeDocument/2006/relationships/hyperlink" Target="https://platform.claude.com/docs/en/build-with-claude/batch-processing" TargetMode="External" Id="rId14" /><Relationship Type="http://schemas.openxmlformats.org/officeDocument/2006/relationships/hyperlink" Target="https://www.anthropic.com/news/claude-4" TargetMode="External" Id="rId15" /><Relationship Type="http://schemas.openxmlformats.org/officeDocument/2006/relationships/hyperlink" Target="https://www.anthropic.com/news/claude-3-5-sonnet" TargetMode="External" Id="rId16" /><Relationship Type="http://schemas.openxmlformats.org/officeDocument/2006/relationships/hyperlink" Target="https://www.anthropic.com/news/claude-sonnet-5" TargetMode="External" Id="rId17" /><Relationship Type="http://schemas.openxmlformats.org/officeDocument/2006/relationships/hyperlink" Target="https://techcrunch.com/2026/06/30/anthropic-launches-claude-sonnet-5-as-a-cheaper-way-to-run-agents/" TargetMode="External" Id="rId18" /><Relationship Type="http://schemas.openxmlformats.org/officeDocument/2006/relationships/hyperlink" Target="https://claudefa.st/blog/models" TargetMode="External" Id="rId19" /><Relationship Type="http://schemas.openxmlformats.org/officeDocument/2006/relationships/hyperlink" Target="https://artificialanalysis.ai/models/claude-21" TargetMode="External" Id="rId20" /><Relationship Type="http://schemas.openxmlformats.org/officeDocument/2006/relationships/hyperlink" Target="https://pricepertoken.com/pricing-page/model/anthropic-claude-instant" TargetMode="External" Id="rId21" /><Relationship Type="http://schemas.openxmlformats.org/officeDocument/2006/relationships/hyperlink" Target="https://pricepertoken.com/pricing-page/model/anthropic-claude-3-haiku" TargetMode="External" Id="rId22" /><Relationship Type="http://schemas.openxmlformats.org/officeDocument/2006/relationships/hyperlink" Target="https://www.cloudzero.com/blog/claude-api-pricing/" TargetMode="External" Id="rId23" /><Relationship Type="http://schemas.openxmlformats.org/officeDocument/2006/relationships/hyperlink" Target="https://www.finout.io/blog/anthropic-api-pricing" TargetMode="External" Id="rId24" /><Relationship Type="http://schemas.openxmlformats.org/officeDocument/2006/relationships/hyperlink" Target="https://www.metacto.com/blogs/anthropic-api-pricing-a-full-breakdown-of-costs-and-integration" TargetMode="External" Id="rId25" /><Relationship Type="http://schemas.openxmlformats.org/officeDocument/2006/relationships/hyperlink" Target="https://intuitionlabs.ai/articles/claude-pricing-plans-api-costs" TargetMode="External" Id="rId26" /><Relationship Type="http://schemas.openxmlformats.org/officeDocument/2006/relationships/hyperlink" Target="https://aimodelcalc.com/guides/claude-api-pricing" TargetMode="External" Id="rId27" /><Relationship Type="http://schemas.openxmlformats.org/officeDocument/2006/relationships/hyperlink" Target="https://www.tldl.io/resources/anthropic-api-pricing" TargetMode="External" Id="rId28" /><Relationship Type="http://schemas.openxmlformats.org/officeDocument/2006/relationships/hyperlink" Target="https://benchlm.ai/anthropic/api-pricing" TargetMode="External" Id="rId29" /><Relationship Type="http://schemas.openxmlformats.org/officeDocument/2006/relationships/hyperlink" Target="https://costgoat.com/pricing/claude-api" TargetMode="External" Id="rId30" /><Relationship Type="http://schemas.openxmlformats.org/officeDocument/2006/relationships/hyperlink" Target="https://evolink.ai/blog/claude-api-pricing-guide-2026" TargetMode="External" Id="rId31" /><Relationship Type="http://schemas.openxmlformats.org/officeDocument/2006/relationships/hyperlink" Target="https://pecollective.com/tools/anthropic-api-pricing/" TargetMode="External" Id="rId32" /><Relationship Type="http://schemas.openxmlformats.org/officeDocument/2006/relationships/hyperlink" Target="https://www.anthropic.com/news/anthropic-amazon-compute" TargetMode="External" Id="rId33" /><Relationship Type="http://schemas.openxmlformats.org/officeDocument/2006/relationships/hyperlink" Target="https://www.aboutamazon.com/news/company-news/amazon-invests-additional-5-billion-anthropic-ai" TargetMode="External" Id="rId34" /><Relationship Type="http://schemas.openxmlformats.org/officeDocument/2006/relationships/hyperlink" Target="https://www.anthropic.com/news/google-broadcom-partnership-compute" TargetMode="External" Id="rId35" /><Relationship Type="http://schemas.openxmlformats.org/officeDocument/2006/relationships/hyperlink" Target="https://www.siliconrepublic.com/machines/anthropic-google-broadcom-announce-3-5gw-tpu-deal" TargetMode="External" Id="rId36" /><Relationship Type="http://schemas.openxmlformats.org/officeDocument/2006/relationships/hyperlink" Target="https://www.usnews.com/news/top-news/articles/2026-05-05/anthropic-commits-to-spending-200-billion-on-googles-cloud-and-chips-the-information-reports" TargetMode="External" Id="rId37" /><Relationship Type="http://schemas.openxmlformats.org/officeDocument/2006/relationships/hyperlink" Target="https://www.tomshardware.com/tech-industry/broadcom-expands-anthropic-deal-to-3-5gw-of-google-tpu-capacity-from-2027" TargetMode="External" Id="rId38" /><Relationship Type="http://schemas.openxmlformats.org/officeDocument/2006/relationships/hyperlink" Target="https://www.cnbc.com/2026/04/06/broadcom-agrees-to-expanded-chip-deals-with-google-anthropic.html" TargetMode="External" Id="rId39" /><Relationship Type="http://schemas.openxmlformats.org/officeDocument/2006/relationships/hyperlink" Target="https://blogs.microsoft.com/blog/2025/11/18/microsoft-nvidia-and-anthropic-announce-strategic-partnerships/" TargetMode="External" Id="rId40" /><Relationship Type="http://schemas.openxmlformats.org/officeDocument/2006/relationships/hyperlink" Target="https://www.datacenterdynamics.com/en/news/anthropic-to-purchase-30bn-in-microsoft-azure-credits-nvidia-and-microsoft-to-invest-in-ai-company/" TargetMode="External" Id="rId41" /><Relationship Type="http://schemas.openxmlformats.org/officeDocument/2006/relationships/hyperlink" Target="https://techcrunch.com/2026/05/20/anthropic-will-pay-xai-1-25-billion-per-month-for-compute/" TargetMode="External" Id="rId42" /><Relationship Type="http://schemas.openxmlformats.org/officeDocument/2006/relationships/hyperlink" Target="https://www.axios.com/2026/05/20/anthropic-spacex-compute" TargetMode="External" Id="rId43" /><Relationship Type="http://schemas.openxmlformats.org/officeDocument/2006/relationships/hyperlink" Target="https://www.anthropic.com/news/anthropic-invests-50-billion-in-american-ai-infrastructure" TargetMode="External" Id="rId44" /><Relationship Type="http://schemas.openxmlformats.org/officeDocument/2006/relationships/hyperlink" Target="https://www.cnbc.com/2025/11/12/anthropic-ai-data-centers-texas-new-york.html" TargetMode="External" Id="rId45" /><Relationship Type="http://schemas.openxmlformats.org/officeDocument/2006/relationships/hyperlink" Target="https://www.coreweave.com/news/coreweave-announces-multi-year-agreement-with-anthropic" TargetMode="External" Id="rId46" /><Relationship Type="http://schemas.openxmlformats.org/officeDocument/2006/relationships/hyperlink" Target="https://www.forbes.com/sites/janakirammsv/2026/04/13/coreweave-becomes-ais-landlord-with-meta-and-anthropic-deals/" TargetMode="External" Id="rId47" /><Relationship Type="http://schemas.openxmlformats.org/officeDocument/2006/relationships/hyperlink" Target="https://www.forbes.com/sites/janakirammsv/2026/05/08/akamai-lands-18-billion-anthropic-deal-as-cdn-becomes-ai-cloud/" TargetMode="External" Id="rId48" /><Relationship Type="http://schemas.openxmlformats.org/officeDocument/2006/relationships/hyperlink" Target="https://futurumgroup.com/insights/anthropics-gigawatt-scale-tpu-deal-with-broadcom-creates-a-structural-advantage/" TargetMode="External" Id="rId49" /><Relationship Type="http://schemas.openxmlformats.org/officeDocument/2006/relationships/hyperlink" Target="https://www.datacenterdynamics.com/en/news/aws-activates-project-rainier-cluster-of-nearly-500000-trainium2-chips/" TargetMode="External" Id="rId50" /><Relationship Type="http://schemas.openxmlformats.org/officeDocument/2006/relationships/hyperlink" Target="https://datacentremagazine.com/news/aws-how-500-000-trainium2-chips-power-project-rainier" TargetMode="External" Id="rId51" /><Relationship Type="http://schemas.openxmlformats.org/officeDocument/2006/relationships/hyperlink" Target="https://thenewstack.io/anthropic-amazon-aws-investment/" TargetMode="External" Id="rId52" /><Relationship Type="http://schemas.openxmlformats.org/officeDocument/2006/relationships/hyperlink" Target="https://www.tradingkey.com/analysis/stocks/us-stocks/261804457-anthropic-amazon-aws-trainium-openai-tradingkey" TargetMode="External" Id="rId53" /><Relationship Type="http://schemas.openxmlformats.org/officeDocument/2006/relationships/hyperlink" Target="https://finance.yahoo.com/sectors/technology/articles/anthropic-google-broadcom-tpu-deal-113234906.html" TargetMode="External" Id="rId54" /><Relationship Type="http://schemas.openxmlformats.org/officeDocument/2006/relationships/hyperlink" Target="https://lightsource.ai/blog/google-sold-anthropic-a-million-tpus" TargetMode="External" Id="rId55" /><Relationship Type="http://schemas.openxmlformats.org/officeDocument/2006/relationships/hyperlink" Target="https://oplexa.com/broadcom-google-tpu-deal-2026/" TargetMode="External" Id="rId56" /><Relationship Type="http://schemas.openxmlformats.org/officeDocument/2006/relationships/hyperlink" Target="https://privatecreditpulse.substack.com/p/anthropics-30b-every-eight-months" TargetMode="External" Id="rId57" /><Relationship Type="http://schemas.openxmlformats.org/officeDocument/2006/relationships/hyperlink" Target="https://www.anthropic.com/news/anthropic-raises-series-f-at-usd183b-post-money-valuation" TargetMode="External" Id="rId58" /><Relationship Type="http://schemas.openxmlformats.org/officeDocument/2006/relationships/hyperlink" Target="https://www.anthropic.com/news/anthropic-raises-30-billion-series-g-funding-380-billion-post-money-valuation" TargetMode="External" Id="rId59" /><Relationship Type="http://schemas.openxmlformats.org/officeDocument/2006/relationships/hyperlink" Target="https://www.cnbc.com/2023/10/27/google-commits-to-invest-2-billion-in-openai-competitor-anthropic.html" TargetMode="External" Id="rId60" /><Relationship Type="http://schemas.openxmlformats.org/officeDocument/2006/relationships/hyperlink" Target="https://www.cnbc.com/2025/05/16/anthropic-ai-credit-facility.html" TargetMode="External" Id="rId61" /><Relationship Type="http://schemas.openxmlformats.org/officeDocument/2006/relationships/hyperlink" Target="https://www.cnbc.com/2026/04/20/amazon-invest-up-to-25-billion-in-anthropic-part-of-ai-infrastructure.html" TargetMode="External" Id="rId62" /><Relationship Type="http://schemas.openxmlformats.org/officeDocument/2006/relationships/hyperlink" Target="https://fortune.com/2026/06/04/amazon-google-billions-anthropic-ipo/" TargetMode="External" Id="rId63" /><Relationship Type="http://schemas.openxmlformats.org/officeDocument/2006/relationships/hyperlink" Target="https://www.axios.com/2026/06/10/apollo-anthropic-blackstone-broadcom" TargetMode="External" Id="rId64" /><Relationship Type="http://schemas.openxmlformats.org/officeDocument/2006/relationships/hyperlink" Target="https://cryptobriefing.com/apollo-blackstone-anthropic-35b-debt-deal/" TargetMode="External" Id="rId65" /><Relationship Type="http://schemas.openxmlformats.org/officeDocument/2006/relationships/hyperlink" Target="https://www.pymnts.com/news/investment-tracker/ipo/2026/anthropic-seeks-billions-dollars-new-credit-amid-ipo-preparations/" TargetMode="External" Id="rId66" /><Relationship Type="http://schemas.openxmlformats.org/officeDocument/2006/relationships/hyperlink" Target="https://synthedia.substack.com/p/amazon-completes-4b-anthropic-investment" TargetMode="External" Id="rId67" /><Relationship Type="http://schemas.openxmlformats.org/officeDocument/2006/relationships/hyperlink" Target="https://stockanalysis.com/article/invest-in-anthropic-stock/" TargetMode="External" Id="rId68" /><Relationship Type="http://schemas.openxmlformats.org/officeDocument/2006/relationships/hyperlink" Target="https://en.wikipedia.org/wiki/Anthropic" TargetMode="External" Id="rId69" /><Relationship Type="http://schemas.openxmlformats.org/officeDocument/2006/relationships/hyperlink" Target="https://www.reveliolabs.com/companies/anthropic-pbc/employees/" TargetMode="External" Id="rId70" /><Relationship Type="http://schemas.openxmlformats.org/officeDocument/2006/relationships/hyperlink" Target="https://seo.ai/blog/how-many-people-work-at-anthropic" TargetMode="External" Id="rId71" /><Relationship Type="http://schemas.openxmlformats.org/officeDocument/2006/relationships/hyperlink" Target="https://www.makerstations.io/anthropic-employee-statistics/" TargetMode="External" Id="rId72" /><Relationship Type="http://schemas.openxmlformats.org/officeDocument/2006/relationships/hyperlink" Target="https://tracxn.com/d/companies/anthropic" TargetMode="External" Id="rId73" /><Relationship Type="http://schemas.openxmlformats.org/officeDocument/2006/relationships/hyperlink" Target="https://www.levels.fyi/companies/anthropic/salaries/" TargetMode="External" Id="rId74" /><Relationship Type="http://schemas.openxmlformats.org/officeDocument/2006/relationships/hyperlink" Target="https://www.levels.fyi/companies/anthropic/salaries/software-engineer" TargetMode="External" Id="rId75" /><Relationship Type="http://schemas.openxmlformats.org/officeDocument/2006/relationships/hyperlink" Target="https://www.levels.fyi/companies/anthropic/salaries/trust-and-safety" TargetMode="External" Id="rId76" /><Relationship Type="http://schemas.openxmlformats.org/officeDocument/2006/relationships/hyperlink" Target="https://www.nahc.io/blog/anthropic-salary-overview-how-much-do-employees-get-paid" TargetMode="External" Id="rId77" /><Relationship Type="http://schemas.openxmlformats.org/officeDocument/2006/relationships/hyperlink" Target="https://jobsbyculture.com/blog/anthropic-compensation-2026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Anthropic Operating Model - Controls</t>
        </is>
      </c>
    </row>
    <row r="3">
      <c r="A3" s="2" t="inlineStr">
        <is>
          <t>SCENARIO</t>
        </is>
      </c>
      <c r="B3" s="3" t="inlineStr">
        <is>
          <t>Base</t>
        </is>
      </c>
    </row>
    <row r="4">
      <c r="A4" s="2" t="inlineStr">
        <is>
          <t>BASIS</t>
        </is>
      </c>
      <c r="B4" s="3" t="inlineStr">
        <is>
          <t>Run-rate</t>
        </is>
      </c>
    </row>
    <row r="6">
      <c r="A6" s="4" t="inlineStr">
        <is>
          <t>Block index</t>
        </is>
      </c>
      <c r="B6" s="2">
        <f>IF(B3="Base",IF(B4="Run-rate",1,2),IF(B3="Best",IF(B4="Run-rate",3,4),IF(B4="Run-rate",5,6)))</f>
        <v/>
      </c>
    </row>
    <row r="8">
      <c r="A8" s="5" t="inlineStr">
        <is>
          <t>How it works</t>
        </is>
      </c>
      <c r="B8" s="6" t="inlineStr">
        <is>
          <t>Pick a SCENARIO and BASIS above. The P&amp;L Build sheet recomputes live via the block index in B6.</t>
        </is>
      </c>
    </row>
    <row r="9">
      <c r="A9" s="5" t="inlineStr">
        <is>
          <t>SCENARIO</t>
        </is>
      </c>
      <c r="B9" s="6" t="inlineStr">
        <is>
          <t>Base / Best / Worst flex 2027-32 revenue growth plus inference and training-intensity margin levers. 2022-26 are actuals and identical across scenarios.</t>
        </is>
      </c>
    </row>
    <row r="10">
      <c r="A10" s="5" t="inlineStr">
        <is>
          <t>BASIS</t>
        </is>
      </c>
      <c r="B10" s="6" t="inlineStr">
        <is>
          <t>Run-rate = annualized/exit basis (matches PitchBook TTM; 2026 ~breakeven). Recognized = GAAP-style recognized revenue (~50% of run-rate in 2026); workforce and capex are held at absolute levels, so the recognized view carries a wider operating loss.</t>
        </is>
      </c>
    </row>
    <row r="11">
      <c r="A11" s="5" t="inlineStr">
        <is>
          <t>Charts</t>
        </is>
      </c>
      <c r="B11" s="6" t="inlineStr">
        <is>
          <t>The Charts sheet is a fixed Base / Run-rate snapshot (renders without recalculation). The P&amp;L Build table is the live switchable view.</t>
        </is>
      </c>
    </row>
    <row r="12">
      <c r="A12" s="5" t="inlineStr">
        <is>
          <t>Recalc</t>
        </is>
      </c>
      <c r="B12" s="6" t="inlineStr">
        <is>
          <t>If figures look blank on open, press Ctrl+Alt+F9 (Excel) to force a full recalculation.</t>
        </is>
      </c>
    </row>
  </sheetData>
  <dataValidations count="2">
    <dataValidation sqref="B3" showDropDown="0" showInputMessage="0" showErrorMessage="0" allowBlank="0" type="list">
      <formula1>"Base,Best,Worst"</formula1>
    </dataValidation>
    <dataValidation sqref="B4" showDropDown="0" showInputMessage="0" showErrorMessage="0" allowBlank="0" type="list">
      <formula1>"Run-rate,Recognized"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Anthropic PBC - Operating Model 2022A-2032E  |  Base / Run-rate view  ($M unless noted).  Live Scenario/Basis switch: see Controls + "Live Switch" sheet.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100</v>
      </c>
      <c r="G4" s="15" t="n">
        <v>1000</v>
      </c>
      <c r="H4" s="15" t="n">
        <v>9000</v>
      </c>
      <c r="I4" s="15" t="n">
        <v>47000</v>
      </c>
      <c r="J4" s="15" t="n">
        <v>80000</v>
      </c>
      <c r="K4" s="15" t="n">
        <v>115000</v>
      </c>
      <c r="L4" s="15" t="n">
        <v>150000</v>
      </c>
      <c r="M4" s="15" t="n">
        <v>185000</v>
      </c>
      <c r="N4" s="15" t="n">
        <v>215000</v>
      </c>
      <c r="O4" s="15" t="n">
        <v>245000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5</v>
      </c>
      <c r="G29" s="15" t="n">
        <v>60</v>
      </c>
      <c r="H29" s="15" t="n">
        <v>300</v>
      </c>
      <c r="I29" s="15" t="n">
        <v>1000</v>
      </c>
      <c r="J29" s="15" t="n">
        <v>1700</v>
      </c>
      <c r="K29" s="15" t="n">
        <v>2400</v>
      </c>
      <c r="L29" s="15" t="n">
        <v>3100</v>
      </c>
      <c r="M29" s="15" t="n">
        <v>3700</v>
      </c>
      <c r="N29" s="15" t="n">
        <v>4200</v>
      </c>
      <c r="O29" s="15" t="n">
        <v>4600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2000</v>
      </c>
      <c r="G31" s="15" t="n">
        <v>40000</v>
      </c>
      <c r="H31" s="15" t="n">
        <v>250000</v>
      </c>
      <c r="I31" s="15" t="n">
        <v>900000</v>
      </c>
      <c r="J31" s="15" t="n">
        <v>1600000</v>
      </c>
      <c r="K31" s="15" t="n">
        <v>2300000</v>
      </c>
      <c r="L31" s="15" t="n">
        <v>3000000</v>
      </c>
      <c r="M31" s="15" t="n">
        <v>3600000</v>
      </c>
      <c r="N31" s="15" t="n">
        <v>4100000</v>
      </c>
      <c r="O31" s="15" t="n">
        <v>4500000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0.72</v>
      </c>
      <c r="G33" s="15" t="n">
        <v>16.8</v>
      </c>
      <c r="H33" s="15" t="n">
        <v>120</v>
      </c>
      <c r="I33" s="15" t="n">
        <v>486</v>
      </c>
      <c r="J33" s="15" t="n">
        <v>921.6</v>
      </c>
      <c r="K33" s="15" t="n">
        <v>1380</v>
      </c>
      <c r="L33" s="15" t="n">
        <v>1872</v>
      </c>
      <c r="M33" s="15" t="n">
        <v>2332.8</v>
      </c>
      <c r="N33" s="15" t="n">
        <v>2706</v>
      </c>
      <c r="O33" s="15" t="n">
        <v>3024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8</v>
      </c>
      <c r="G34" s="15" t="n">
        <v>120</v>
      </c>
      <c r="H34" s="15" t="n">
        <v>1300</v>
      </c>
      <c r="I34" s="15" t="n">
        <v>6600</v>
      </c>
      <c r="J34" s="15" t="n">
        <v>11200</v>
      </c>
      <c r="K34" s="15" t="n">
        <v>16100</v>
      </c>
      <c r="L34" s="15" t="n">
        <v>21000</v>
      </c>
      <c r="M34" s="15" t="n">
        <v>25900</v>
      </c>
      <c r="N34" s="15" t="n">
        <v>30100</v>
      </c>
      <c r="O34" s="15" t="n">
        <v>34300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33333.33333333334</v>
      </c>
      <c r="G36" s="15" t="n">
        <v>476190.4761904762</v>
      </c>
      <c r="H36" s="15" t="n">
        <v>4710144.927536231</v>
      </c>
      <c r="I36" s="15" t="n">
        <v>21153846.15384615</v>
      </c>
      <c r="J36" s="15" t="n">
        <v>33333333.33333333</v>
      </c>
      <c r="K36" s="15" t="n">
        <v>46264367.81609195</v>
      </c>
      <c r="L36" s="15" t="n">
        <v>58333333.33333334</v>
      </c>
      <c r="M36" s="15" t="n">
        <v>69623655.91397849</v>
      </c>
      <c r="N36" s="15" t="n">
        <v>78385416.66666667</v>
      </c>
      <c r="O36" s="15" t="n">
        <v>86616161.61616161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350000</v>
      </c>
      <c r="I37" s="15" t="n">
        <v>1100000</v>
      </c>
      <c r="J37" s="15" t="n">
        <v>1800000</v>
      </c>
      <c r="K37" s="15" t="n">
        <v>2500000</v>
      </c>
      <c r="L37" s="15" t="n">
        <v>3100000</v>
      </c>
      <c r="M37" s="15" t="n">
        <v>3600000</v>
      </c>
      <c r="N37" s="15" t="n">
        <v>4000000</v>
      </c>
      <c r="O37" s="15" t="n">
        <v>4300000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84</v>
      </c>
      <c r="I39" s="15" t="n">
        <v>290.4</v>
      </c>
      <c r="J39" s="15" t="n">
        <v>518.4</v>
      </c>
      <c r="K39" s="15" t="n">
        <v>750</v>
      </c>
      <c r="L39" s="15" t="n">
        <v>967.2</v>
      </c>
      <c r="M39" s="15" t="n">
        <v>1166.4</v>
      </c>
      <c r="N39" s="15" t="n">
        <v>1344</v>
      </c>
      <c r="O39" s="15" t="n">
        <v>1444.8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208.9942448275863</v>
      </c>
      <c r="I42" s="15" t="n">
        <v>807.0939130434782</v>
      </c>
      <c r="J42" s="15" t="n">
        <v>1661.652734976</v>
      </c>
      <c r="K42" s="15" t="n">
        <v>2387.504084810127</v>
      </c>
      <c r="L42" s="15" t="n">
        <v>2919.274877605264</v>
      </c>
      <c r="M42" s="15" t="n">
        <v>3484.791330221887</v>
      </c>
      <c r="N42" s="15" t="n">
        <v>3753.977692553846</v>
      </c>
      <c r="O42" s="15" t="n">
        <v>4111.71117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10</v>
      </c>
      <c r="G43" s="15" t="n">
        <v>130</v>
      </c>
      <c r="H43" s="15" t="n">
        <v>1150</v>
      </c>
      <c r="I43" s="15" t="n">
        <v>4400</v>
      </c>
      <c r="J43" s="15" t="n">
        <v>6600</v>
      </c>
      <c r="K43" s="15" t="n">
        <v>8600</v>
      </c>
      <c r="L43" s="15" t="n">
        <v>10500</v>
      </c>
      <c r="M43" s="15" t="n">
        <v>12000</v>
      </c>
      <c r="N43" s="15" t="n">
        <v>13300</v>
      </c>
      <c r="O43" s="15" t="n">
        <v>14400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55</v>
      </c>
      <c r="H45" s="15" t="n">
        <v>640</v>
      </c>
      <c r="I45" s="15" t="n">
        <v>2600</v>
      </c>
      <c r="J45" s="15" t="n">
        <v>4000</v>
      </c>
      <c r="K45" s="15" t="n">
        <v>5300</v>
      </c>
      <c r="L45" s="15" t="n">
        <v>6600</v>
      </c>
      <c r="M45" s="15" t="n">
        <v>7700</v>
      </c>
      <c r="N45" s="15" t="n">
        <v>8600</v>
      </c>
      <c r="O45" s="15" t="n">
        <v>9400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15</v>
      </c>
      <c r="H47" s="15" t="n">
        <v>90</v>
      </c>
      <c r="I47" s="15" t="n">
        <v>260</v>
      </c>
      <c r="J47" s="15" t="n">
        <v>420</v>
      </c>
      <c r="K47" s="15" t="n">
        <v>560</v>
      </c>
      <c r="L47" s="15" t="n">
        <v>690</v>
      </c>
      <c r="M47" s="15" t="n">
        <v>800</v>
      </c>
      <c r="N47" s="15" t="n">
        <v>890</v>
      </c>
      <c r="O47" s="15" t="n">
        <v>960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9.720000000000001</v>
      </c>
      <c r="H50" s="15" t="n">
        <v>80.19</v>
      </c>
      <c r="I50" s="15" t="n">
        <v>305.76</v>
      </c>
      <c r="J50" s="15" t="n">
        <v>564.48</v>
      </c>
      <c r="K50" s="15" t="n">
        <v>839.7311999999999</v>
      </c>
      <c r="L50" s="15" t="n">
        <v>1116.972</v>
      </c>
      <c r="M50" s="15" t="n">
        <v>1372.8</v>
      </c>
      <c r="N50" s="15" t="n">
        <v>1603.602</v>
      </c>
      <c r="O50" s="15" t="n">
        <v>1824.768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15</v>
      </c>
      <c r="H52" s="15" t="n">
        <v>75</v>
      </c>
      <c r="I52" s="15" t="n">
        <v>170</v>
      </c>
      <c r="J52" s="15" t="n">
        <v>160</v>
      </c>
      <c r="K52" s="15" t="n">
        <v>140</v>
      </c>
      <c r="L52" s="15" t="n">
        <v>130</v>
      </c>
      <c r="M52" s="15" t="n">
        <v>110</v>
      </c>
      <c r="N52" s="15" t="n">
        <v>90</v>
      </c>
      <c r="O52" s="15" t="n">
        <v>70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0.375</v>
      </c>
      <c r="H53" s="15" t="n">
        <v>1.875</v>
      </c>
      <c r="I53" s="15" t="n">
        <v>5.1</v>
      </c>
      <c r="J53" s="15" t="n">
        <v>4.8</v>
      </c>
      <c r="K53" s="15" t="n">
        <v>4.48</v>
      </c>
      <c r="L53" s="15" t="n">
        <v>4.16</v>
      </c>
      <c r="M53" s="15" t="n">
        <v>3.74</v>
      </c>
      <c r="N53" s="15" t="n">
        <v>3.06</v>
      </c>
      <c r="O53" s="15" t="n">
        <v>2.45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20</v>
      </c>
      <c r="H54" s="15" t="n">
        <v>150</v>
      </c>
      <c r="I54" s="15" t="n">
        <v>600</v>
      </c>
      <c r="J54" s="15" t="n">
        <v>1050</v>
      </c>
      <c r="K54" s="15" t="n">
        <v>1500</v>
      </c>
      <c r="L54" s="15" t="n">
        <v>1950</v>
      </c>
      <c r="M54" s="15" t="n">
        <v>2350</v>
      </c>
      <c r="N54" s="15" t="n">
        <v>2700</v>
      </c>
      <c r="O54" s="15" t="n">
        <v>3000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9.6</v>
      </c>
      <c r="H56" s="15" t="n">
        <v>81</v>
      </c>
      <c r="I56" s="15" t="n">
        <v>360</v>
      </c>
      <c r="J56" s="15" t="n">
        <v>655.2</v>
      </c>
      <c r="K56" s="15" t="n">
        <v>972</v>
      </c>
      <c r="L56" s="15" t="n">
        <v>1310.4</v>
      </c>
      <c r="M56" s="15" t="n">
        <v>1635.6</v>
      </c>
      <c r="N56" s="15" t="n">
        <v>1944</v>
      </c>
      <c r="O56" s="15" t="n">
        <v>2232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500</v>
      </c>
      <c r="G57" s="15" t="n">
        <v>3000</v>
      </c>
      <c r="H57" s="15" t="n">
        <v>9000</v>
      </c>
      <c r="I57" s="15" t="n">
        <v>20000</v>
      </c>
      <c r="J57" s="15" t="n">
        <v>30000</v>
      </c>
      <c r="K57" s="15" t="n">
        <v>38000</v>
      </c>
      <c r="L57" s="15" t="n">
        <v>45000</v>
      </c>
      <c r="M57" s="15" t="n">
        <v>50000</v>
      </c>
      <c r="N57" s="15" t="n">
        <v>54000</v>
      </c>
      <c r="O57" s="15" t="n">
        <v>57000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1.8</v>
      </c>
      <c r="G59" s="15" t="n">
        <v>11.52</v>
      </c>
      <c r="H59" s="15" t="n">
        <v>36.72</v>
      </c>
      <c r="I59" s="15" t="n">
        <v>86.40000000000001</v>
      </c>
      <c r="J59" s="15" t="n">
        <v>135</v>
      </c>
      <c r="K59" s="15" t="n">
        <v>175.56</v>
      </c>
      <c r="L59" s="15" t="n">
        <v>213.3</v>
      </c>
      <c r="M59" s="15" t="n">
        <v>243</v>
      </c>
      <c r="N59" s="15" t="n">
        <v>268.92</v>
      </c>
      <c r="O59" s="15" t="n">
        <v>287.28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17.72</v>
      </c>
      <c r="G60" s="21" t="n">
        <v>300.115</v>
      </c>
      <c r="H60" s="21" t="n">
        <v>3188.779244827586</v>
      </c>
      <c r="I60" s="21" t="n">
        <v>13998.75391304348</v>
      </c>
      <c r="J60" s="21" t="n">
        <v>23319.132734976</v>
      </c>
      <c r="K60" s="21" t="n">
        <v>32789.27528481012</v>
      </c>
      <c r="L60" s="21" t="n">
        <v>41925.30687760528</v>
      </c>
      <c r="M60" s="21" t="n">
        <v>50563.13133022188</v>
      </c>
      <c r="N60" s="21" t="n">
        <v>57976.55969255384</v>
      </c>
      <c r="O60" s="21" t="n">
        <v>64889.00917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82.28</v>
      </c>
      <c r="G62" s="21" t="n">
        <v>699.885</v>
      </c>
      <c r="H62" s="21" t="n">
        <v>5811.220755172414</v>
      </c>
      <c r="I62" s="21" t="n">
        <v>33001.24608695653</v>
      </c>
      <c r="J62" s="21" t="n">
        <v>56680.867265024</v>
      </c>
      <c r="K62" s="21" t="n">
        <v>82210.72471518988</v>
      </c>
      <c r="L62" s="21" t="n">
        <v>108074.6931223947</v>
      </c>
      <c r="M62" s="21" t="n">
        <v>134436.8686697781</v>
      </c>
      <c r="N62" s="21" t="n">
        <v>157023.4403074462</v>
      </c>
      <c r="O62" s="21" t="n">
        <v>180110.99083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23.66515289131093</v>
      </c>
      <c r="G64" s="22" t="n">
        <v>184.4837401041781</v>
      </c>
      <c r="H64" s="22" t="n">
        <v>1401.404743476602</v>
      </c>
      <c r="I64" s="22" t="n">
        <v>10794.69046433905</v>
      </c>
      <c r="J64" s="22" t="n">
        <v>19156.81561255772</v>
      </c>
      <c r="K64" s="22" t="n">
        <v>30990.37723722057</v>
      </c>
      <c r="L64" s="22" t="n">
        <v>45447.07122129093</v>
      </c>
      <c r="M64" s="22" t="n">
        <v>59996.76834076789</v>
      </c>
      <c r="N64" s="22" t="n">
        <v>76295.27359442975</v>
      </c>
      <c r="O64" s="22" t="n">
        <v>90412.2565284954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18.68301544050863</v>
      </c>
      <c r="G65" s="22" t="n">
        <v>151.2161804132607</v>
      </c>
      <c r="H65" s="22" t="n">
        <v>1208.107537479829</v>
      </c>
      <c r="I65" s="22" t="n">
        <v>9386.687360294822</v>
      </c>
      <c r="J65" s="22" t="n">
        <v>16857.9977390508</v>
      </c>
      <c r="K65" s="22" t="n">
        <v>27459.82793171443</v>
      </c>
      <c r="L65" s="22" t="n">
        <v>40663.16898747084</v>
      </c>
      <c r="M65" s="22" t="n">
        <v>53770.68860729197</v>
      </c>
      <c r="N65" s="22" t="n">
        <v>68470.1173283344</v>
      </c>
      <c r="O65" s="22" t="n">
        <v>81229.76172482008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4.982137450802301</v>
      </c>
      <c r="G66" s="22" t="n">
        <v>33.26755969091735</v>
      </c>
      <c r="H66" s="22" t="n">
        <v>193.2972059967728</v>
      </c>
      <c r="I66" s="22" t="n">
        <v>1408.003104044224</v>
      </c>
      <c r="J66" s="22" t="n">
        <v>2298.817873506926</v>
      </c>
      <c r="K66" s="22" t="n">
        <v>3530.549305506143</v>
      </c>
      <c r="L66" s="22" t="n">
        <v>4783.902233820098</v>
      </c>
      <c r="M66" s="22" t="n">
        <v>6226.079733475911</v>
      </c>
      <c r="N66" s="22" t="n">
        <v>7825.156266095356</v>
      </c>
      <c r="O66" s="22" t="n">
        <v>9182.494803675314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12.45534362700575</v>
      </c>
      <c r="G67" s="15" t="n">
        <v>60.48647216530428</v>
      </c>
      <c r="H67" s="15" t="n">
        <v>241.6215074959658</v>
      </c>
      <c r="I67" s="15" t="n">
        <v>1173.335920036853</v>
      </c>
      <c r="J67" s="15" t="n">
        <v>1532.545249004618</v>
      </c>
      <c r="K67" s="15" t="n">
        <v>1961.416280836745</v>
      </c>
      <c r="L67" s="15" t="n">
        <v>2391.951116910049</v>
      </c>
      <c r="M67" s="15" t="n">
        <v>2830.036242489051</v>
      </c>
      <c r="N67" s="15" t="n">
        <v>3260.481777539732</v>
      </c>
      <c r="O67" s="15" t="n">
        <v>3531.728770644352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2761939.368278734</v>
      </c>
      <c r="H68" s="15" t="n">
        <v>2206589.109552199</v>
      </c>
      <c r="I68" s="15" t="n">
        <v>3214618.959005076</v>
      </c>
      <c r="J68" s="15" t="n">
        <v>2469855.356977628</v>
      </c>
      <c r="K68" s="15" t="n">
        <v>2239059.681320485</v>
      </c>
      <c r="L68" s="15" t="n">
        <v>2113964.752019486</v>
      </c>
      <c r="M68" s="15" t="n">
        <v>2095547.014060756</v>
      </c>
      <c r="N68" s="15" t="n">
        <v>2126863.520900021</v>
      </c>
      <c r="O68" s="15" t="n">
        <v>2103471.572748274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23.68515289131093</v>
      </c>
      <c r="G70" s="22" t="n">
        <v>184.8837401041781</v>
      </c>
      <c r="H70" s="22" t="n">
        <v>1457.804743476602</v>
      </c>
      <c r="I70" s="22" t="n">
        <v>11092.69046433905</v>
      </c>
      <c r="J70" s="22" t="n">
        <v>19780.41561255772</v>
      </c>
      <c r="K70" s="22" t="n">
        <v>31982.37723722057</v>
      </c>
      <c r="L70" s="22" t="n">
        <v>46796.67122129093</v>
      </c>
      <c r="M70" s="22" t="n">
        <v>61701.96834076788</v>
      </c>
      <c r="N70" s="22" t="n">
        <v>78295.27359442975</v>
      </c>
      <c r="O70" s="22" t="n">
        <v>92676.2565284954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10.65831880108992</v>
      </c>
      <c r="G71" s="22" t="n">
        <v>73.95349604167124</v>
      </c>
      <c r="H71" s="22" t="n">
        <v>510.2316602168107</v>
      </c>
      <c r="I71" s="22" t="n">
        <v>3327.807139301714</v>
      </c>
      <c r="J71" s="22" t="n">
        <v>5538.516371516163</v>
      </c>
      <c r="K71" s="22" t="n">
        <v>8315.41808167735</v>
      </c>
      <c r="L71" s="22" t="n">
        <v>11699.16780532273</v>
      </c>
      <c r="M71" s="22" t="n">
        <v>14808.47240178429</v>
      </c>
      <c r="N71" s="22" t="n">
        <v>18007.91292671884</v>
      </c>
      <c r="O71" s="22" t="n">
        <v>20388.77643626899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5.921288222827733</v>
      </c>
      <c r="G72" s="22" t="n">
        <v>36.97674802083562</v>
      </c>
      <c r="H72" s="22" t="n">
        <v>218.6707115214903</v>
      </c>
      <c r="I72" s="22" t="n">
        <v>1331.122855720685</v>
      </c>
      <c r="J72" s="22" t="n">
        <v>2175.845717381349</v>
      </c>
      <c r="K72" s="22" t="n">
        <v>3198.237723722058</v>
      </c>
      <c r="L72" s="22" t="n">
        <v>4679.667122129094</v>
      </c>
      <c r="M72" s="22" t="n">
        <v>5553.177150669109</v>
      </c>
      <c r="N72" s="22" t="n">
        <v>7046.574623498677</v>
      </c>
      <c r="O72" s="22" t="n">
        <v>7414.100522279632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40.26475991522859</v>
      </c>
      <c r="G73" s="22" t="n">
        <v>295.8139841666849</v>
      </c>
      <c r="H73" s="22" t="n">
        <v>2186.707115214903</v>
      </c>
      <c r="I73" s="22" t="n">
        <v>15751.62045936145</v>
      </c>
      <c r="J73" s="22" t="n">
        <v>27494.77770145523</v>
      </c>
      <c r="K73" s="22" t="n">
        <v>43496.03304261998</v>
      </c>
      <c r="L73" s="22" t="n">
        <v>63175.50614874277</v>
      </c>
      <c r="M73" s="22" t="n">
        <v>82063.61789322129</v>
      </c>
      <c r="N73" s="22" t="n">
        <v>103349.7611446473</v>
      </c>
      <c r="O73" s="22" t="n">
        <v>120479.133487044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3358566.567122717</v>
      </c>
      <c r="F74" s="15" t="n">
        <v>3155545.447901926</v>
      </c>
      <c r="G74" s="15" t="n">
        <v>2862715.975806628</v>
      </c>
      <c r="H74" s="15" t="n">
        <v>2822349.250838539</v>
      </c>
      <c r="I74" s="15" t="n">
        <v>4051153.262870609</v>
      </c>
      <c r="J74" s="15" t="n">
        <v>4176724.043189813</v>
      </c>
      <c r="K74" s="15" t="n">
        <v>4555605.565696159</v>
      </c>
      <c r="L74" s="15" t="n">
        <v>5105091.405959012</v>
      </c>
      <c r="M74" s="15" t="n">
        <v>5419767.489391774</v>
      </c>
      <c r="N74" s="15" t="n">
        <v>5930671.886887036</v>
      </c>
      <c r="O74" s="15" t="n">
        <v>6138599.161393358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1798076.923076923</v>
      </c>
      <c r="F75" s="15" t="n">
        <v>12760000</v>
      </c>
      <c r="G75" s="15" t="n">
        <v>103333333.3333333</v>
      </c>
      <c r="H75" s="15" t="n">
        <v>774782608.6956522</v>
      </c>
      <c r="I75" s="15" t="n">
        <v>3888181818.181818</v>
      </c>
      <c r="J75" s="15" t="n">
        <v>6582857142.857143</v>
      </c>
      <c r="K75" s="15" t="n">
        <v>9547804878.048782</v>
      </c>
      <c r="L75" s="15" t="n">
        <v>12375000000</v>
      </c>
      <c r="M75" s="15" t="n">
        <v>15141538461.53846</v>
      </c>
      <c r="N75" s="15" t="n">
        <v>17426315789.47369</v>
      </c>
      <c r="O75" s="15" t="n">
        <v>19626486486.48649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3269230.769230769</v>
      </c>
      <c r="F77" s="15" t="n">
        <v>22000000</v>
      </c>
      <c r="G77" s="15" t="n">
        <v>166666666.6666667</v>
      </c>
      <c r="H77" s="15" t="n">
        <v>1173913043.478261</v>
      </c>
      <c r="I77" s="15" t="n">
        <v>5554545454.545454</v>
      </c>
      <c r="J77" s="15" t="n">
        <v>9142857142.857143</v>
      </c>
      <c r="K77" s="15" t="n">
        <v>12902439024.39025</v>
      </c>
      <c r="L77" s="15" t="n">
        <v>16500000000</v>
      </c>
      <c r="M77" s="15" t="n">
        <v>19923076923.07692</v>
      </c>
      <c r="N77" s="15" t="n">
        <v>22631578947.36842</v>
      </c>
      <c r="O77" s="15" t="n">
        <v>25162162162.16216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8.5</v>
      </c>
      <c r="F79" s="15" t="n">
        <v>55.00000000000001</v>
      </c>
      <c r="G79" s="15" t="n">
        <v>400</v>
      </c>
      <c r="H79" s="15" t="n">
        <v>2700</v>
      </c>
      <c r="I79" s="15" t="n">
        <v>12220</v>
      </c>
      <c r="J79" s="15" t="n">
        <v>19200</v>
      </c>
      <c r="K79" s="15" t="n">
        <v>26450</v>
      </c>
      <c r="L79" s="15" t="n">
        <v>33000</v>
      </c>
      <c r="M79" s="15" t="n">
        <v>38850</v>
      </c>
      <c r="N79" s="15" t="n">
        <v>43000</v>
      </c>
      <c r="O79" s="15" t="n">
        <v>46550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3</v>
      </c>
      <c r="G80" s="15" t="n">
        <v>20</v>
      </c>
      <c r="H80" s="15" t="n">
        <v>120</v>
      </c>
      <c r="I80" s="15" t="n">
        <v>480</v>
      </c>
      <c r="J80" s="15" t="n">
        <v>800</v>
      </c>
      <c r="K80" s="15" t="n">
        <v>1150</v>
      </c>
      <c r="L80" s="15" t="n">
        <v>1500</v>
      </c>
      <c r="M80" s="15" t="n">
        <v>1850</v>
      </c>
      <c r="N80" s="15" t="n">
        <v>2150</v>
      </c>
      <c r="O80" s="15" t="n">
        <v>2450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0.054</v>
      </c>
      <c r="G82" s="15" t="n">
        <v>0.32</v>
      </c>
      <c r="H82" s="15" t="n">
        <v>1.68</v>
      </c>
      <c r="I82" s="15" t="n">
        <v>5.76</v>
      </c>
      <c r="J82" s="15" t="n">
        <v>8.800000000000001</v>
      </c>
      <c r="K82" s="15" t="n">
        <v>11.5</v>
      </c>
      <c r="L82" s="15" t="n">
        <v>13.5</v>
      </c>
      <c r="M82" s="15" t="n">
        <v>16.65</v>
      </c>
      <c r="N82" s="15" t="n">
        <v>17.2</v>
      </c>
      <c r="O82" s="15" t="n">
        <v>19.6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1</v>
      </c>
      <c r="G83" s="15" t="n">
        <v>6</v>
      </c>
      <c r="H83" s="15" t="n">
        <v>35</v>
      </c>
      <c r="I83" s="15" t="n">
        <v>120</v>
      </c>
      <c r="J83" s="15" t="n">
        <v>190</v>
      </c>
      <c r="K83" s="15" t="n">
        <v>260</v>
      </c>
      <c r="L83" s="15" t="n">
        <v>330</v>
      </c>
      <c r="M83" s="15" t="n">
        <v>400</v>
      </c>
      <c r="N83" s="15" t="n">
        <v>460</v>
      </c>
      <c r="O83" s="15" t="n">
        <v>520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2</v>
      </c>
      <c r="G84" s="15" t="n">
        <v>10</v>
      </c>
      <c r="H84" s="15" t="n">
        <v>55</v>
      </c>
      <c r="I84" s="15" t="n">
        <v>200</v>
      </c>
      <c r="J84" s="15" t="n">
        <v>320</v>
      </c>
      <c r="K84" s="15" t="n">
        <v>440</v>
      </c>
      <c r="L84" s="15" t="n">
        <v>560</v>
      </c>
      <c r="M84" s="15" t="n">
        <v>680</v>
      </c>
      <c r="N84" s="15" t="n">
        <v>780</v>
      </c>
      <c r="O84" s="15" t="n">
        <v>880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2.013237995761429</v>
      </c>
      <c r="G87" s="15" t="n">
        <v>11.8325593666674</v>
      </c>
      <c r="H87" s="15" t="n">
        <v>76.5347490325216</v>
      </c>
      <c r="I87" s="15" t="n">
        <v>472.5486137808434</v>
      </c>
      <c r="J87" s="15" t="n">
        <v>769.8537756407466</v>
      </c>
      <c r="K87" s="15" t="n">
        <v>1130.89685910812</v>
      </c>
      <c r="L87" s="15" t="n">
        <v>1579.387653718569</v>
      </c>
      <c r="M87" s="15" t="n">
        <v>1969.526829437311</v>
      </c>
      <c r="N87" s="15" t="n">
        <v>2377.044506326887</v>
      </c>
      <c r="O87" s="15" t="n">
        <v>2650.540936714969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120000</v>
      </c>
      <c r="G88" s="15" t="n">
        <v>700000</v>
      </c>
      <c r="H88" s="15" t="n">
        <v>3500000</v>
      </c>
      <c r="I88" s="15" t="n">
        <v>12000000</v>
      </c>
      <c r="J88" s="15" t="n">
        <v>19000000</v>
      </c>
      <c r="K88" s="15" t="n">
        <v>26000000</v>
      </c>
      <c r="L88" s="15" t="n">
        <v>33000000</v>
      </c>
      <c r="M88" s="15" t="n">
        <v>39000000</v>
      </c>
      <c r="N88" s="15" t="n">
        <v>44000000</v>
      </c>
      <c r="O88" s="15" t="n">
        <v>48000000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0.48</v>
      </c>
      <c r="G90" s="15" t="n">
        <v>2.66</v>
      </c>
      <c r="H90" s="15" t="n">
        <v>12.6</v>
      </c>
      <c r="I90" s="15" t="n">
        <v>42</v>
      </c>
      <c r="J90" s="15" t="n">
        <v>64.59999999999999</v>
      </c>
      <c r="K90" s="15" t="n">
        <v>85.8</v>
      </c>
      <c r="L90" s="15" t="n">
        <v>105.6</v>
      </c>
      <c r="M90" s="15" t="n">
        <v>124.8</v>
      </c>
      <c r="N90" s="15" t="n">
        <v>136.4</v>
      </c>
      <c r="O90" s="15" t="n">
        <v>144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84.8</v>
      </c>
      <c r="G91" s="15" t="n">
        <v>747.9</v>
      </c>
      <c r="H91" s="15" t="n">
        <v>6424</v>
      </c>
      <c r="I91" s="15" t="n">
        <v>35342.00000000001</v>
      </c>
      <c r="J91" s="15" t="n">
        <v>61142.00000000001</v>
      </c>
      <c r="K91" s="15" t="n">
        <v>88719.99999999999</v>
      </c>
      <c r="L91" s="15" t="n">
        <v>116478</v>
      </c>
      <c r="M91" s="15" t="n">
        <v>144676</v>
      </c>
      <c r="N91" s="15" t="n">
        <v>168647</v>
      </c>
      <c r="O91" s="15" t="n">
        <v>193038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2.3744</v>
      </c>
      <c r="G93" s="15" t="n">
        <v>20.1933</v>
      </c>
      <c r="H93" s="15" t="n">
        <v>167.024</v>
      </c>
      <c r="I93" s="15" t="n">
        <v>883.5500000000002</v>
      </c>
      <c r="J93" s="15" t="n">
        <v>1467.408</v>
      </c>
      <c r="K93" s="15" t="n">
        <v>2129.28</v>
      </c>
      <c r="L93" s="15" t="n">
        <v>2678.994</v>
      </c>
      <c r="M93" s="15" t="n">
        <v>3327.547999999999</v>
      </c>
      <c r="N93" s="15" t="n">
        <v>3710.234</v>
      </c>
      <c r="O93" s="15" t="n">
        <v>4246.835999999999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1.6</v>
      </c>
      <c r="G95" s="15" t="n">
        <v>36</v>
      </c>
      <c r="H95" s="15" t="n">
        <v>454.9999999999999</v>
      </c>
      <c r="I95" s="15" t="n">
        <v>2508</v>
      </c>
      <c r="J95" s="15" t="n">
        <v>4480</v>
      </c>
      <c r="K95" s="15" t="n">
        <v>6440</v>
      </c>
      <c r="L95" s="15" t="n">
        <v>8400</v>
      </c>
      <c r="M95" s="15" t="n">
        <v>10101</v>
      </c>
      <c r="N95" s="15" t="n">
        <v>11739</v>
      </c>
      <c r="O95" s="15" t="n">
        <v>13034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0.48</v>
      </c>
      <c r="G97" s="15" t="n">
        <v>10.8</v>
      </c>
      <c r="H97" s="15" t="n">
        <v>127.4</v>
      </c>
      <c r="I97" s="15" t="n">
        <v>501.6</v>
      </c>
      <c r="J97" s="15" t="n">
        <v>896</v>
      </c>
      <c r="K97" s="15" t="n">
        <v>1159.2</v>
      </c>
      <c r="L97" s="15" t="n">
        <v>1512</v>
      </c>
      <c r="M97" s="15" t="n">
        <v>1717.17</v>
      </c>
      <c r="N97" s="15" t="n">
        <v>1995.63</v>
      </c>
      <c r="O97" s="15" t="n">
        <v>1955.1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0.3333333333333333</v>
      </c>
      <c r="G99" s="15" t="n">
        <v>3</v>
      </c>
      <c r="H99" s="15" t="n">
        <v>12</v>
      </c>
      <c r="I99" s="15" t="n">
        <v>33.33333333333334</v>
      </c>
      <c r="J99" s="15" t="n">
        <v>53.125</v>
      </c>
      <c r="K99" s="15" t="n">
        <v>70.58823529411765</v>
      </c>
      <c r="L99" s="15" t="n">
        <v>86.11111111111111</v>
      </c>
      <c r="M99" s="15" t="n">
        <v>97.36842105263158</v>
      </c>
      <c r="N99" s="15" t="n">
        <v>105</v>
      </c>
      <c r="O99" s="15" t="n">
        <v>109.5238095238095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0.06</v>
      </c>
      <c r="G101" s="15" t="n">
        <v>0.57</v>
      </c>
      <c r="H101" s="15" t="n">
        <v>2.4</v>
      </c>
      <c r="I101" s="15" t="n">
        <v>7.000000000000001</v>
      </c>
      <c r="J101" s="15" t="n">
        <v>11.58125</v>
      </c>
      <c r="K101" s="15" t="n">
        <v>15.88235294117647</v>
      </c>
      <c r="L101" s="15" t="n">
        <v>19.97777777777778</v>
      </c>
      <c r="M101" s="15" t="n">
        <v>23.17368421052631</v>
      </c>
      <c r="N101" s="15" t="n">
        <v>25.62</v>
      </c>
      <c r="O101" s="15" t="n">
        <v>27.38095238095238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20</v>
      </c>
      <c r="G102" s="15" t="n">
        <v>150</v>
      </c>
      <c r="H102" s="15" t="n">
        <v>800</v>
      </c>
      <c r="I102" s="15" t="n">
        <v>2600</v>
      </c>
      <c r="J102" s="15" t="n">
        <v>4200</v>
      </c>
      <c r="K102" s="15" t="n">
        <v>5800</v>
      </c>
      <c r="L102" s="15" t="n">
        <v>7300</v>
      </c>
      <c r="M102" s="15" t="n">
        <v>8600</v>
      </c>
      <c r="N102" s="15" t="n">
        <v>9700</v>
      </c>
      <c r="O102" s="15" t="n">
        <v>10600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0.12</v>
      </c>
      <c r="G104" s="15" t="n">
        <v>0.825</v>
      </c>
      <c r="H104" s="15" t="n">
        <v>4</v>
      </c>
      <c r="I104" s="15" t="n">
        <v>11.7</v>
      </c>
      <c r="J104" s="15" t="n">
        <v>17.64</v>
      </c>
      <c r="K104" s="15" t="n">
        <v>23.2</v>
      </c>
      <c r="L104" s="15" t="n">
        <v>27.74</v>
      </c>
      <c r="M104" s="15" t="n">
        <v>30.96</v>
      </c>
      <c r="N104" s="15" t="n">
        <v>33.95</v>
      </c>
      <c r="O104" s="15" t="n">
        <v>36.04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9.693948051948052</v>
      </c>
      <c r="F105" s="21" t="n">
        <v>63.58163799576143</v>
      </c>
      <c r="G105" s="21" t="n">
        <v>463.2008593666674</v>
      </c>
      <c r="H105" s="21" t="n">
        <v>3181.638749032521</v>
      </c>
      <c r="I105" s="21" t="n">
        <v>14464.15861378085</v>
      </c>
      <c r="J105" s="21" t="n">
        <v>22945.88302564074</v>
      </c>
      <c r="K105" s="21" t="n">
        <v>31705.7592120493</v>
      </c>
      <c r="L105" s="21" t="n">
        <v>39827.19943149634</v>
      </c>
      <c r="M105" s="21" t="n">
        <v>47139.82851364784</v>
      </c>
      <c r="N105" s="21" t="n">
        <v>52536.07850632688</v>
      </c>
      <c r="O105" s="21" t="n">
        <v>57029.49788909592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0.03060519480519486</v>
      </c>
      <c r="F106" s="25" t="n">
        <v>0.3641836200423857</v>
      </c>
      <c r="G106" s="25" t="n">
        <v>0.5367991406333326</v>
      </c>
      <c r="H106" s="25" t="n">
        <v>0.6464845834408309</v>
      </c>
      <c r="I106" s="25" t="n">
        <v>0.6922519443876416</v>
      </c>
      <c r="J106" s="25" t="n">
        <v>0.7131764621794907</v>
      </c>
      <c r="K106" s="25" t="n">
        <v>0.72429774598218</v>
      </c>
      <c r="L106" s="25" t="n">
        <v>0.7344853371233577</v>
      </c>
      <c r="M106" s="25" t="n">
        <v>0.7451901161424441</v>
      </c>
      <c r="N106" s="25" t="n">
        <v>0.7556461464822005</v>
      </c>
      <c r="O106" s="25" t="n">
        <v>0.7672265392281798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10.5</v>
      </c>
      <c r="F115" s="15" t="n">
        <v>36</v>
      </c>
      <c r="G115" s="15" t="n">
        <v>1050</v>
      </c>
      <c r="H115" s="15" t="n">
        <v>1215</v>
      </c>
      <c r="I115" s="15" t="n">
        <v>6063</v>
      </c>
      <c r="J115" s="15" t="n">
        <v>8400</v>
      </c>
      <c r="K115" s="15" t="n">
        <v>10350</v>
      </c>
      <c r="L115" s="15" t="n">
        <v>11700</v>
      </c>
      <c r="M115" s="15" t="n">
        <v>12765</v>
      </c>
      <c r="N115" s="15" t="n">
        <v>13545</v>
      </c>
      <c r="O115" s="15" t="n">
        <v>13965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41</v>
      </c>
      <c r="F117" s="15" t="n">
        <v>145</v>
      </c>
      <c r="G117" s="15" t="n">
        <v>4050</v>
      </c>
      <c r="H117" s="15" t="n">
        <v>4950</v>
      </c>
      <c r="I117" s="15" t="n">
        <v>24440</v>
      </c>
      <c r="J117" s="15" t="n">
        <v>34400</v>
      </c>
      <c r="K117" s="15" t="n">
        <v>42550</v>
      </c>
      <c r="L117" s="15" t="n">
        <v>48000</v>
      </c>
      <c r="M117" s="15" t="n">
        <v>52725</v>
      </c>
      <c r="N117" s="15" t="n">
        <v>55900</v>
      </c>
      <c r="O117" s="15" t="n">
        <v>57575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63</v>
      </c>
      <c r="F118" s="21" t="n">
        <v>226.6</v>
      </c>
      <c r="G118" s="21" t="n">
        <v>4376.5</v>
      </c>
      <c r="H118" s="21" t="n">
        <v>6236</v>
      </c>
      <c r="I118" s="21" t="n">
        <v>28150</v>
      </c>
      <c r="J118" s="21" t="n">
        <v>39946</v>
      </c>
      <c r="K118" s="21" t="n">
        <v>49680</v>
      </c>
      <c r="L118" s="21" t="n">
        <v>56532</v>
      </c>
      <c r="M118" s="21" t="n">
        <v>62347.5</v>
      </c>
      <c r="N118" s="21" t="n">
        <v>66359.5</v>
      </c>
      <c r="O118" s="21" t="n">
        <v>68869.5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5.25</v>
      </c>
      <c r="F142" s="15" t="n">
        <v>23.25</v>
      </c>
      <c r="G142" s="15" t="n">
        <v>543</v>
      </c>
      <c r="H142" s="15" t="n">
        <v>1132.5</v>
      </c>
      <c r="I142" s="15" t="n">
        <v>3639</v>
      </c>
      <c r="J142" s="15" t="n">
        <v>7231.5</v>
      </c>
      <c r="K142" s="15" t="n">
        <v>9375</v>
      </c>
      <c r="L142" s="15" t="n">
        <v>11025</v>
      </c>
      <c r="M142" s="15" t="n">
        <v>12232.5</v>
      </c>
      <c r="N142" s="15" t="n">
        <v>13155</v>
      </c>
      <c r="O142" s="15" t="n">
        <v>13755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5.75</v>
      </c>
      <c r="F147" s="21" t="n">
        <v>25.75</v>
      </c>
      <c r="G147" s="21" t="n">
        <v>555.5</v>
      </c>
      <c r="H147" s="21" t="n">
        <v>1189</v>
      </c>
      <c r="I147" s="21" t="n">
        <v>3975</v>
      </c>
      <c r="J147" s="21" t="n">
        <v>8205.5</v>
      </c>
      <c r="K147" s="21" t="n">
        <v>11172.33333333333</v>
      </c>
      <c r="L147" s="21" t="n">
        <v>13905.66666666667</v>
      </c>
      <c r="M147" s="21" t="n">
        <v>16319.16666666667</v>
      </c>
      <c r="N147" s="21" t="n">
        <v>18328.33333333334</v>
      </c>
      <c r="O147" s="21" t="n">
        <v>19755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0.3060519480519481</v>
      </c>
      <c r="F149" s="21" t="n">
        <v>36.41836200423857</v>
      </c>
      <c r="G149" s="21" t="n">
        <v>536.7991406333326</v>
      </c>
      <c r="H149" s="21" t="n">
        <v>5818.361250967479</v>
      </c>
      <c r="I149" s="21" t="n">
        <v>32535.84138621915</v>
      </c>
      <c r="J149" s="21" t="n">
        <v>57054.11697435926</v>
      </c>
      <c r="K149" s="21" t="n">
        <v>83294.24078795071</v>
      </c>
      <c r="L149" s="21" t="n">
        <v>110172.8005685036</v>
      </c>
      <c r="M149" s="21" t="n">
        <v>137860.1714863522</v>
      </c>
      <c r="N149" s="21" t="n">
        <v>162463.9214936731</v>
      </c>
      <c r="O149" s="21" t="n">
        <v>187970.5021109041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-75.80394805194805</v>
      </c>
      <c r="F150" s="21" t="n">
        <v>-244.2716379957614</v>
      </c>
      <c r="G150" s="21" t="n">
        <v>-4514.000859366668</v>
      </c>
      <c r="H150" s="21" t="n">
        <v>-2191.738749032521</v>
      </c>
      <c r="I150" s="21" t="n">
        <v>-1922.158613780848</v>
      </c>
      <c r="J150" s="21" t="n">
        <v>5269.116974359262</v>
      </c>
      <c r="K150" s="21" t="n">
        <v>17741.90745461737</v>
      </c>
      <c r="L150" s="21" t="n">
        <v>34081.93390183698</v>
      </c>
      <c r="M150" s="21" t="n">
        <v>52737.50481968549</v>
      </c>
      <c r="N150" s="21" t="n">
        <v>70598.78816033978</v>
      </c>
      <c r="O150" s="21" t="n">
        <v>91561.80211090409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-84.34794805194805</v>
      </c>
      <c r="F151" s="21" t="n">
        <v>-276.6446379957614</v>
      </c>
      <c r="G151" s="21" t="n">
        <v>-4593.650859366668</v>
      </c>
      <c r="H151" s="21" t="n">
        <v>-2434.343749032521</v>
      </c>
      <c r="I151" s="21" t="n">
        <v>-3150.308613780848</v>
      </c>
      <c r="J151" s="21" t="n">
        <v>3529.366974359262</v>
      </c>
      <c r="K151" s="21" t="n">
        <v>15698.90745461737</v>
      </c>
      <c r="L151" s="21" t="n">
        <v>31820.14990183698</v>
      </c>
      <c r="M151" s="21" t="n">
        <v>50332.10481968549</v>
      </c>
      <c r="N151" s="21" t="n">
        <v>68128.86416033978</v>
      </c>
      <c r="O151" s="21" t="n">
        <v>89054.87011090408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-7.580394805194805</v>
      </c>
      <c r="F152" s="25" t="n">
        <v>-2.442716379957614</v>
      </c>
      <c r="G152" s="25" t="n">
        <v>-4.514000859366668</v>
      </c>
      <c r="H152" s="25" t="n">
        <v>-0.2435265276702802</v>
      </c>
      <c r="I152" s="25" t="n">
        <v>-0.04089699178257124</v>
      </c>
      <c r="J152" s="25" t="n">
        <v>0.06586396217949077</v>
      </c>
      <c r="K152" s="25" t="n">
        <v>0.1542774561271076</v>
      </c>
      <c r="L152" s="25" t="n">
        <v>0.2272128926789132</v>
      </c>
      <c r="M152" s="25" t="n">
        <v>0.2850675936199216</v>
      </c>
      <c r="N152" s="25" t="n">
        <v>0.3283664565597199</v>
      </c>
      <c r="O152" s="25" t="n">
        <v>0.3737216412689963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2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LIVE SWITCH - reflects Scenario &amp; Basis chosen on the Controls sheet  (press Ctrl+Alt+F9 if cells look blank)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>
        <f>CHOOSE(Controls!$B$6,D1!E4,D2!E4,D3!E4,D4!E4,D5!E4,D6!E4)</f>
        <v/>
      </c>
      <c r="F4" s="15">
        <f>CHOOSE(Controls!$B$6,D1!F4,D2!F4,D3!F4,D4!F4,D5!F4,D6!F4)</f>
        <v/>
      </c>
      <c r="G4" s="15">
        <f>CHOOSE(Controls!$B$6,D1!G4,D2!G4,D3!G4,D4!G4,D5!G4,D6!G4)</f>
        <v/>
      </c>
      <c r="H4" s="15">
        <f>CHOOSE(Controls!$B$6,D1!H4,D2!H4,D3!H4,D4!H4,D5!H4,D6!H4)</f>
        <v/>
      </c>
      <c r="I4" s="15">
        <f>CHOOSE(Controls!$B$6,D1!I4,D2!I4,D3!I4,D4!I4,D5!I4,D6!I4)</f>
        <v/>
      </c>
      <c r="J4" s="15">
        <f>CHOOSE(Controls!$B$6,D1!J4,D2!J4,D3!J4,D4!J4,D5!J4,D6!J4)</f>
        <v/>
      </c>
      <c r="K4" s="15">
        <f>CHOOSE(Controls!$B$6,D1!K4,D2!K4,D3!K4,D4!K4,D5!K4,D6!K4)</f>
        <v/>
      </c>
      <c r="L4" s="15">
        <f>CHOOSE(Controls!$B$6,D1!L4,D2!L4,D3!L4,D4!L4,D5!L4,D6!L4)</f>
        <v/>
      </c>
      <c r="M4" s="15">
        <f>CHOOSE(Controls!$B$6,D1!M4,D2!M4,D3!M4,D4!M4,D5!M4,D6!M4)</f>
        <v/>
      </c>
      <c r="N4" s="15">
        <f>CHOOSE(Controls!$B$6,D1!N4,D2!N4,D3!N4,D4!N4,D5!N4,D6!N4)</f>
        <v/>
      </c>
      <c r="O4" s="15">
        <f>CHOOSE(Controls!$B$6,D1!O4,D2!O4,D3!O4,D4!O4,D5!O4,D6!O4)</f>
        <v/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>
        <f>CHOOSE(Controls!$B$6,D1!E6,D2!E6,D3!E6,D4!E6,D5!E6,D6!E6)</f>
        <v/>
      </c>
      <c r="F6" s="16">
        <f>CHOOSE(Controls!$B$6,D1!F6,D2!F6,D3!F6,D4!F6,D5!F6,D6!F6)</f>
        <v/>
      </c>
      <c r="G6" s="16">
        <f>CHOOSE(Controls!$B$6,D1!G6,D2!G6,D3!G6,D4!G6,D5!G6,D6!G6)</f>
        <v/>
      </c>
      <c r="H6" s="16">
        <f>CHOOSE(Controls!$B$6,D1!H6,D2!H6,D3!H6,D4!H6,D5!H6,D6!H6)</f>
        <v/>
      </c>
      <c r="I6" s="16">
        <f>CHOOSE(Controls!$B$6,D1!I6,D2!I6,D3!I6,D4!I6,D5!I6,D6!I6)</f>
        <v/>
      </c>
      <c r="J6" s="16">
        <f>CHOOSE(Controls!$B$6,D1!J6,D2!J6,D3!J6,D4!J6,D5!J6,D6!J6)</f>
        <v/>
      </c>
      <c r="K6" s="16">
        <f>CHOOSE(Controls!$B$6,D1!K6,D2!K6,D3!K6,D4!K6,D5!K6,D6!K6)</f>
        <v/>
      </c>
      <c r="L6" s="16">
        <f>CHOOSE(Controls!$B$6,D1!L6,D2!L6,D3!L6,D4!L6,D5!L6,D6!L6)</f>
        <v/>
      </c>
      <c r="M6" s="16">
        <f>CHOOSE(Controls!$B$6,D1!M6,D2!M6,D3!M6,D4!M6,D5!M6,D6!M6)</f>
        <v/>
      </c>
      <c r="N6" s="16">
        <f>CHOOSE(Controls!$B$6,D1!N6,D2!N6,D3!N6,D4!N6,D5!N6,D6!N6)</f>
        <v/>
      </c>
      <c r="O6" s="16">
        <f>CHOOSE(Controls!$B$6,D1!O6,D2!O6,D3!O6,D4!O6,D5!O6,D6!O6)</f>
        <v/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>
        <f>CHOOSE(Controls!$B$6,D1!E7,D2!E7,D3!E7,D4!E7,D5!E7,D6!E7)</f>
        <v/>
      </c>
      <c r="F7" s="16">
        <f>CHOOSE(Controls!$B$6,D1!F7,D2!F7,D3!F7,D4!F7,D5!F7,D6!F7)</f>
        <v/>
      </c>
      <c r="G7" s="16">
        <f>CHOOSE(Controls!$B$6,D1!G7,D2!G7,D3!G7,D4!G7,D5!G7,D6!G7)</f>
        <v/>
      </c>
      <c r="H7" s="16">
        <f>CHOOSE(Controls!$B$6,D1!H7,D2!H7,D3!H7,D4!H7,D5!H7,D6!H7)</f>
        <v/>
      </c>
      <c r="I7" s="16">
        <f>CHOOSE(Controls!$B$6,D1!I7,D2!I7,D3!I7,D4!I7,D5!I7,D6!I7)</f>
        <v/>
      </c>
      <c r="J7" s="16">
        <f>CHOOSE(Controls!$B$6,D1!J7,D2!J7,D3!J7,D4!J7,D5!J7,D6!J7)</f>
        <v/>
      </c>
      <c r="K7" s="16">
        <f>CHOOSE(Controls!$B$6,D1!K7,D2!K7,D3!K7,D4!K7,D5!K7,D6!K7)</f>
        <v/>
      </c>
      <c r="L7" s="16">
        <f>CHOOSE(Controls!$B$6,D1!L7,D2!L7,D3!L7,D4!L7,D5!L7,D6!L7)</f>
        <v/>
      </c>
      <c r="M7" s="16">
        <f>CHOOSE(Controls!$B$6,D1!M7,D2!M7,D3!M7,D4!M7,D5!M7,D6!M7)</f>
        <v/>
      </c>
      <c r="N7" s="16">
        <f>CHOOSE(Controls!$B$6,D1!N7,D2!N7,D3!N7,D4!N7,D5!N7,D6!N7)</f>
        <v/>
      </c>
      <c r="O7" s="16">
        <f>CHOOSE(Controls!$B$6,D1!O7,D2!O7,D3!O7,D4!O7,D5!O7,D6!O7)</f>
        <v/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>
        <f>CHOOSE(Controls!$B$6,D1!E8,D2!E8,D3!E8,D4!E8,D5!E8,D6!E8)</f>
        <v/>
      </c>
      <c r="F8" s="16">
        <f>CHOOSE(Controls!$B$6,D1!F8,D2!F8,D3!F8,D4!F8,D5!F8,D6!F8)</f>
        <v/>
      </c>
      <c r="G8" s="16">
        <f>CHOOSE(Controls!$B$6,D1!G8,D2!G8,D3!G8,D4!G8,D5!G8,D6!G8)</f>
        <v/>
      </c>
      <c r="H8" s="16">
        <f>CHOOSE(Controls!$B$6,D1!H8,D2!H8,D3!H8,D4!H8,D5!H8,D6!H8)</f>
        <v/>
      </c>
      <c r="I8" s="16">
        <f>CHOOSE(Controls!$B$6,D1!I8,D2!I8,D3!I8,D4!I8,D5!I8,D6!I8)</f>
        <v/>
      </c>
      <c r="J8" s="16">
        <f>CHOOSE(Controls!$B$6,D1!J8,D2!J8,D3!J8,D4!J8,D5!J8,D6!J8)</f>
        <v/>
      </c>
      <c r="K8" s="16">
        <f>CHOOSE(Controls!$B$6,D1!K8,D2!K8,D3!K8,D4!K8,D5!K8,D6!K8)</f>
        <v/>
      </c>
      <c r="L8" s="16">
        <f>CHOOSE(Controls!$B$6,D1!L8,D2!L8,D3!L8,D4!L8,D5!L8,D6!L8)</f>
        <v/>
      </c>
      <c r="M8" s="16">
        <f>CHOOSE(Controls!$B$6,D1!M8,D2!M8,D3!M8,D4!M8,D5!M8,D6!M8)</f>
        <v/>
      </c>
      <c r="N8" s="16">
        <f>CHOOSE(Controls!$B$6,D1!N8,D2!N8,D3!N8,D4!N8,D5!N8,D6!N8)</f>
        <v/>
      </c>
      <c r="O8" s="16">
        <f>CHOOSE(Controls!$B$6,D1!O8,D2!O8,D3!O8,D4!O8,D5!O8,D6!O8)</f>
        <v/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>
        <f>CHOOSE(Controls!$B$6,D1!E9,D2!E9,D3!E9,D4!E9,D5!E9,D6!E9)</f>
        <v/>
      </c>
      <c r="F9" s="16">
        <f>CHOOSE(Controls!$B$6,D1!F9,D2!F9,D3!F9,D4!F9,D5!F9,D6!F9)</f>
        <v/>
      </c>
      <c r="G9" s="16">
        <f>CHOOSE(Controls!$B$6,D1!G9,D2!G9,D3!G9,D4!G9,D5!G9,D6!G9)</f>
        <v/>
      </c>
      <c r="H9" s="16">
        <f>CHOOSE(Controls!$B$6,D1!H9,D2!H9,D3!H9,D4!H9,D5!H9,D6!H9)</f>
        <v/>
      </c>
      <c r="I9" s="16">
        <f>CHOOSE(Controls!$B$6,D1!I9,D2!I9,D3!I9,D4!I9,D5!I9,D6!I9)</f>
        <v/>
      </c>
      <c r="J9" s="16">
        <f>CHOOSE(Controls!$B$6,D1!J9,D2!J9,D3!J9,D4!J9,D5!J9,D6!J9)</f>
        <v/>
      </c>
      <c r="K9" s="16">
        <f>CHOOSE(Controls!$B$6,D1!K9,D2!K9,D3!K9,D4!K9,D5!K9,D6!K9)</f>
        <v/>
      </c>
      <c r="L9" s="16">
        <f>CHOOSE(Controls!$B$6,D1!L9,D2!L9,D3!L9,D4!L9,D5!L9,D6!L9)</f>
        <v/>
      </c>
      <c r="M9" s="16">
        <f>CHOOSE(Controls!$B$6,D1!M9,D2!M9,D3!M9,D4!M9,D5!M9,D6!M9)</f>
        <v/>
      </c>
      <c r="N9" s="16">
        <f>CHOOSE(Controls!$B$6,D1!N9,D2!N9,D3!N9,D4!N9,D5!N9,D6!N9)</f>
        <v/>
      </c>
      <c r="O9" s="16">
        <f>CHOOSE(Controls!$B$6,D1!O9,D2!O9,D3!O9,D4!O9,D5!O9,D6!O9)</f>
        <v/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>
        <f>CHOOSE(Controls!$B$6,D1!E10,D2!E10,D3!E10,D4!E10,D5!E10,D6!E10)</f>
        <v/>
      </c>
      <c r="F10" s="17">
        <f>CHOOSE(Controls!$B$6,D1!F10,D2!F10,D3!F10,D4!F10,D5!F10,D6!F10)</f>
        <v/>
      </c>
      <c r="G10" s="17">
        <f>CHOOSE(Controls!$B$6,D1!G10,D2!G10,D3!G10,D4!G10,D5!G10,D6!G10)</f>
        <v/>
      </c>
      <c r="H10" s="17">
        <f>CHOOSE(Controls!$B$6,D1!H10,D2!H10,D3!H10,D4!H10,D5!H10,D6!H10)</f>
        <v/>
      </c>
      <c r="I10" s="17">
        <f>CHOOSE(Controls!$B$6,D1!I10,D2!I10,D3!I10,D4!I10,D5!I10,D6!I10)</f>
        <v/>
      </c>
      <c r="J10" s="17">
        <f>CHOOSE(Controls!$B$6,D1!J10,D2!J10,D3!J10,D4!J10,D5!J10,D6!J10)</f>
        <v/>
      </c>
      <c r="K10" s="17">
        <f>CHOOSE(Controls!$B$6,D1!K10,D2!K10,D3!K10,D4!K10,D5!K10,D6!K10)</f>
        <v/>
      </c>
      <c r="L10" s="17">
        <f>CHOOSE(Controls!$B$6,D1!L10,D2!L10,D3!L10,D4!L10,D5!L10,D6!L10)</f>
        <v/>
      </c>
      <c r="M10" s="17">
        <f>CHOOSE(Controls!$B$6,D1!M10,D2!M10,D3!M10,D4!M10,D5!M10,D6!M10)</f>
        <v/>
      </c>
      <c r="N10" s="17">
        <f>CHOOSE(Controls!$B$6,D1!N10,D2!N10,D3!N10,D4!N10,D5!N10,D6!N10)</f>
        <v/>
      </c>
      <c r="O10" s="17">
        <f>CHOOSE(Controls!$B$6,D1!O10,D2!O10,D3!O10,D4!O10,D5!O10,D6!O10)</f>
        <v/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>
        <f>CHOOSE(Controls!$B$6,D1!E11,D2!E11,D3!E11,D4!E11,D5!E11,D6!E11)</f>
        <v/>
      </c>
      <c r="F11" s="17">
        <f>CHOOSE(Controls!$B$6,D1!F11,D2!F11,D3!F11,D4!F11,D5!F11,D6!F11)</f>
        <v/>
      </c>
      <c r="G11" s="17">
        <f>CHOOSE(Controls!$B$6,D1!G11,D2!G11,D3!G11,D4!G11,D5!G11,D6!G11)</f>
        <v/>
      </c>
      <c r="H11" s="17">
        <f>CHOOSE(Controls!$B$6,D1!H11,D2!H11,D3!H11,D4!H11,D5!H11,D6!H11)</f>
        <v/>
      </c>
      <c r="I11" s="17">
        <f>CHOOSE(Controls!$B$6,D1!I11,D2!I11,D3!I11,D4!I11,D5!I11,D6!I11)</f>
        <v/>
      </c>
      <c r="J11" s="17">
        <f>CHOOSE(Controls!$B$6,D1!J11,D2!J11,D3!J11,D4!J11,D5!J11,D6!J11)</f>
        <v/>
      </c>
      <c r="K11" s="17">
        <f>CHOOSE(Controls!$B$6,D1!K11,D2!K11,D3!K11,D4!K11,D5!K11,D6!K11)</f>
        <v/>
      </c>
      <c r="L11" s="17">
        <f>CHOOSE(Controls!$B$6,D1!L11,D2!L11,D3!L11,D4!L11,D5!L11,D6!L11)</f>
        <v/>
      </c>
      <c r="M11" s="17">
        <f>CHOOSE(Controls!$B$6,D1!M11,D2!M11,D3!M11,D4!M11,D5!M11,D6!M11)</f>
        <v/>
      </c>
      <c r="N11" s="17">
        <f>CHOOSE(Controls!$B$6,D1!N11,D2!N11,D3!N11,D4!N11,D5!N11,D6!N11)</f>
        <v/>
      </c>
      <c r="O11" s="17">
        <f>CHOOSE(Controls!$B$6,D1!O11,D2!O11,D3!O11,D4!O11,D5!O11,D6!O11)</f>
        <v/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>
        <f>CHOOSE(Controls!$B$6,D1!E12,D2!E12,D3!E12,D4!E12,D5!E12,D6!E12)</f>
        <v/>
      </c>
      <c r="F12" s="17">
        <f>CHOOSE(Controls!$B$6,D1!F12,D2!F12,D3!F12,D4!F12,D5!F12,D6!F12)</f>
        <v/>
      </c>
      <c r="G12" s="17">
        <f>CHOOSE(Controls!$B$6,D1!G12,D2!G12,D3!G12,D4!G12,D5!G12,D6!G12)</f>
        <v/>
      </c>
      <c r="H12" s="17">
        <f>CHOOSE(Controls!$B$6,D1!H12,D2!H12,D3!H12,D4!H12,D5!H12,D6!H12)</f>
        <v/>
      </c>
      <c r="I12" s="17">
        <f>CHOOSE(Controls!$B$6,D1!I12,D2!I12,D3!I12,D4!I12,D5!I12,D6!I12)</f>
        <v/>
      </c>
      <c r="J12" s="17">
        <f>CHOOSE(Controls!$B$6,D1!J12,D2!J12,D3!J12,D4!J12,D5!J12,D6!J12)</f>
        <v/>
      </c>
      <c r="K12" s="17">
        <f>CHOOSE(Controls!$B$6,D1!K12,D2!K12,D3!K12,D4!K12,D5!K12,D6!K12)</f>
        <v/>
      </c>
      <c r="L12" s="17">
        <f>CHOOSE(Controls!$B$6,D1!L12,D2!L12,D3!L12,D4!L12,D5!L12,D6!L12)</f>
        <v/>
      </c>
      <c r="M12" s="17">
        <f>CHOOSE(Controls!$B$6,D1!M12,D2!M12,D3!M12,D4!M12,D5!M12,D6!M12)</f>
        <v/>
      </c>
      <c r="N12" s="17">
        <f>CHOOSE(Controls!$B$6,D1!N12,D2!N12,D3!N12,D4!N12,D5!N12,D6!N12)</f>
        <v/>
      </c>
      <c r="O12" s="17">
        <f>CHOOSE(Controls!$B$6,D1!O12,D2!O12,D3!O12,D4!O12,D5!O12,D6!O12)</f>
        <v/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>
        <f>CHOOSE(Controls!$B$6,D1!E13,D2!E13,D3!E13,D4!E13,D5!E13,D6!E13)</f>
        <v/>
      </c>
      <c r="F13" s="17">
        <f>CHOOSE(Controls!$B$6,D1!F13,D2!F13,D3!F13,D4!F13,D5!F13,D6!F13)</f>
        <v/>
      </c>
      <c r="G13" s="17">
        <f>CHOOSE(Controls!$B$6,D1!G13,D2!G13,D3!G13,D4!G13,D5!G13,D6!G13)</f>
        <v/>
      </c>
      <c r="H13" s="17">
        <f>CHOOSE(Controls!$B$6,D1!H13,D2!H13,D3!H13,D4!H13,D5!H13,D6!H13)</f>
        <v/>
      </c>
      <c r="I13" s="17">
        <f>CHOOSE(Controls!$B$6,D1!I13,D2!I13,D3!I13,D4!I13,D5!I13,D6!I13)</f>
        <v/>
      </c>
      <c r="J13" s="17">
        <f>CHOOSE(Controls!$B$6,D1!J13,D2!J13,D3!J13,D4!J13,D5!J13,D6!J13)</f>
        <v/>
      </c>
      <c r="K13" s="17">
        <f>CHOOSE(Controls!$B$6,D1!K13,D2!K13,D3!K13,D4!K13,D5!K13,D6!K13)</f>
        <v/>
      </c>
      <c r="L13" s="17">
        <f>CHOOSE(Controls!$B$6,D1!L13,D2!L13,D3!L13,D4!L13,D5!L13,D6!L13)</f>
        <v/>
      </c>
      <c r="M13" s="17">
        <f>CHOOSE(Controls!$B$6,D1!M13,D2!M13,D3!M13,D4!M13,D5!M13,D6!M13)</f>
        <v/>
      </c>
      <c r="N13" s="17">
        <f>CHOOSE(Controls!$B$6,D1!N13,D2!N13,D3!N13,D4!N13,D5!N13,D6!N13)</f>
        <v/>
      </c>
      <c r="O13" s="17">
        <f>CHOOSE(Controls!$B$6,D1!O13,D2!O13,D3!O13,D4!O13,D5!O13,D6!O13)</f>
        <v/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>
        <f>CHOOSE(Controls!$B$6,D1!E14,D2!E14,D3!E14,D4!E14,D5!E14,D6!E14)</f>
        <v/>
      </c>
      <c r="F14" s="17">
        <f>CHOOSE(Controls!$B$6,D1!F14,D2!F14,D3!F14,D4!F14,D5!F14,D6!F14)</f>
        <v/>
      </c>
      <c r="G14" s="17">
        <f>CHOOSE(Controls!$B$6,D1!G14,D2!G14,D3!G14,D4!G14,D5!G14,D6!G14)</f>
        <v/>
      </c>
      <c r="H14" s="17">
        <f>CHOOSE(Controls!$B$6,D1!H14,D2!H14,D3!H14,D4!H14,D5!H14,D6!H14)</f>
        <v/>
      </c>
      <c r="I14" s="17">
        <f>CHOOSE(Controls!$B$6,D1!I14,D2!I14,D3!I14,D4!I14,D5!I14,D6!I14)</f>
        <v/>
      </c>
      <c r="J14" s="17">
        <f>CHOOSE(Controls!$B$6,D1!J14,D2!J14,D3!J14,D4!J14,D5!J14,D6!J14)</f>
        <v/>
      </c>
      <c r="K14" s="17">
        <f>CHOOSE(Controls!$B$6,D1!K14,D2!K14,D3!K14,D4!K14,D5!K14,D6!K14)</f>
        <v/>
      </c>
      <c r="L14" s="17">
        <f>CHOOSE(Controls!$B$6,D1!L14,D2!L14,D3!L14,D4!L14,D5!L14,D6!L14)</f>
        <v/>
      </c>
      <c r="M14" s="17">
        <f>CHOOSE(Controls!$B$6,D1!M14,D2!M14,D3!M14,D4!M14,D5!M14,D6!M14)</f>
        <v/>
      </c>
      <c r="N14" s="17">
        <f>CHOOSE(Controls!$B$6,D1!N14,D2!N14,D3!N14,D4!N14,D5!N14,D6!N14)</f>
        <v/>
      </c>
      <c r="O14" s="17">
        <f>CHOOSE(Controls!$B$6,D1!O14,D2!O14,D3!O14,D4!O14,D5!O14,D6!O14)</f>
        <v/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>
        <f>CHOOSE(Controls!$B$6,D1!E15,D2!E15,D3!E15,D4!E15,D5!E15,D6!E15)</f>
        <v/>
      </c>
      <c r="F15" s="17">
        <f>CHOOSE(Controls!$B$6,D1!F15,D2!F15,D3!F15,D4!F15,D5!F15,D6!F15)</f>
        <v/>
      </c>
      <c r="G15" s="17">
        <f>CHOOSE(Controls!$B$6,D1!G15,D2!G15,D3!G15,D4!G15,D5!G15,D6!G15)</f>
        <v/>
      </c>
      <c r="H15" s="17">
        <f>CHOOSE(Controls!$B$6,D1!H15,D2!H15,D3!H15,D4!H15,D5!H15,D6!H15)</f>
        <v/>
      </c>
      <c r="I15" s="17">
        <f>CHOOSE(Controls!$B$6,D1!I15,D2!I15,D3!I15,D4!I15,D5!I15,D6!I15)</f>
        <v/>
      </c>
      <c r="J15" s="17">
        <f>CHOOSE(Controls!$B$6,D1!J15,D2!J15,D3!J15,D4!J15,D5!J15,D6!J15)</f>
        <v/>
      </c>
      <c r="K15" s="17">
        <f>CHOOSE(Controls!$B$6,D1!K15,D2!K15,D3!K15,D4!K15,D5!K15,D6!K15)</f>
        <v/>
      </c>
      <c r="L15" s="17">
        <f>CHOOSE(Controls!$B$6,D1!L15,D2!L15,D3!L15,D4!L15,D5!L15,D6!L15)</f>
        <v/>
      </c>
      <c r="M15" s="17">
        <f>CHOOSE(Controls!$B$6,D1!M15,D2!M15,D3!M15,D4!M15,D5!M15,D6!M15)</f>
        <v/>
      </c>
      <c r="N15" s="17">
        <f>CHOOSE(Controls!$B$6,D1!N15,D2!N15,D3!N15,D4!N15,D5!N15,D6!N15)</f>
        <v/>
      </c>
      <c r="O15" s="17">
        <f>CHOOSE(Controls!$B$6,D1!O15,D2!O15,D3!O15,D4!O15,D5!O15,D6!O15)</f>
        <v/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>
        <f>CHOOSE(Controls!$B$6,D1!E16,D2!E16,D3!E16,D4!E16,D5!E16,D6!E16)</f>
        <v/>
      </c>
      <c r="F16" s="17">
        <f>CHOOSE(Controls!$B$6,D1!F16,D2!F16,D3!F16,D4!F16,D5!F16,D6!F16)</f>
        <v/>
      </c>
      <c r="G16" s="17">
        <f>CHOOSE(Controls!$B$6,D1!G16,D2!G16,D3!G16,D4!G16,D5!G16,D6!G16)</f>
        <v/>
      </c>
      <c r="H16" s="17">
        <f>CHOOSE(Controls!$B$6,D1!H16,D2!H16,D3!H16,D4!H16,D5!H16,D6!H16)</f>
        <v/>
      </c>
      <c r="I16" s="17">
        <f>CHOOSE(Controls!$B$6,D1!I16,D2!I16,D3!I16,D4!I16,D5!I16,D6!I16)</f>
        <v/>
      </c>
      <c r="J16" s="17">
        <f>CHOOSE(Controls!$B$6,D1!J16,D2!J16,D3!J16,D4!J16,D5!J16,D6!J16)</f>
        <v/>
      </c>
      <c r="K16" s="17">
        <f>CHOOSE(Controls!$B$6,D1!K16,D2!K16,D3!K16,D4!K16,D5!K16,D6!K16)</f>
        <v/>
      </c>
      <c r="L16" s="17">
        <f>CHOOSE(Controls!$B$6,D1!L16,D2!L16,D3!L16,D4!L16,D5!L16,D6!L16)</f>
        <v/>
      </c>
      <c r="M16" s="17">
        <f>CHOOSE(Controls!$B$6,D1!M16,D2!M16,D3!M16,D4!M16,D5!M16,D6!M16)</f>
        <v/>
      </c>
      <c r="N16" s="17">
        <f>CHOOSE(Controls!$B$6,D1!N16,D2!N16,D3!N16,D4!N16,D5!N16,D6!N16)</f>
        <v/>
      </c>
      <c r="O16" s="17">
        <f>CHOOSE(Controls!$B$6,D1!O16,D2!O16,D3!O16,D4!O16,D5!O16,D6!O16)</f>
        <v/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>
        <f>CHOOSE(Controls!$B$6,D1!E17,D2!E17,D3!E17,D4!E17,D5!E17,D6!E17)</f>
        <v/>
      </c>
      <c r="F17" s="17">
        <f>CHOOSE(Controls!$B$6,D1!F17,D2!F17,D3!F17,D4!F17,D5!F17,D6!F17)</f>
        <v/>
      </c>
      <c r="G17" s="17">
        <f>CHOOSE(Controls!$B$6,D1!G17,D2!G17,D3!G17,D4!G17,D5!G17,D6!G17)</f>
        <v/>
      </c>
      <c r="H17" s="17">
        <f>CHOOSE(Controls!$B$6,D1!H17,D2!H17,D3!H17,D4!H17,D5!H17,D6!H17)</f>
        <v/>
      </c>
      <c r="I17" s="17">
        <f>CHOOSE(Controls!$B$6,D1!I17,D2!I17,D3!I17,D4!I17,D5!I17,D6!I17)</f>
        <v/>
      </c>
      <c r="J17" s="17">
        <f>CHOOSE(Controls!$B$6,D1!J17,D2!J17,D3!J17,D4!J17,D5!J17,D6!J17)</f>
        <v/>
      </c>
      <c r="K17" s="17">
        <f>CHOOSE(Controls!$B$6,D1!K17,D2!K17,D3!K17,D4!K17,D5!K17,D6!K17)</f>
        <v/>
      </c>
      <c r="L17" s="17">
        <f>CHOOSE(Controls!$B$6,D1!L17,D2!L17,D3!L17,D4!L17,D5!L17,D6!L17)</f>
        <v/>
      </c>
      <c r="M17" s="17">
        <f>CHOOSE(Controls!$B$6,D1!M17,D2!M17,D3!M17,D4!M17,D5!M17,D6!M17)</f>
        <v/>
      </c>
      <c r="N17" s="17">
        <f>CHOOSE(Controls!$B$6,D1!N17,D2!N17,D3!N17,D4!N17,D5!N17,D6!N17)</f>
        <v/>
      </c>
      <c r="O17" s="17">
        <f>CHOOSE(Controls!$B$6,D1!O17,D2!O17,D3!O17,D4!O17,D5!O17,D6!O17)</f>
        <v/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>
        <f>CHOOSE(Controls!$B$6,D1!E18,D2!E18,D3!E18,D4!E18,D5!E18,D6!E18)</f>
        <v/>
      </c>
      <c r="F18" s="15">
        <f>CHOOSE(Controls!$B$6,D1!F18,D2!F18,D3!F18,D4!F18,D5!F18,D6!F18)</f>
        <v/>
      </c>
      <c r="G18" s="15">
        <f>CHOOSE(Controls!$B$6,D1!G18,D2!G18,D3!G18,D4!G18,D5!G18,D6!G18)</f>
        <v/>
      </c>
      <c r="H18" s="15">
        <f>CHOOSE(Controls!$B$6,D1!H18,D2!H18,D3!H18,D4!H18,D5!H18,D6!H18)</f>
        <v/>
      </c>
      <c r="I18" s="15">
        <f>CHOOSE(Controls!$B$6,D1!I18,D2!I18,D3!I18,D4!I18,D5!I18,D6!I18)</f>
        <v/>
      </c>
      <c r="J18" s="15">
        <f>CHOOSE(Controls!$B$6,D1!J18,D2!J18,D3!J18,D4!J18,D5!J18,D6!J18)</f>
        <v/>
      </c>
      <c r="K18" s="15">
        <f>CHOOSE(Controls!$B$6,D1!K18,D2!K18,D3!K18,D4!K18,D5!K18,D6!K18)</f>
        <v/>
      </c>
      <c r="L18" s="15">
        <f>CHOOSE(Controls!$B$6,D1!L18,D2!L18,D3!L18,D4!L18,D5!L18,D6!L18)</f>
        <v/>
      </c>
      <c r="M18" s="15">
        <f>CHOOSE(Controls!$B$6,D1!M18,D2!M18,D3!M18,D4!M18,D5!M18,D6!M18)</f>
        <v/>
      </c>
      <c r="N18" s="15">
        <f>CHOOSE(Controls!$B$6,D1!N18,D2!N18,D3!N18,D4!N18,D5!N18,D6!N18)</f>
        <v/>
      </c>
      <c r="O18" s="15">
        <f>CHOOSE(Controls!$B$6,D1!O18,D2!O18,D3!O18,D4!O18,D5!O18,D6!O18)</f>
        <v/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>
        <f>CHOOSE(Controls!$B$6,D1!E19,D2!E19,D3!E19,D4!E19,D5!E19,D6!E19)</f>
        <v/>
      </c>
      <c r="F19" s="15">
        <f>CHOOSE(Controls!$B$6,D1!F19,D2!F19,D3!F19,D4!F19,D5!F19,D6!F19)</f>
        <v/>
      </c>
      <c r="G19" s="15">
        <f>CHOOSE(Controls!$B$6,D1!G19,D2!G19,D3!G19,D4!G19,D5!G19,D6!G19)</f>
        <v/>
      </c>
      <c r="H19" s="15">
        <f>CHOOSE(Controls!$B$6,D1!H19,D2!H19,D3!H19,D4!H19,D5!H19,D6!H19)</f>
        <v/>
      </c>
      <c r="I19" s="15">
        <f>CHOOSE(Controls!$B$6,D1!I19,D2!I19,D3!I19,D4!I19,D5!I19,D6!I19)</f>
        <v/>
      </c>
      <c r="J19" s="15">
        <f>CHOOSE(Controls!$B$6,D1!J19,D2!J19,D3!J19,D4!J19,D5!J19,D6!J19)</f>
        <v/>
      </c>
      <c r="K19" s="15">
        <f>CHOOSE(Controls!$B$6,D1!K19,D2!K19,D3!K19,D4!K19,D5!K19,D6!K19)</f>
        <v/>
      </c>
      <c r="L19" s="15">
        <f>CHOOSE(Controls!$B$6,D1!L19,D2!L19,D3!L19,D4!L19,D5!L19,D6!L19)</f>
        <v/>
      </c>
      <c r="M19" s="15">
        <f>CHOOSE(Controls!$B$6,D1!M19,D2!M19,D3!M19,D4!M19,D5!M19,D6!M19)</f>
        <v/>
      </c>
      <c r="N19" s="15">
        <f>CHOOSE(Controls!$B$6,D1!N19,D2!N19,D3!N19,D4!N19,D5!N19,D6!N19)</f>
        <v/>
      </c>
      <c r="O19" s="15">
        <f>CHOOSE(Controls!$B$6,D1!O19,D2!O19,D3!O19,D4!O19,D5!O19,D6!O19)</f>
        <v/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>
        <f>CHOOSE(Controls!$B$6,D1!E20,D2!E20,D3!E20,D4!E20,D5!E20,D6!E20)</f>
        <v/>
      </c>
      <c r="F20" s="16">
        <f>CHOOSE(Controls!$B$6,D1!F20,D2!F20,D3!F20,D4!F20,D5!F20,D6!F20)</f>
        <v/>
      </c>
      <c r="G20" s="16">
        <f>CHOOSE(Controls!$B$6,D1!G20,D2!G20,D3!G20,D4!G20,D5!G20,D6!G20)</f>
        <v/>
      </c>
      <c r="H20" s="16">
        <f>CHOOSE(Controls!$B$6,D1!H20,D2!H20,D3!H20,D4!H20,D5!H20,D6!H20)</f>
        <v/>
      </c>
      <c r="I20" s="16">
        <f>CHOOSE(Controls!$B$6,D1!I20,D2!I20,D3!I20,D4!I20,D5!I20,D6!I20)</f>
        <v/>
      </c>
      <c r="J20" s="16">
        <f>CHOOSE(Controls!$B$6,D1!J20,D2!J20,D3!J20,D4!J20,D5!J20,D6!J20)</f>
        <v/>
      </c>
      <c r="K20" s="16">
        <f>CHOOSE(Controls!$B$6,D1!K20,D2!K20,D3!K20,D4!K20,D5!K20,D6!K20)</f>
        <v/>
      </c>
      <c r="L20" s="16">
        <f>CHOOSE(Controls!$B$6,D1!L20,D2!L20,D3!L20,D4!L20,D5!L20,D6!L20)</f>
        <v/>
      </c>
      <c r="M20" s="16">
        <f>CHOOSE(Controls!$B$6,D1!M20,D2!M20,D3!M20,D4!M20,D5!M20,D6!M20)</f>
        <v/>
      </c>
      <c r="N20" s="16">
        <f>CHOOSE(Controls!$B$6,D1!N20,D2!N20,D3!N20,D4!N20,D5!N20,D6!N20)</f>
        <v/>
      </c>
      <c r="O20" s="16">
        <f>CHOOSE(Controls!$B$6,D1!O20,D2!O20,D3!O20,D4!O20,D5!O20,D6!O20)</f>
        <v/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>
        <f>CHOOSE(Controls!$B$6,D1!E21,D2!E21,D3!E21,D4!E21,D5!E21,D6!E21)</f>
        <v/>
      </c>
      <c r="F21" s="17">
        <f>CHOOSE(Controls!$B$6,D1!F21,D2!F21,D3!F21,D4!F21,D5!F21,D6!F21)</f>
        <v/>
      </c>
      <c r="G21" s="17">
        <f>CHOOSE(Controls!$B$6,D1!G21,D2!G21,D3!G21,D4!G21,D5!G21,D6!G21)</f>
        <v/>
      </c>
      <c r="H21" s="17">
        <f>CHOOSE(Controls!$B$6,D1!H21,D2!H21,D3!H21,D4!H21,D5!H21,D6!H21)</f>
        <v/>
      </c>
      <c r="I21" s="17">
        <f>CHOOSE(Controls!$B$6,D1!I21,D2!I21,D3!I21,D4!I21,D5!I21,D6!I21)</f>
        <v/>
      </c>
      <c r="J21" s="17">
        <f>CHOOSE(Controls!$B$6,D1!J21,D2!J21,D3!J21,D4!J21,D5!J21,D6!J21)</f>
        <v/>
      </c>
      <c r="K21" s="17">
        <f>CHOOSE(Controls!$B$6,D1!K21,D2!K21,D3!K21,D4!K21,D5!K21,D6!K21)</f>
        <v/>
      </c>
      <c r="L21" s="17">
        <f>CHOOSE(Controls!$B$6,D1!L21,D2!L21,D3!L21,D4!L21,D5!L21,D6!L21)</f>
        <v/>
      </c>
      <c r="M21" s="17">
        <f>CHOOSE(Controls!$B$6,D1!M21,D2!M21,D3!M21,D4!M21,D5!M21,D6!M21)</f>
        <v/>
      </c>
      <c r="N21" s="17">
        <f>CHOOSE(Controls!$B$6,D1!N21,D2!N21,D3!N21,D4!N21,D5!N21,D6!N21)</f>
        <v/>
      </c>
      <c r="O21" s="17">
        <f>CHOOSE(Controls!$B$6,D1!O21,D2!O21,D3!O21,D4!O21,D5!O21,D6!O21)</f>
        <v/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>
        <f>CHOOSE(Controls!$B$6,D1!E22,D2!E22,D3!E22,D4!E22,D5!E22,D6!E22)</f>
        <v/>
      </c>
      <c r="F22" s="16">
        <f>CHOOSE(Controls!$B$6,D1!F22,D2!F22,D3!F22,D4!F22,D5!F22,D6!F22)</f>
        <v/>
      </c>
      <c r="G22" s="16">
        <f>CHOOSE(Controls!$B$6,D1!G22,D2!G22,D3!G22,D4!G22,D5!G22,D6!G22)</f>
        <v/>
      </c>
      <c r="H22" s="16">
        <f>CHOOSE(Controls!$B$6,D1!H22,D2!H22,D3!H22,D4!H22,D5!H22,D6!H22)</f>
        <v/>
      </c>
      <c r="I22" s="16">
        <f>CHOOSE(Controls!$B$6,D1!I22,D2!I22,D3!I22,D4!I22,D5!I22,D6!I22)</f>
        <v/>
      </c>
      <c r="J22" s="16">
        <f>CHOOSE(Controls!$B$6,D1!J22,D2!J22,D3!J22,D4!J22,D5!J22,D6!J22)</f>
        <v/>
      </c>
      <c r="K22" s="16">
        <f>CHOOSE(Controls!$B$6,D1!K22,D2!K22,D3!K22,D4!K22,D5!K22,D6!K22)</f>
        <v/>
      </c>
      <c r="L22" s="16">
        <f>CHOOSE(Controls!$B$6,D1!L22,D2!L22,D3!L22,D4!L22,D5!L22,D6!L22)</f>
        <v/>
      </c>
      <c r="M22" s="16">
        <f>CHOOSE(Controls!$B$6,D1!M22,D2!M22,D3!M22,D4!M22,D5!M22,D6!M22)</f>
        <v/>
      </c>
      <c r="N22" s="16">
        <f>CHOOSE(Controls!$B$6,D1!N22,D2!N22,D3!N22,D4!N22,D5!N22,D6!N22)</f>
        <v/>
      </c>
      <c r="O22" s="16">
        <f>CHOOSE(Controls!$B$6,D1!O22,D2!O22,D3!O22,D4!O22,D5!O22,D6!O22)</f>
        <v/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>
        <f>CHOOSE(Controls!$B$6,D1!E23,D2!E23,D3!E23,D4!E23,D5!E23,D6!E23)</f>
        <v/>
      </c>
      <c r="F23" s="17">
        <f>CHOOSE(Controls!$B$6,D1!F23,D2!F23,D3!F23,D4!F23,D5!F23,D6!F23)</f>
        <v/>
      </c>
      <c r="G23" s="17">
        <f>CHOOSE(Controls!$B$6,D1!G23,D2!G23,D3!G23,D4!G23,D5!G23,D6!G23)</f>
        <v/>
      </c>
      <c r="H23" s="17">
        <f>CHOOSE(Controls!$B$6,D1!H23,D2!H23,D3!H23,D4!H23,D5!H23,D6!H23)</f>
        <v/>
      </c>
      <c r="I23" s="17">
        <f>CHOOSE(Controls!$B$6,D1!I23,D2!I23,D3!I23,D4!I23,D5!I23,D6!I23)</f>
        <v/>
      </c>
      <c r="J23" s="17">
        <f>CHOOSE(Controls!$B$6,D1!J23,D2!J23,D3!J23,D4!J23,D5!J23,D6!J23)</f>
        <v/>
      </c>
      <c r="K23" s="17">
        <f>CHOOSE(Controls!$B$6,D1!K23,D2!K23,D3!K23,D4!K23,D5!K23,D6!K23)</f>
        <v/>
      </c>
      <c r="L23" s="17">
        <f>CHOOSE(Controls!$B$6,D1!L23,D2!L23,D3!L23,D4!L23,D5!L23,D6!L23)</f>
        <v/>
      </c>
      <c r="M23" s="17">
        <f>CHOOSE(Controls!$B$6,D1!M23,D2!M23,D3!M23,D4!M23,D5!M23,D6!M23)</f>
        <v/>
      </c>
      <c r="N23" s="17">
        <f>CHOOSE(Controls!$B$6,D1!N23,D2!N23,D3!N23,D4!N23,D5!N23,D6!N23)</f>
        <v/>
      </c>
      <c r="O23" s="17">
        <f>CHOOSE(Controls!$B$6,D1!O23,D2!O23,D3!O23,D4!O23,D5!O23,D6!O23)</f>
        <v/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>
        <f>CHOOSE(Controls!$B$6,D1!E24,D2!E24,D3!E24,D4!E24,D5!E24,D6!E24)</f>
        <v/>
      </c>
      <c r="F24" s="17">
        <f>CHOOSE(Controls!$B$6,D1!F24,D2!F24,D3!F24,D4!F24,D5!F24,D6!F24)</f>
        <v/>
      </c>
      <c r="G24" s="17">
        <f>CHOOSE(Controls!$B$6,D1!G24,D2!G24,D3!G24,D4!G24,D5!G24,D6!G24)</f>
        <v/>
      </c>
      <c r="H24" s="17">
        <f>CHOOSE(Controls!$B$6,D1!H24,D2!H24,D3!H24,D4!H24,D5!H24,D6!H24)</f>
        <v/>
      </c>
      <c r="I24" s="17">
        <f>CHOOSE(Controls!$B$6,D1!I24,D2!I24,D3!I24,D4!I24,D5!I24,D6!I24)</f>
        <v/>
      </c>
      <c r="J24" s="17">
        <f>CHOOSE(Controls!$B$6,D1!J24,D2!J24,D3!J24,D4!J24,D5!J24,D6!J24)</f>
        <v/>
      </c>
      <c r="K24" s="17">
        <f>CHOOSE(Controls!$B$6,D1!K24,D2!K24,D3!K24,D4!K24,D5!K24,D6!K24)</f>
        <v/>
      </c>
      <c r="L24" s="17">
        <f>CHOOSE(Controls!$B$6,D1!L24,D2!L24,D3!L24,D4!L24,D5!L24,D6!L24)</f>
        <v/>
      </c>
      <c r="M24" s="17">
        <f>CHOOSE(Controls!$B$6,D1!M24,D2!M24,D3!M24,D4!M24,D5!M24,D6!M24)</f>
        <v/>
      </c>
      <c r="N24" s="17">
        <f>CHOOSE(Controls!$B$6,D1!N24,D2!N24,D3!N24,D4!N24,D5!N24,D6!N24)</f>
        <v/>
      </c>
      <c r="O24" s="17">
        <f>CHOOSE(Controls!$B$6,D1!O24,D2!O24,D3!O24,D4!O24,D5!O24,D6!O24)</f>
        <v/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>
        <f>CHOOSE(Controls!$B$6,D1!E25,D2!E25,D3!E25,D4!E25,D5!E25,D6!E25)</f>
        <v/>
      </c>
      <c r="F25" s="16">
        <f>CHOOSE(Controls!$B$6,D1!F25,D2!F25,D3!F25,D4!F25,D5!F25,D6!F25)</f>
        <v/>
      </c>
      <c r="G25" s="16">
        <f>CHOOSE(Controls!$B$6,D1!G25,D2!G25,D3!G25,D4!G25,D5!G25,D6!G25)</f>
        <v/>
      </c>
      <c r="H25" s="16">
        <f>CHOOSE(Controls!$B$6,D1!H25,D2!H25,D3!H25,D4!H25,D5!H25,D6!H25)</f>
        <v/>
      </c>
      <c r="I25" s="16">
        <f>CHOOSE(Controls!$B$6,D1!I25,D2!I25,D3!I25,D4!I25,D5!I25,D6!I25)</f>
        <v/>
      </c>
      <c r="J25" s="16">
        <f>CHOOSE(Controls!$B$6,D1!J25,D2!J25,D3!J25,D4!J25,D5!J25,D6!J25)</f>
        <v/>
      </c>
      <c r="K25" s="16">
        <f>CHOOSE(Controls!$B$6,D1!K25,D2!K25,D3!K25,D4!K25,D5!K25,D6!K25)</f>
        <v/>
      </c>
      <c r="L25" s="16">
        <f>CHOOSE(Controls!$B$6,D1!L25,D2!L25,D3!L25,D4!L25,D5!L25,D6!L25)</f>
        <v/>
      </c>
      <c r="M25" s="16">
        <f>CHOOSE(Controls!$B$6,D1!M25,D2!M25,D3!M25,D4!M25,D5!M25,D6!M25)</f>
        <v/>
      </c>
      <c r="N25" s="16">
        <f>CHOOSE(Controls!$B$6,D1!N25,D2!N25,D3!N25,D4!N25,D5!N25,D6!N25)</f>
        <v/>
      </c>
      <c r="O25" s="16">
        <f>CHOOSE(Controls!$B$6,D1!O25,D2!O25,D3!O25,D4!O25,D5!O25,D6!O25)</f>
        <v/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>
        <f>CHOOSE(Controls!$B$6,D1!E26,D2!E26,D3!E26,D4!E26,D5!E26,D6!E26)</f>
        <v/>
      </c>
      <c r="F26" s="17">
        <f>CHOOSE(Controls!$B$6,D1!F26,D2!F26,D3!F26,D4!F26,D5!F26,D6!F26)</f>
        <v/>
      </c>
      <c r="G26" s="17">
        <f>CHOOSE(Controls!$B$6,D1!G26,D2!G26,D3!G26,D4!G26,D5!G26,D6!G26)</f>
        <v/>
      </c>
      <c r="H26" s="17">
        <f>CHOOSE(Controls!$B$6,D1!H26,D2!H26,D3!H26,D4!H26,D5!H26,D6!H26)</f>
        <v/>
      </c>
      <c r="I26" s="17">
        <f>CHOOSE(Controls!$B$6,D1!I26,D2!I26,D3!I26,D4!I26,D5!I26,D6!I26)</f>
        <v/>
      </c>
      <c r="J26" s="17">
        <f>CHOOSE(Controls!$B$6,D1!J26,D2!J26,D3!J26,D4!J26,D5!J26,D6!J26)</f>
        <v/>
      </c>
      <c r="K26" s="17">
        <f>CHOOSE(Controls!$B$6,D1!K26,D2!K26,D3!K26,D4!K26,D5!K26,D6!K26)</f>
        <v/>
      </c>
      <c r="L26" s="17">
        <f>CHOOSE(Controls!$B$6,D1!L26,D2!L26,D3!L26,D4!L26,D5!L26,D6!L26)</f>
        <v/>
      </c>
      <c r="M26" s="17">
        <f>CHOOSE(Controls!$B$6,D1!M26,D2!M26,D3!M26,D4!M26,D5!M26,D6!M26)</f>
        <v/>
      </c>
      <c r="N26" s="17">
        <f>CHOOSE(Controls!$B$6,D1!N26,D2!N26,D3!N26,D4!N26,D5!N26,D6!N26)</f>
        <v/>
      </c>
      <c r="O26" s="17">
        <f>CHOOSE(Controls!$B$6,D1!O26,D2!O26,D3!O26,D4!O26,D5!O26,D6!O26)</f>
        <v/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>
        <f>CHOOSE(Controls!$B$6,D1!E27,D2!E27,D3!E27,D4!E27,D5!E27,D6!E27)</f>
        <v/>
      </c>
      <c r="F27" s="17">
        <f>CHOOSE(Controls!$B$6,D1!F27,D2!F27,D3!F27,D4!F27,D5!F27,D6!F27)</f>
        <v/>
      </c>
      <c r="G27" s="17">
        <f>CHOOSE(Controls!$B$6,D1!G27,D2!G27,D3!G27,D4!G27,D5!G27,D6!G27)</f>
        <v/>
      </c>
      <c r="H27" s="17">
        <f>CHOOSE(Controls!$B$6,D1!H27,D2!H27,D3!H27,D4!H27,D5!H27,D6!H27)</f>
        <v/>
      </c>
      <c r="I27" s="17">
        <f>CHOOSE(Controls!$B$6,D1!I27,D2!I27,D3!I27,D4!I27,D5!I27,D6!I27)</f>
        <v/>
      </c>
      <c r="J27" s="17">
        <f>CHOOSE(Controls!$B$6,D1!J27,D2!J27,D3!J27,D4!J27,D5!J27,D6!J27)</f>
        <v/>
      </c>
      <c r="K27" s="17">
        <f>CHOOSE(Controls!$B$6,D1!K27,D2!K27,D3!K27,D4!K27,D5!K27,D6!K27)</f>
        <v/>
      </c>
      <c r="L27" s="17">
        <f>CHOOSE(Controls!$B$6,D1!L27,D2!L27,D3!L27,D4!L27,D5!L27,D6!L27)</f>
        <v/>
      </c>
      <c r="M27" s="17">
        <f>CHOOSE(Controls!$B$6,D1!M27,D2!M27,D3!M27,D4!M27,D5!M27,D6!M27)</f>
        <v/>
      </c>
      <c r="N27" s="17">
        <f>CHOOSE(Controls!$B$6,D1!N27,D2!N27,D3!N27,D4!N27,D5!N27,D6!N27)</f>
        <v/>
      </c>
      <c r="O27" s="17">
        <f>CHOOSE(Controls!$B$6,D1!O27,D2!O27,D3!O27,D4!O27,D5!O27,D6!O27)</f>
        <v/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>
        <f>CHOOSE(Controls!$B$6,D1!E29,D2!E29,D3!E29,D4!E29,D5!E29,D6!E29)</f>
        <v/>
      </c>
      <c r="F29" s="15">
        <f>CHOOSE(Controls!$B$6,D1!F29,D2!F29,D3!F29,D4!F29,D5!F29,D6!F29)</f>
        <v/>
      </c>
      <c r="G29" s="15">
        <f>CHOOSE(Controls!$B$6,D1!G29,D2!G29,D3!G29,D4!G29,D5!G29,D6!G29)</f>
        <v/>
      </c>
      <c r="H29" s="15">
        <f>CHOOSE(Controls!$B$6,D1!H29,D2!H29,D3!H29,D4!H29,D5!H29,D6!H29)</f>
        <v/>
      </c>
      <c r="I29" s="15">
        <f>CHOOSE(Controls!$B$6,D1!I29,D2!I29,D3!I29,D4!I29,D5!I29,D6!I29)</f>
        <v/>
      </c>
      <c r="J29" s="15">
        <f>CHOOSE(Controls!$B$6,D1!J29,D2!J29,D3!J29,D4!J29,D5!J29,D6!J29)</f>
        <v/>
      </c>
      <c r="K29" s="15">
        <f>CHOOSE(Controls!$B$6,D1!K29,D2!K29,D3!K29,D4!K29,D5!K29,D6!K29)</f>
        <v/>
      </c>
      <c r="L29" s="15">
        <f>CHOOSE(Controls!$B$6,D1!L29,D2!L29,D3!L29,D4!L29,D5!L29,D6!L29)</f>
        <v/>
      </c>
      <c r="M29" s="15">
        <f>CHOOSE(Controls!$B$6,D1!M29,D2!M29,D3!M29,D4!M29,D5!M29,D6!M29)</f>
        <v/>
      </c>
      <c r="N29" s="15">
        <f>CHOOSE(Controls!$B$6,D1!N29,D2!N29,D3!N29,D4!N29,D5!N29,D6!N29)</f>
        <v/>
      </c>
      <c r="O29" s="15">
        <f>CHOOSE(Controls!$B$6,D1!O29,D2!O29,D3!O29,D4!O29,D5!O29,D6!O29)</f>
        <v/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>
        <f>CHOOSE(Controls!$B$6,D1!E30,D2!E30,D3!E30,D4!E30,D5!E30,D6!E30)</f>
        <v/>
      </c>
      <c r="F30" s="16">
        <f>CHOOSE(Controls!$B$6,D1!F30,D2!F30,D3!F30,D4!F30,D5!F30,D6!F30)</f>
        <v/>
      </c>
      <c r="G30" s="16">
        <f>CHOOSE(Controls!$B$6,D1!G30,D2!G30,D3!G30,D4!G30,D5!G30,D6!G30)</f>
        <v/>
      </c>
      <c r="H30" s="16">
        <f>CHOOSE(Controls!$B$6,D1!H30,D2!H30,D3!H30,D4!H30,D5!H30,D6!H30)</f>
        <v/>
      </c>
      <c r="I30" s="16">
        <f>CHOOSE(Controls!$B$6,D1!I30,D2!I30,D3!I30,D4!I30,D5!I30,D6!I30)</f>
        <v/>
      </c>
      <c r="J30" s="16">
        <f>CHOOSE(Controls!$B$6,D1!J30,D2!J30,D3!J30,D4!J30,D5!J30,D6!J30)</f>
        <v/>
      </c>
      <c r="K30" s="16">
        <f>CHOOSE(Controls!$B$6,D1!K30,D2!K30,D3!K30,D4!K30,D5!K30,D6!K30)</f>
        <v/>
      </c>
      <c r="L30" s="16">
        <f>CHOOSE(Controls!$B$6,D1!L30,D2!L30,D3!L30,D4!L30,D5!L30,D6!L30)</f>
        <v/>
      </c>
      <c r="M30" s="16">
        <f>CHOOSE(Controls!$B$6,D1!M30,D2!M30,D3!M30,D4!M30,D5!M30,D6!M30)</f>
        <v/>
      </c>
      <c r="N30" s="16">
        <f>CHOOSE(Controls!$B$6,D1!N30,D2!N30,D3!N30,D4!N30,D5!N30,D6!N30)</f>
        <v/>
      </c>
      <c r="O30" s="16">
        <f>CHOOSE(Controls!$B$6,D1!O30,D2!O30,D3!O30,D4!O30,D5!O30,D6!O30)</f>
        <v/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>
        <f>CHOOSE(Controls!$B$6,D1!E31,D2!E31,D3!E31,D4!E31,D5!E31,D6!E31)</f>
        <v/>
      </c>
      <c r="F31" s="15">
        <f>CHOOSE(Controls!$B$6,D1!F31,D2!F31,D3!F31,D4!F31,D5!F31,D6!F31)</f>
        <v/>
      </c>
      <c r="G31" s="15">
        <f>CHOOSE(Controls!$B$6,D1!G31,D2!G31,D3!G31,D4!G31,D5!G31,D6!G31)</f>
        <v/>
      </c>
      <c r="H31" s="15">
        <f>CHOOSE(Controls!$B$6,D1!H31,D2!H31,D3!H31,D4!H31,D5!H31,D6!H31)</f>
        <v/>
      </c>
      <c r="I31" s="15">
        <f>CHOOSE(Controls!$B$6,D1!I31,D2!I31,D3!I31,D4!I31,D5!I31,D6!I31)</f>
        <v/>
      </c>
      <c r="J31" s="15">
        <f>CHOOSE(Controls!$B$6,D1!J31,D2!J31,D3!J31,D4!J31,D5!J31,D6!J31)</f>
        <v/>
      </c>
      <c r="K31" s="15">
        <f>CHOOSE(Controls!$B$6,D1!K31,D2!K31,D3!K31,D4!K31,D5!K31,D6!K31)</f>
        <v/>
      </c>
      <c r="L31" s="15">
        <f>CHOOSE(Controls!$B$6,D1!L31,D2!L31,D3!L31,D4!L31,D5!L31,D6!L31)</f>
        <v/>
      </c>
      <c r="M31" s="15">
        <f>CHOOSE(Controls!$B$6,D1!M31,D2!M31,D3!M31,D4!M31,D5!M31,D6!M31)</f>
        <v/>
      </c>
      <c r="N31" s="15">
        <f>CHOOSE(Controls!$B$6,D1!N31,D2!N31,D3!N31,D4!N31,D5!N31,D6!N31)</f>
        <v/>
      </c>
      <c r="O31" s="15">
        <f>CHOOSE(Controls!$B$6,D1!O31,D2!O31,D3!O31,D4!O31,D5!O31,D6!O31)</f>
        <v/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>
        <f>CHOOSE(Controls!$B$6,D1!E32,D2!E32,D3!E32,D4!E32,D5!E32,D6!E32)</f>
        <v/>
      </c>
      <c r="F32" s="15">
        <f>CHOOSE(Controls!$B$6,D1!F32,D2!F32,D3!F32,D4!F32,D5!F32,D6!F32)</f>
        <v/>
      </c>
      <c r="G32" s="15">
        <f>CHOOSE(Controls!$B$6,D1!G32,D2!G32,D3!G32,D4!G32,D5!G32,D6!G32)</f>
        <v/>
      </c>
      <c r="H32" s="15">
        <f>CHOOSE(Controls!$B$6,D1!H32,D2!H32,D3!H32,D4!H32,D5!H32,D6!H32)</f>
        <v/>
      </c>
      <c r="I32" s="15">
        <f>CHOOSE(Controls!$B$6,D1!I32,D2!I32,D3!I32,D4!I32,D5!I32,D6!I32)</f>
        <v/>
      </c>
      <c r="J32" s="15">
        <f>CHOOSE(Controls!$B$6,D1!J32,D2!J32,D3!J32,D4!J32,D5!J32,D6!J32)</f>
        <v/>
      </c>
      <c r="K32" s="15">
        <f>CHOOSE(Controls!$B$6,D1!K32,D2!K32,D3!K32,D4!K32,D5!K32,D6!K32)</f>
        <v/>
      </c>
      <c r="L32" s="15">
        <f>CHOOSE(Controls!$B$6,D1!L32,D2!L32,D3!L32,D4!L32,D5!L32,D6!L32)</f>
        <v/>
      </c>
      <c r="M32" s="15">
        <f>CHOOSE(Controls!$B$6,D1!M32,D2!M32,D3!M32,D4!M32,D5!M32,D6!M32)</f>
        <v/>
      </c>
      <c r="N32" s="15">
        <f>CHOOSE(Controls!$B$6,D1!N32,D2!N32,D3!N32,D4!N32,D5!N32,D6!N32)</f>
        <v/>
      </c>
      <c r="O32" s="15">
        <f>CHOOSE(Controls!$B$6,D1!O32,D2!O32,D3!O32,D4!O32,D5!O32,D6!O32)</f>
        <v/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>
        <f>CHOOSE(Controls!$B$6,D1!E33,D2!E33,D3!E33,D4!E33,D5!E33,D6!E33)</f>
        <v/>
      </c>
      <c r="F33" s="15">
        <f>CHOOSE(Controls!$B$6,D1!F33,D2!F33,D3!F33,D4!F33,D5!F33,D6!F33)</f>
        <v/>
      </c>
      <c r="G33" s="15">
        <f>CHOOSE(Controls!$B$6,D1!G33,D2!G33,D3!G33,D4!G33,D5!G33,D6!G33)</f>
        <v/>
      </c>
      <c r="H33" s="15">
        <f>CHOOSE(Controls!$B$6,D1!H33,D2!H33,D3!H33,D4!H33,D5!H33,D6!H33)</f>
        <v/>
      </c>
      <c r="I33" s="15">
        <f>CHOOSE(Controls!$B$6,D1!I33,D2!I33,D3!I33,D4!I33,D5!I33,D6!I33)</f>
        <v/>
      </c>
      <c r="J33" s="15">
        <f>CHOOSE(Controls!$B$6,D1!J33,D2!J33,D3!J33,D4!J33,D5!J33,D6!J33)</f>
        <v/>
      </c>
      <c r="K33" s="15">
        <f>CHOOSE(Controls!$B$6,D1!K33,D2!K33,D3!K33,D4!K33,D5!K33,D6!K33)</f>
        <v/>
      </c>
      <c r="L33" s="15">
        <f>CHOOSE(Controls!$B$6,D1!L33,D2!L33,D3!L33,D4!L33,D5!L33,D6!L33)</f>
        <v/>
      </c>
      <c r="M33" s="15">
        <f>CHOOSE(Controls!$B$6,D1!M33,D2!M33,D3!M33,D4!M33,D5!M33,D6!M33)</f>
        <v/>
      </c>
      <c r="N33" s="15">
        <f>CHOOSE(Controls!$B$6,D1!N33,D2!N33,D3!N33,D4!N33,D5!N33,D6!N33)</f>
        <v/>
      </c>
      <c r="O33" s="15">
        <f>CHOOSE(Controls!$B$6,D1!O33,D2!O33,D3!O33,D4!O33,D5!O33,D6!O33)</f>
        <v/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>
        <f>CHOOSE(Controls!$B$6,D1!E34,D2!E34,D3!E34,D4!E34,D5!E34,D6!E34)</f>
        <v/>
      </c>
      <c r="F34" s="15">
        <f>CHOOSE(Controls!$B$6,D1!F34,D2!F34,D3!F34,D4!F34,D5!F34,D6!F34)</f>
        <v/>
      </c>
      <c r="G34" s="15">
        <f>CHOOSE(Controls!$B$6,D1!G34,D2!G34,D3!G34,D4!G34,D5!G34,D6!G34)</f>
        <v/>
      </c>
      <c r="H34" s="15">
        <f>CHOOSE(Controls!$B$6,D1!H34,D2!H34,D3!H34,D4!H34,D5!H34,D6!H34)</f>
        <v/>
      </c>
      <c r="I34" s="15">
        <f>CHOOSE(Controls!$B$6,D1!I34,D2!I34,D3!I34,D4!I34,D5!I34,D6!I34)</f>
        <v/>
      </c>
      <c r="J34" s="15">
        <f>CHOOSE(Controls!$B$6,D1!J34,D2!J34,D3!J34,D4!J34,D5!J34,D6!J34)</f>
        <v/>
      </c>
      <c r="K34" s="15">
        <f>CHOOSE(Controls!$B$6,D1!K34,D2!K34,D3!K34,D4!K34,D5!K34,D6!K34)</f>
        <v/>
      </c>
      <c r="L34" s="15">
        <f>CHOOSE(Controls!$B$6,D1!L34,D2!L34,D3!L34,D4!L34,D5!L34,D6!L34)</f>
        <v/>
      </c>
      <c r="M34" s="15">
        <f>CHOOSE(Controls!$B$6,D1!M34,D2!M34,D3!M34,D4!M34,D5!M34,D6!M34)</f>
        <v/>
      </c>
      <c r="N34" s="15">
        <f>CHOOSE(Controls!$B$6,D1!N34,D2!N34,D3!N34,D4!N34,D5!N34,D6!N34)</f>
        <v/>
      </c>
      <c r="O34" s="15">
        <f>CHOOSE(Controls!$B$6,D1!O34,D2!O34,D3!O34,D4!O34,D5!O34,D6!O34)</f>
        <v/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>
        <f>CHOOSE(Controls!$B$6,D1!E35,D2!E35,D3!E35,D4!E35,D5!E35,D6!E35)</f>
        <v/>
      </c>
      <c r="F35" s="15">
        <f>CHOOSE(Controls!$B$6,D1!F35,D2!F35,D3!F35,D4!F35,D5!F35,D6!F35)</f>
        <v/>
      </c>
      <c r="G35" s="15">
        <f>CHOOSE(Controls!$B$6,D1!G35,D2!G35,D3!G35,D4!G35,D5!G35,D6!G35)</f>
        <v/>
      </c>
      <c r="H35" s="15">
        <f>CHOOSE(Controls!$B$6,D1!H35,D2!H35,D3!H35,D4!H35,D5!H35,D6!H35)</f>
        <v/>
      </c>
      <c r="I35" s="15">
        <f>CHOOSE(Controls!$B$6,D1!I35,D2!I35,D3!I35,D4!I35,D5!I35,D6!I35)</f>
        <v/>
      </c>
      <c r="J35" s="15">
        <f>CHOOSE(Controls!$B$6,D1!J35,D2!J35,D3!J35,D4!J35,D5!J35,D6!J35)</f>
        <v/>
      </c>
      <c r="K35" s="15">
        <f>CHOOSE(Controls!$B$6,D1!K35,D2!K35,D3!K35,D4!K35,D5!K35,D6!K35)</f>
        <v/>
      </c>
      <c r="L35" s="15">
        <f>CHOOSE(Controls!$B$6,D1!L35,D2!L35,D3!L35,D4!L35,D5!L35,D6!L35)</f>
        <v/>
      </c>
      <c r="M35" s="15">
        <f>CHOOSE(Controls!$B$6,D1!M35,D2!M35,D3!M35,D4!M35,D5!M35,D6!M35)</f>
        <v/>
      </c>
      <c r="N35" s="15">
        <f>CHOOSE(Controls!$B$6,D1!N35,D2!N35,D3!N35,D4!N35,D5!N35,D6!N35)</f>
        <v/>
      </c>
      <c r="O35" s="15">
        <f>CHOOSE(Controls!$B$6,D1!O35,D2!O35,D3!O35,D4!O35,D5!O35,D6!O35)</f>
        <v/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>
        <f>CHOOSE(Controls!$B$6,D1!E36,D2!E36,D3!E36,D4!E36,D5!E36,D6!E36)</f>
        <v/>
      </c>
      <c r="F36" s="15">
        <f>CHOOSE(Controls!$B$6,D1!F36,D2!F36,D3!F36,D4!F36,D5!F36,D6!F36)</f>
        <v/>
      </c>
      <c r="G36" s="15">
        <f>CHOOSE(Controls!$B$6,D1!G36,D2!G36,D3!G36,D4!G36,D5!G36,D6!G36)</f>
        <v/>
      </c>
      <c r="H36" s="15">
        <f>CHOOSE(Controls!$B$6,D1!H36,D2!H36,D3!H36,D4!H36,D5!H36,D6!H36)</f>
        <v/>
      </c>
      <c r="I36" s="15">
        <f>CHOOSE(Controls!$B$6,D1!I36,D2!I36,D3!I36,D4!I36,D5!I36,D6!I36)</f>
        <v/>
      </c>
      <c r="J36" s="15">
        <f>CHOOSE(Controls!$B$6,D1!J36,D2!J36,D3!J36,D4!J36,D5!J36,D6!J36)</f>
        <v/>
      </c>
      <c r="K36" s="15">
        <f>CHOOSE(Controls!$B$6,D1!K36,D2!K36,D3!K36,D4!K36,D5!K36,D6!K36)</f>
        <v/>
      </c>
      <c r="L36" s="15">
        <f>CHOOSE(Controls!$B$6,D1!L36,D2!L36,D3!L36,D4!L36,D5!L36,D6!L36)</f>
        <v/>
      </c>
      <c r="M36" s="15">
        <f>CHOOSE(Controls!$B$6,D1!M36,D2!M36,D3!M36,D4!M36,D5!M36,D6!M36)</f>
        <v/>
      </c>
      <c r="N36" s="15">
        <f>CHOOSE(Controls!$B$6,D1!N36,D2!N36,D3!N36,D4!N36,D5!N36,D6!N36)</f>
        <v/>
      </c>
      <c r="O36" s="15">
        <f>CHOOSE(Controls!$B$6,D1!O36,D2!O36,D3!O36,D4!O36,D5!O36,D6!O36)</f>
        <v/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>
        <f>CHOOSE(Controls!$B$6,D1!E37,D2!E37,D3!E37,D4!E37,D5!E37,D6!E37)</f>
        <v/>
      </c>
      <c r="F37" s="15">
        <f>CHOOSE(Controls!$B$6,D1!F37,D2!F37,D3!F37,D4!F37,D5!F37,D6!F37)</f>
        <v/>
      </c>
      <c r="G37" s="15">
        <f>CHOOSE(Controls!$B$6,D1!G37,D2!G37,D3!G37,D4!G37,D5!G37,D6!G37)</f>
        <v/>
      </c>
      <c r="H37" s="15">
        <f>CHOOSE(Controls!$B$6,D1!H37,D2!H37,D3!H37,D4!H37,D5!H37,D6!H37)</f>
        <v/>
      </c>
      <c r="I37" s="15">
        <f>CHOOSE(Controls!$B$6,D1!I37,D2!I37,D3!I37,D4!I37,D5!I37,D6!I37)</f>
        <v/>
      </c>
      <c r="J37" s="15">
        <f>CHOOSE(Controls!$B$6,D1!J37,D2!J37,D3!J37,D4!J37,D5!J37,D6!J37)</f>
        <v/>
      </c>
      <c r="K37" s="15">
        <f>CHOOSE(Controls!$B$6,D1!K37,D2!K37,D3!K37,D4!K37,D5!K37,D6!K37)</f>
        <v/>
      </c>
      <c r="L37" s="15">
        <f>CHOOSE(Controls!$B$6,D1!L37,D2!L37,D3!L37,D4!L37,D5!L37,D6!L37)</f>
        <v/>
      </c>
      <c r="M37" s="15">
        <f>CHOOSE(Controls!$B$6,D1!M37,D2!M37,D3!M37,D4!M37,D5!M37,D6!M37)</f>
        <v/>
      </c>
      <c r="N37" s="15">
        <f>CHOOSE(Controls!$B$6,D1!N37,D2!N37,D3!N37,D4!N37,D5!N37,D6!N37)</f>
        <v/>
      </c>
      <c r="O37" s="15">
        <f>CHOOSE(Controls!$B$6,D1!O37,D2!O37,D3!O37,D4!O37,D5!O37,D6!O37)</f>
        <v/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>
        <f>CHOOSE(Controls!$B$6,D1!E38,D2!E38,D3!E38,D4!E38,D5!E38,D6!E38)</f>
        <v/>
      </c>
      <c r="F38" s="15">
        <f>CHOOSE(Controls!$B$6,D1!F38,D2!F38,D3!F38,D4!F38,D5!F38,D6!F38)</f>
        <v/>
      </c>
      <c r="G38" s="15">
        <f>CHOOSE(Controls!$B$6,D1!G38,D2!G38,D3!G38,D4!G38,D5!G38,D6!G38)</f>
        <v/>
      </c>
      <c r="H38" s="15">
        <f>CHOOSE(Controls!$B$6,D1!H38,D2!H38,D3!H38,D4!H38,D5!H38,D6!H38)</f>
        <v/>
      </c>
      <c r="I38" s="15">
        <f>CHOOSE(Controls!$B$6,D1!I38,D2!I38,D3!I38,D4!I38,D5!I38,D6!I38)</f>
        <v/>
      </c>
      <c r="J38" s="15">
        <f>CHOOSE(Controls!$B$6,D1!J38,D2!J38,D3!J38,D4!J38,D5!J38,D6!J38)</f>
        <v/>
      </c>
      <c r="K38" s="15">
        <f>CHOOSE(Controls!$B$6,D1!K38,D2!K38,D3!K38,D4!K38,D5!K38,D6!K38)</f>
        <v/>
      </c>
      <c r="L38" s="15">
        <f>CHOOSE(Controls!$B$6,D1!L38,D2!L38,D3!L38,D4!L38,D5!L38,D6!L38)</f>
        <v/>
      </c>
      <c r="M38" s="15">
        <f>CHOOSE(Controls!$B$6,D1!M38,D2!M38,D3!M38,D4!M38,D5!M38,D6!M38)</f>
        <v/>
      </c>
      <c r="N38" s="15">
        <f>CHOOSE(Controls!$B$6,D1!N38,D2!N38,D3!N38,D4!N38,D5!N38,D6!N38)</f>
        <v/>
      </c>
      <c r="O38" s="15">
        <f>CHOOSE(Controls!$B$6,D1!O38,D2!O38,D3!O38,D4!O38,D5!O38,D6!O38)</f>
        <v/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>
        <f>CHOOSE(Controls!$B$6,D1!E39,D2!E39,D3!E39,D4!E39,D5!E39,D6!E39)</f>
        <v/>
      </c>
      <c r="F39" s="15">
        <f>CHOOSE(Controls!$B$6,D1!F39,D2!F39,D3!F39,D4!F39,D5!F39,D6!F39)</f>
        <v/>
      </c>
      <c r="G39" s="15">
        <f>CHOOSE(Controls!$B$6,D1!G39,D2!G39,D3!G39,D4!G39,D5!G39,D6!G39)</f>
        <v/>
      </c>
      <c r="H39" s="15">
        <f>CHOOSE(Controls!$B$6,D1!H39,D2!H39,D3!H39,D4!H39,D5!H39,D6!H39)</f>
        <v/>
      </c>
      <c r="I39" s="15">
        <f>CHOOSE(Controls!$B$6,D1!I39,D2!I39,D3!I39,D4!I39,D5!I39,D6!I39)</f>
        <v/>
      </c>
      <c r="J39" s="15">
        <f>CHOOSE(Controls!$B$6,D1!J39,D2!J39,D3!J39,D4!J39,D5!J39,D6!J39)</f>
        <v/>
      </c>
      <c r="K39" s="15">
        <f>CHOOSE(Controls!$B$6,D1!K39,D2!K39,D3!K39,D4!K39,D5!K39,D6!K39)</f>
        <v/>
      </c>
      <c r="L39" s="15">
        <f>CHOOSE(Controls!$B$6,D1!L39,D2!L39,D3!L39,D4!L39,D5!L39,D6!L39)</f>
        <v/>
      </c>
      <c r="M39" s="15">
        <f>CHOOSE(Controls!$B$6,D1!M39,D2!M39,D3!M39,D4!M39,D5!M39,D6!M39)</f>
        <v/>
      </c>
      <c r="N39" s="15">
        <f>CHOOSE(Controls!$B$6,D1!N39,D2!N39,D3!N39,D4!N39,D5!N39,D6!N39)</f>
        <v/>
      </c>
      <c r="O39" s="15">
        <f>CHOOSE(Controls!$B$6,D1!O39,D2!O39,D3!O39,D4!O39,D5!O39,D6!O39)</f>
        <v/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>
        <f>CHOOSE(Controls!$B$6,D1!E40,D2!E40,D3!E40,D4!E40,D5!E40,D6!E40)</f>
        <v/>
      </c>
      <c r="F40" s="15">
        <f>CHOOSE(Controls!$B$6,D1!F40,D2!F40,D3!F40,D4!F40,D5!F40,D6!F40)</f>
        <v/>
      </c>
      <c r="G40" s="15">
        <f>CHOOSE(Controls!$B$6,D1!G40,D2!G40,D3!G40,D4!G40,D5!G40,D6!G40)</f>
        <v/>
      </c>
      <c r="H40" s="15">
        <f>CHOOSE(Controls!$B$6,D1!H40,D2!H40,D3!H40,D4!H40,D5!H40,D6!H40)</f>
        <v/>
      </c>
      <c r="I40" s="15">
        <f>CHOOSE(Controls!$B$6,D1!I40,D2!I40,D3!I40,D4!I40,D5!I40,D6!I40)</f>
        <v/>
      </c>
      <c r="J40" s="15">
        <f>CHOOSE(Controls!$B$6,D1!J40,D2!J40,D3!J40,D4!J40,D5!J40,D6!J40)</f>
        <v/>
      </c>
      <c r="K40" s="15">
        <f>CHOOSE(Controls!$B$6,D1!K40,D2!K40,D3!K40,D4!K40,D5!K40,D6!K40)</f>
        <v/>
      </c>
      <c r="L40" s="15">
        <f>CHOOSE(Controls!$B$6,D1!L40,D2!L40,D3!L40,D4!L40,D5!L40,D6!L40)</f>
        <v/>
      </c>
      <c r="M40" s="15">
        <f>CHOOSE(Controls!$B$6,D1!M40,D2!M40,D3!M40,D4!M40,D5!M40,D6!M40)</f>
        <v/>
      </c>
      <c r="N40" s="15">
        <f>CHOOSE(Controls!$B$6,D1!N40,D2!N40,D3!N40,D4!N40,D5!N40,D6!N40)</f>
        <v/>
      </c>
      <c r="O40" s="15">
        <f>CHOOSE(Controls!$B$6,D1!O40,D2!O40,D3!O40,D4!O40,D5!O40,D6!O40)</f>
        <v/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>
        <f>CHOOSE(Controls!$B$6,D1!E41,D2!E41,D3!E41,D4!E41,D5!E41,D6!E41)</f>
        <v/>
      </c>
      <c r="F41" s="17">
        <f>CHOOSE(Controls!$B$6,D1!F41,D2!F41,D3!F41,D4!F41,D5!F41,D6!F41)</f>
        <v/>
      </c>
      <c r="G41" s="17">
        <f>CHOOSE(Controls!$B$6,D1!G41,D2!G41,D3!G41,D4!G41,D5!G41,D6!G41)</f>
        <v/>
      </c>
      <c r="H41" s="17">
        <f>CHOOSE(Controls!$B$6,D1!H41,D2!H41,D3!H41,D4!H41,D5!H41,D6!H41)</f>
        <v/>
      </c>
      <c r="I41" s="17">
        <f>CHOOSE(Controls!$B$6,D1!I41,D2!I41,D3!I41,D4!I41,D5!I41,D6!I41)</f>
        <v/>
      </c>
      <c r="J41" s="17">
        <f>CHOOSE(Controls!$B$6,D1!J41,D2!J41,D3!J41,D4!J41,D5!J41,D6!J41)</f>
        <v/>
      </c>
      <c r="K41" s="17">
        <f>CHOOSE(Controls!$B$6,D1!K41,D2!K41,D3!K41,D4!K41,D5!K41,D6!K41)</f>
        <v/>
      </c>
      <c r="L41" s="17">
        <f>CHOOSE(Controls!$B$6,D1!L41,D2!L41,D3!L41,D4!L41,D5!L41,D6!L41)</f>
        <v/>
      </c>
      <c r="M41" s="17">
        <f>CHOOSE(Controls!$B$6,D1!M41,D2!M41,D3!M41,D4!M41,D5!M41,D6!M41)</f>
        <v/>
      </c>
      <c r="N41" s="17">
        <f>CHOOSE(Controls!$B$6,D1!N41,D2!N41,D3!N41,D4!N41,D5!N41,D6!N41)</f>
        <v/>
      </c>
      <c r="O41" s="17">
        <f>CHOOSE(Controls!$B$6,D1!O41,D2!O41,D3!O41,D4!O41,D5!O41,D6!O41)</f>
        <v/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>
        <f>CHOOSE(Controls!$B$6,D1!E42,D2!E42,D3!E42,D4!E42,D5!E42,D6!E42)</f>
        <v/>
      </c>
      <c r="F42" s="15">
        <f>CHOOSE(Controls!$B$6,D1!F42,D2!F42,D3!F42,D4!F42,D5!F42,D6!F42)</f>
        <v/>
      </c>
      <c r="G42" s="15">
        <f>CHOOSE(Controls!$B$6,D1!G42,D2!G42,D3!G42,D4!G42,D5!G42,D6!G42)</f>
        <v/>
      </c>
      <c r="H42" s="15">
        <f>CHOOSE(Controls!$B$6,D1!H42,D2!H42,D3!H42,D4!H42,D5!H42,D6!H42)</f>
        <v/>
      </c>
      <c r="I42" s="15">
        <f>CHOOSE(Controls!$B$6,D1!I42,D2!I42,D3!I42,D4!I42,D5!I42,D6!I42)</f>
        <v/>
      </c>
      <c r="J42" s="15">
        <f>CHOOSE(Controls!$B$6,D1!J42,D2!J42,D3!J42,D4!J42,D5!J42,D6!J42)</f>
        <v/>
      </c>
      <c r="K42" s="15">
        <f>CHOOSE(Controls!$B$6,D1!K42,D2!K42,D3!K42,D4!K42,D5!K42,D6!K42)</f>
        <v/>
      </c>
      <c r="L42" s="15">
        <f>CHOOSE(Controls!$B$6,D1!L42,D2!L42,D3!L42,D4!L42,D5!L42,D6!L42)</f>
        <v/>
      </c>
      <c r="M42" s="15">
        <f>CHOOSE(Controls!$B$6,D1!M42,D2!M42,D3!M42,D4!M42,D5!M42,D6!M42)</f>
        <v/>
      </c>
      <c r="N42" s="15">
        <f>CHOOSE(Controls!$B$6,D1!N42,D2!N42,D3!N42,D4!N42,D5!N42,D6!N42)</f>
        <v/>
      </c>
      <c r="O42" s="15">
        <f>CHOOSE(Controls!$B$6,D1!O42,D2!O42,D3!O42,D4!O42,D5!O42,D6!O42)</f>
        <v/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>
        <f>CHOOSE(Controls!$B$6,D1!E43,D2!E43,D3!E43,D4!E43,D5!E43,D6!E43)</f>
        <v/>
      </c>
      <c r="F43" s="15">
        <f>CHOOSE(Controls!$B$6,D1!F43,D2!F43,D3!F43,D4!F43,D5!F43,D6!F43)</f>
        <v/>
      </c>
      <c r="G43" s="15">
        <f>CHOOSE(Controls!$B$6,D1!G43,D2!G43,D3!G43,D4!G43,D5!G43,D6!G43)</f>
        <v/>
      </c>
      <c r="H43" s="15">
        <f>CHOOSE(Controls!$B$6,D1!H43,D2!H43,D3!H43,D4!H43,D5!H43,D6!H43)</f>
        <v/>
      </c>
      <c r="I43" s="15">
        <f>CHOOSE(Controls!$B$6,D1!I43,D2!I43,D3!I43,D4!I43,D5!I43,D6!I43)</f>
        <v/>
      </c>
      <c r="J43" s="15">
        <f>CHOOSE(Controls!$B$6,D1!J43,D2!J43,D3!J43,D4!J43,D5!J43,D6!J43)</f>
        <v/>
      </c>
      <c r="K43" s="15">
        <f>CHOOSE(Controls!$B$6,D1!K43,D2!K43,D3!K43,D4!K43,D5!K43,D6!K43)</f>
        <v/>
      </c>
      <c r="L43" s="15">
        <f>CHOOSE(Controls!$B$6,D1!L43,D2!L43,D3!L43,D4!L43,D5!L43,D6!L43)</f>
        <v/>
      </c>
      <c r="M43" s="15">
        <f>CHOOSE(Controls!$B$6,D1!M43,D2!M43,D3!M43,D4!M43,D5!M43,D6!M43)</f>
        <v/>
      </c>
      <c r="N43" s="15">
        <f>CHOOSE(Controls!$B$6,D1!N43,D2!N43,D3!N43,D4!N43,D5!N43,D6!N43)</f>
        <v/>
      </c>
      <c r="O43" s="15">
        <f>CHOOSE(Controls!$B$6,D1!O43,D2!O43,D3!O43,D4!O43,D5!O43,D6!O43)</f>
        <v/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>
        <f>CHOOSE(Controls!$B$6,D1!E44,D2!E44,D3!E44,D4!E44,D5!E44,D6!E44)</f>
        <v/>
      </c>
      <c r="F44" s="16">
        <f>CHOOSE(Controls!$B$6,D1!F44,D2!F44,D3!F44,D4!F44,D5!F44,D6!F44)</f>
        <v/>
      </c>
      <c r="G44" s="16">
        <f>CHOOSE(Controls!$B$6,D1!G44,D2!G44,D3!G44,D4!G44,D5!G44,D6!G44)</f>
        <v/>
      </c>
      <c r="H44" s="16">
        <f>CHOOSE(Controls!$B$6,D1!H44,D2!H44,D3!H44,D4!H44,D5!H44,D6!H44)</f>
        <v/>
      </c>
      <c r="I44" s="16">
        <f>CHOOSE(Controls!$B$6,D1!I44,D2!I44,D3!I44,D4!I44,D5!I44,D6!I44)</f>
        <v/>
      </c>
      <c r="J44" s="16">
        <f>CHOOSE(Controls!$B$6,D1!J44,D2!J44,D3!J44,D4!J44,D5!J44,D6!J44)</f>
        <v/>
      </c>
      <c r="K44" s="16">
        <f>CHOOSE(Controls!$B$6,D1!K44,D2!K44,D3!K44,D4!K44,D5!K44,D6!K44)</f>
        <v/>
      </c>
      <c r="L44" s="16">
        <f>CHOOSE(Controls!$B$6,D1!L44,D2!L44,D3!L44,D4!L44,D5!L44,D6!L44)</f>
        <v/>
      </c>
      <c r="M44" s="16">
        <f>CHOOSE(Controls!$B$6,D1!M44,D2!M44,D3!M44,D4!M44,D5!M44,D6!M44)</f>
        <v/>
      </c>
      <c r="N44" s="16">
        <f>CHOOSE(Controls!$B$6,D1!N44,D2!N44,D3!N44,D4!N44,D5!N44,D6!N44)</f>
        <v/>
      </c>
      <c r="O44" s="16">
        <f>CHOOSE(Controls!$B$6,D1!O44,D2!O44,D3!O44,D4!O44,D5!O44,D6!O44)</f>
        <v/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>
        <f>CHOOSE(Controls!$B$6,D1!E45,D2!E45,D3!E45,D4!E45,D5!E45,D6!E45)</f>
        <v/>
      </c>
      <c r="F45" s="15">
        <f>CHOOSE(Controls!$B$6,D1!F45,D2!F45,D3!F45,D4!F45,D5!F45,D6!F45)</f>
        <v/>
      </c>
      <c r="G45" s="15">
        <f>CHOOSE(Controls!$B$6,D1!G45,D2!G45,D3!G45,D4!G45,D5!G45,D6!G45)</f>
        <v/>
      </c>
      <c r="H45" s="15">
        <f>CHOOSE(Controls!$B$6,D1!H45,D2!H45,D3!H45,D4!H45,D5!H45,D6!H45)</f>
        <v/>
      </c>
      <c r="I45" s="15">
        <f>CHOOSE(Controls!$B$6,D1!I45,D2!I45,D3!I45,D4!I45,D5!I45,D6!I45)</f>
        <v/>
      </c>
      <c r="J45" s="15">
        <f>CHOOSE(Controls!$B$6,D1!J45,D2!J45,D3!J45,D4!J45,D5!J45,D6!J45)</f>
        <v/>
      </c>
      <c r="K45" s="15">
        <f>CHOOSE(Controls!$B$6,D1!K45,D2!K45,D3!K45,D4!K45,D5!K45,D6!K45)</f>
        <v/>
      </c>
      <c r="L45" s="15">
        <f>CHOOSE(Controls!$B$6,D1!L45,D2!L45,D3!L45,D4!L45,D5!L45,D6!L45)</f>
        <v/>
      </c>
      <c r="M45" s="15">
        <f>CHOOSE(Controls!$B$6,D1!M45,D2!M45,D3!M45,D4!M45,D5!M45,D6!M45)</f>
        <v/>
      </c>
      <c r="N45" s="15">
        <f>CHOOSE(Controls!$B$6,D1!N45,D2!N45,D3!N45,D4!N45,D5!N45,D6!N45)</f>
        <v/>
      </c>
      <c r="O45" s="15">
        <f>CHOOSE(Controls!$B$6,D1!O45,D2!O45,D3!O45,D4!O45,D5!O45,D6!O45)</f>
        <v/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>
        <f>CHOOSE(Controls!$B$6,D1!E46,D2!E46,D3!E46,D4!E46,D5!E46,D6!E46)</f>
        <v/>
      </c>
      <c r="F46" s="16">
        <f>CHOOSE(Controls!$B$6,D1!F46,D2!F46,D3!F46,D4!F46,D5!F46,D6!F46)</f>
        <v/>
      </c>
      <c r="G46" s="16">
        <f>CHOOSE(Controls!$B$6,D1!G46,D2!G46,D3!G46,D4!G46,D5!G46,D6!G46)</f>
        <v/>
      </c>
      <c r="H46" s="16">
        <f>CHOOSE(Controls!$B$6,D1!H46,D2!H46,D3!H46,D4!H46,D5!H46,D6!H46)</f>
        <v/>
      </c>
      <c r="I46" s="16">
        <f>CHOOSE(Controls!$B$6,D1!I46,D2!I46,D3!I46,D4!I46,D5!I46,D6!I46)</f>
        <v/>
      </c>
      <c r="J46" s="16">
        <f>CHOOSE(Controls!$B$6,D1!J46,D2!J46,D3!J46,D4!J46,D5!J46,D6!J46)</f>
        <v/>
      </c>
      <c r="K46" s="16">
        <f>CHOOSE(Controls!$B$6,D1!K46,D2!K46,D3!K46,D4!K46,D5!K46,D6!K46)</f>
        <v/>
      </c>
      <c r="L46" s="16">
        <f>CHOOSE(Controls!$B$6,D1!L46,D2!L46,D3!L46,D4!L46,D5!L46,D6!L46)</f>
        <v/>
      </c>
      <c r="M46" s="16">
        <f>CHOOSE(Controls!$B$6,D1!M46,D2!M46,D3!M46,D4!M46,D5!M46,D6!M46)</f>
        <v/>
      </c>
      <c r="N46" s="16">
        <f>CHOOSE(Controls!$B$6,D1!N46,D2!N46,D3!N46,D4!N46,D5!N46,D6!N46)</f>
        <v/>
      </c>
      <c r="O46" s="16">
        <f>CHOOSE(Controls!$B$6,D1!O46,D2!O46,D3!O46,D4!O46,D5!O46,D6!O46)</f>
        <v/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>
        <f>CHOOSE(Controls!$B$6,D1!E47,D2!E47,D3!E47,D4!E47,D5!E47,D6!E47)</f>
        <v/>
      </c>
      <c r="F47" s="15">
        <f>CHOOSE(Controls!$B$6,D1!F47,D2!F47,D3!F47,D4!F47,D5!F47,D6!F47)</f>
        <v/>
      </c>
      <c r="G47" s="15">
        <f>CHOOSE(Controls!$B$6,D1!G47,D2!G47,D3!G47,D4!G47,D5!G47,D6!G47)</f>
        <v/>
      </c>
      <c r="H47" s="15">
        <f>CHOOSE(Controls!$B$6,D1!H47,D2!H47,D3!H47,D4!H47,D5!H47,D6!H47)</f>
        <v/>
      </c>
      <c r="I47" s="15">
        <f>CHOOSE(Controls!$B$6,D1!I47,D2!I47,D3!I47,D4!I47,D5!I47,D6!I47)</f>
        <v/>
      </c>
      <c r="J47" s="15">
        <f>CHOOSE(Controls!$B$6,D1!J47,D2!J47,D3!J47,D4!J47,D5!J47,D6!J47)</f>
        <v/>
      </c>
      <c r="K47" s="15">
        <f>CHOOSE(Controls!$B$6,D1!K47,D2!K47,D3!K47,D4!K47,D5!K47,D6!K47)</f>
        <v/>
      </c>
      <c r="L47" s="15">
        <f>CHOOSE(Controls!$B$6,D1!L47,D2!L47,D3!L47,D4!L47,D5!L47,D6!L47)</f>
        <v/>
      </c>
      <c r="M47" s="15">
        <f>CHOOSE(Controls!$B$6,D1!M47,D2!M47,D3!M47,D4!M47,D5!M47,D6!M47)</f>
        <v/>
      </c>
      <c r="N47" s="15">
        <f>CHOOSE(Controls!$B$6,D1!N47,D2!N47,D3!N47,D4!N47,D5!N47,D6!N47)</f>
        <v/>
      </c>
      <c r="O47" s="15">
        <f>CHOOSE(Controls!$B$6,D1!O47,D2!O47,D3!O47,D4!O47,D5!O47,D6!O47)</f>
        <v/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>
        <f>CHOOSE(Controls!$B$6,D1!E48,D2!E48,D3!E48,D4!E48,D5!E48,D6!E48)</f>
        <v/>
      </c>
      <c r="F48" s="15">
        <f>CHOOSE(Controls!$B$6,D1!F48,D2!F48,D3!F48,D4!F48,D5!F48,D6!F48)</f>
        <v/>
      </c>
      <c r="G48" s="15">
        <f>CHOOSE(Controls!$B$6,D1!G48,D2!G48,D3!G48,D4!G48,D5!G48,D6!G48)</f>
        <v/>
      </c>
      <c r="H48" s="15">
        <f>CHOOSE(Controls!$B$6,D1!H48,D2!H48,D3!H48,D4!H48,D5!H48,D6!H48)</f>
        <v/>
      </c>
      <c r="I48" s="15">
        <f>CHOOSE(Controls!$B$6,D1!I48,D2!I48,D3!I48,D4!I48,D5!I48,D6!I48)</f>
        <v/>
      </c>
      <c r="J48" s="15">
        <f>CHOOSE(Controls!$B$6,D1!J48,D2!J48,D3!J48,D4!J48,D5!J48,D6!J48)</f>
        <v/>
      </c>
      <c r="K48" s="15">
        <f>CHOOSE(Controls!$B$6,D1!K48,D2!K48,D3!K48,D4!K48,D5!K48,D6!K48)</f>
        <v/>
      </c>
      <c r="L48" s="15">
        <f>CHOOSE(Controls!$B$6,D1!L48,D2!L48,D3!L48,D4!L48,D5!L48,D6!L48)</f>
        <v/>
      </c>
      <c r="M48" s="15">
        <f>CHOOSE(Controls!$B$6,D1!M48,D2!M48,D3!M48,D4!M48,D5!M48,D6!M48)</f>
        <v/>
      </c>
      <c r="N48" s="15">
        <f>CHOOSE(Controls!$B$6,D1!N48,D2!N48,D3!N48,D4!N48,D5!N48,D6!N48)</f>
        <v/>
      </c>
      <c r="O48" s="15">
        <f>CHOOSE(Controls!$B$6,D1!O48,D2!O48,D3!O48,D4!O48,D5!O48,D6!O48)</f>
        <v/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>
        <f>CHOOSE(Controls!$B$6,D1!E49,D2!E49,D3!E49,D4!E49,D5!E49,D6!E49)</f>
        <v/>
      </c>
      <c r="F49" s="16">
        <f>CHOOSE(Controls!$B$6,D1!F49,D2!F49,D3!F49,D4!F49,D5!F49,D6!F49)</f>
        <v/>
      </c>
      <c r="G49" s="16">
        <f>CHOOSE(Controls!$B$6,D1!G49,D2!G49,D3!G49,D4!G49,D5!G49,D6!G49)</f>
        <v/>
      </c>
      <c r="H49" s="16">
        <f>CHOOSE(Controls!$B$6,D1!H49,D2!H49,D3!H49,D4!H49,D5!H49,D6!H49)</f>
        <v/>
      </c>
      <c r="I49" s="16">
        <f>CHOOSE(Controls!$B$6,D1!I49,D2!I49,D3!I49,D4!I49,D5!I49,D6!I49)</f>
        <v/>
      </c>
      <c r="J49" s="16">
        <f>CHOOSE(Controls!$B$6,D1!J49,D2!J49,D3!J49,D4!J49,D5!J49,D6!J49)</f>
        <v/>
      </c>
      <c r="K49" s="16">
        <f>CHOOSE(Controls!$B$6,D1!K49,D2!K49,D3!K49,D4!K49,D5!K49,D6!K49)</f>
        <v/>
      </c>
      <c r="L49" s="16">
        <f>CHOOSE(Controls!$B$6,D1!L49,D2!L49,D3!L49,D4!L49,D5!L49,D6!L49)</f>
        <v/>
      </c>
      <c r="M49" s="16">
        <f>CHOOSE(Controls!$B$6,D1!M49,D2!M49,D3!M49,D4!M49,D5!M49,D6!M49)</f>
        <v/>
      </c>
      <c r="N49" s="16">
        <f>CHOOSE(Controls!$B$6,D1!N49,D2!N49,D3!N49,D4!N49,D5!N49,D6!N49)</f>
        <v/>
      </c>
      <c r="O49" s="16">
        <f>CHOOSE(Controls!$B$6,D1!O49,D2!O49,D3!O49,D4!O49,D5!O49,D6!O49)</f>
        <v/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>
        <f>CHOOSE(Controls!$B$6,D1!E50,D2!E50,D3!E50,D4!E50,D5!E50,D6!E50)</f>
        <v/>
      </c>
      <c r="F50" s="15">
        <f>CHOOSE(Controls!$B$6,D1!F50,D2!F50,D3!F50,D4!F50,D5!F50,D6!F50)</f>
        <v/>
      </c>
      <c r="G50" s="15">
        <f>CHOOSE(Controls!$B$6,D1!G50,D2!G50,D3!G50,D4!G50,D5!G50,D6!G50)</f>
        <v/>
      </c>
      <c r="H50" s="15">
        <f>CHOOSE(Controls!$B$6,D1!H50,D2!H50,D3!H50,D4!H50,D5!H50,D6!H50)</f>
        <v/>
      </c>
      <c r="I50" s="15">
        <f>CHOOSE(Controls!$B$6,D1!I50,D2!I50,D3!I50,D4!I50,D5!I50,D6!I50)</f>
        <v/>
      </c>
      <c r="J50" s="15">
        <f>CHOOSE(Controls!$B$6,D1!J50,D2!J50,D3!J50,D4!J50,D5!J50,D6!J50)</f>
        <v/>
      </c>
      <c r="K50" s="15">
        <f>CHOOSE(Controls!$B$6,D1!K50,D2!K50,D3!K50,D4!K50,D5!K50,D6!K50)</f>
        <v/>
      </c>
      <c r="L50" s="15">
        <f>CHOOSE(Controls!$B$6,D1!L50,D2!L50,D3!L50,D4!L50,D5!L50,D6!L50)</f>
        <v/>
      </c>
      <c r="M50" s="15">
        <f>CHOOSE(Controls!$B$6,D1!M50,D2!M50,D3!M50,D4!M50,D5!M50,D6!M50)</f>
        <v/>
      </c>
      <c r="N50" s="15">
        <f>CHOOSE(Controls!$B$6,D1!N50,D2!N50,D3!N50,D4!N50,D5!N50,D6!N50)</f>
        <v/>
      </c>
      <c r="O50" s="15">
        <f>CHOOSE(Controls!$B$6,D1!O50,D2!O50,D3!O50,D4!O50,D5!O50,D6!O50)</f>
        <v/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>
        <f>CHOOSE(Controls!$B$6,D1!E51,D2!E51,D3!E51,D4!E51,D5!E51,D6!E51)</f>
        <v/>
      </c>
      <c r="F51" s="15">
        <f>CHOOSE(Controls!$B$6,D1!F51,D2!F51,D3!F51,D4!F51,D5!F51,D6!F51)</f>
        <v/>
      </c>
      <c r="G51" s="15">
        <f>CHOOSE(Controls!$B$6,D1!G51,D2!G51,D3!G51,D4!G51,D5!G51,D6!G51)</f>
        <v/>
      </c>
      <c r="H51" s="15">
        <f>CHOOSE(Controls!$B$6,D1!H51,D2!H51,D3!H51,D4!H51,D5!H51,D6!H51)</f>
        <v/>
      </c>
      <c r="I51" s="15">
        <f>CHOOSE(Controls!$B$6,D1!I51,D2!I51,D3!I51,D4!I51,D5!I51,D6!I51)</f>
        <v/>
      </c>
      <c r="J51" s="15">
        <f>CHOOSE(Controls!$B$6,D1!J51,D2!J51,D3!J51,D4!J51,D5!J51,D6!J51)</f>
        <v/>
      </c>
      <c r="K51" s="15">
        <f>CHOOSE(Controls!$B$6,D1!K51,D2!K51,D3!K51,D4!K51,D5!K51,D6!K51)</f>
        <v/>
      </c>
      <c r="L51" s="15">
        <f>CHOOSE(Controls!$B$6,D1!L51,D2!L51,D3!L51,D4!L51,D5!L51,D6!L51)</f>
        <v/>
      </c>
      <c r="M51" s="15">
        <f>CHOOSE(Controls!$B$6,D1!M51,D2!M51,D3!M51,D4!M51,D5!M51,D6!M51)</f>
        <v/>
      </c>
      <c r="N51" s="15">
        <f>CHOOSE(Controls!$B$6,D1!N51,D2!N51,D3!N51,D4!N51,D5!N51,D6!N51)</f>
        <v/>
      </c>
      <c r="O51" s="15">
        <f>CHOOSE(Controls!$B$6,D1!O51,D2!O51,D3!O51,D4!O51,D5!O51,D6!O51)</f>
        <v/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>
        <f>CHOOSE(Controls!$B$6,D1!E52,D2!E52,D3!E52,D4!E52,D5!E52,D6!E52)</f>
        <v/>
      </c>
      <c r="F52" s="15">
        <f>CHOOSE(Controls!$B$6,D1!F52,D2!F52,D3!F52,D4!F52,D5!F52,D6!F52)</f>
        <v/>
      </c>
      <c r="G52" s="15">
        <f>CHOOSE(Controls!$B$6,D1!G52,D2!G52,D3!G52,D4!G52,D5!G52,D6!G52)</f>
        <v/>
      </c>
      <c r="H52" s="15">
        <f>CHOOSE(Controls!$B$6,D1!H52,D2!H52,D3!H52,D4!H52,D5!H52,D6!H52)</f>
        <v/>
      </c>
      <c r="I52" s="15">
        <f>CHOOSE(Controls!$B$6,D1!I52,D2!I52,D3!I52,D4!I52,D5!I52,D6!I52)</f>
        <v/>
      </c>
      <c r="J52" s="15">
        <f>CHOOSE(Controls!$B$6,D1!J52,D2!J52,D3!J52,D4!J52,D5!J52,D6!J52)</f>
        <v/>
      </c>
      <c r="K52" s="15">
        <f>CHOOSE(Controls!$B$6,D1!K52,D2!K52,D3!K52,D4!K52,D5!K52,D6!K52)</f>
        <v/>
      </c>
      <c r="L52" s="15">
        <f>CHOOSE(Controls!$B$6,D1!L52,D2!L52,D3!L52,D4!L52,D5!L52,D6!L52)</f>
        <v/>
      </c>
      <c r="M52" s="15">
        <f>CHOOSE(Controls!$B$6,D1!M52,D2!M52,D3!M52,D4!M52,D5!M52,D6!M52)</f>
        <v/>
      </c>
      <c r="N52" s="15">
        <f>CHOOSE(Controls!$B$6,D1!N52,D2!N52,D3!N52,D4!N52,D5!N52,D6!N52)</f>
        <v/>
      </c>
      <c r="O52" s="15">
        <f>CHOOSE(Controls!$B$6,D1!O52,D2!O52,D3!O52,D4!O52,D5!O52,D6!O52)</f>
        <v/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>
        <f>CHOOSE(Controls!$B$6,D1!E53,D2!E53,D3!E53,D4!E53,D5!E53,D6!E53)</f>
        <v/>
      </c>
      <c r="F53" s="15">
        <f>CHOOSE(Controls!$B$6,D1!F53,D2!F53,D3!F53,D4!F53,D5!F53,D6!F53)</f>
        <v/>
      </c>
      <c r="G53" s="15">
        <f>CHOOSE(Controls!$B$6,D1!G53,D2!G53,D3!G53,D4!G53,D5!G53,D6!G53)</f>
        <v/>
      </c>
      <c r="H53" s="15">
        <f>CHOOSE(Controls!$B$6,D1!H53,D2!H53,D3!H53,D4!H53,D5!H53,D6!H53)</f>
        <v/>
      </c>
      <c r="I53" s="15">
        <f>CHOOSE(Controls!$B$6,D1!I53,D2!I53,D3!I53,D4!I53,D5!I53,D6!I53)</f>
        <v/>
      </c>
      <c r="J53" s="15">
        <f>CHOOSE(Controls!$B$6,D1!J53,D2!J53,D3!J53,D4!J53,D5!J53,D6!J53)</f>
        <v/>
      </c>
      <c r="K53" s="15">
        <f>CHOOSE(Controls!$B$6,D1!K53,D2!K53,D3!K53,D4!K53,D5!K53,D6!K53)</f>
        <v/>
      </c>
      <c r="L53" s="15">
        <f>CHOOSE(Controls!$B$6,D1!L53,D2!L53,D3!L53,D4!L53,D5!L53,D6!L53)</f>
        <v/>
      </c>
      <c r="M53" s="15">
        <f>CHOOSE(Controls!$B$6,D1!M53,D2!M53,D3!M53,D4!M53,D5!M53,D6!M53)</f>
        <v/>
      </c>
      <c r="N53" s="15">
        <f>CHOOSE(Controls!$B$6,D1!N53,D2!N53,D3!N53,D4!N53,D5!N53,D6!N53)</f>
        <v/>
      </c>
      <c r="O53" s="15">
        <f>CHOOSE(Controls!$B$6,D1!O53,D2!O53,D3!O53,D4!O53,D5!O53,D6!O53)</f>
        <v/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>
        <f>CHOOSE(Controls!$B$6,D1!E54,D2!E54,D3!E54,D4!E54,D5!E54,D6!E54)</f>
        <v/>
      </c>
      <c r="F54" s="15">
        <f>CHOOSE(Controls!$B$6,D1!F54,D2!F54,D3!F54,D4!F54,D5!F54,D6!F54)</f>
        <v/>
      </c>
      <c r="G54" s="15">
        <f>CHOOSE(Controls!$B$6,D1!G54,D2!G54,D3!G54,D4!G54,D5!G54,D6!G54)</f>
        <v/>
      </c>
      <c r="H54" s="15">
        <f>CHOOSE(Controls!$B$6,D1!H54,D2!H54,D3!H54,D4!H54,D5!H54,D6!H54)</f>
        <v/>
      </c>
      <c r="I54" s="15">
        <f>CHOOSE(Controls!$B$6,D1!I54,D2!I54,D3!I54,D4!I54,D5!I54,D6!I54)</f>
        <v/>
      </c>
      <c r="J54" s="15">
        <f>CHOOSE(Controls!$B$6,D1!J54,D2!J54,D3!J54,D4!J54,D5!J54,D6!J54)</f>
        <v/>
      </c>
      <c r="K54" s="15">
        <f>CHOOSE(Controls!$B$6,D1!K54,D2!K54,D3!K54,D4!K54,D5!K54,D6!K54)</f>
        <v/>
      </c>
      <c r="L54" s="15">
        <f>CHOOSE(Controls!$B$6,D1!L54,D2!L54,D3!L54,D4!L54,D5!L54,D6!L54)</f>
        <v/>
      </c>
      <c r="M54" s="15">
        <f>CHOOSE(Controls!$B$6,D1!M54,D2!M54,D3!M54,D4!M54,D5!M54,D6!M54)</f>
        <v/>
      </c>
      <c r="N54" s="15">
        <f>CHOOSE(Controls!$B$6,D1!N54,D2!N54,D3!N54,D4!N54,D5!N54,D6!N54)</f>
        <v/>
      </c>
      <c r="O54" s="15">
        <f>CHOOSE(Controls!$B$6,D1!O54,D2!O54,D3!O54,D4!O54,D5!O54,D6!O54)</f>
        <v/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>
        <f>CHOOSE(Controls!$B$6,D1!E55,D2!E55,D3!E55,D4!E55,D5!E55,D6!E55)</f>
        <v/>
      </c>
      <c r="F55" s="15">
        <f>CHOOSE(Controls!$B$6,D1!F55,D2!F55,D3!F55,D4!F55,D5!F55,D6!F55)</f>
        <v/>
      </c>
      <c r="G55" s="15">
        <f>CHOOSE(Controls!$B$6,D1!G55,D2!G55,D3!G55,D4!G55,D5!G55,D6!G55)</f>
        <v/>
      </c>
      <c r="H55" s="15">
        <f>CHOOSE(Controls!$B$6,D1!H55,D2!H55,D3!H55,D4!H55,D5!H55,D6!H55)</f>
        <v/>
      </c>
      <c r="I55" s="15">
        <f>CHOOSE(Controls!$B$6,D1!I55,D2!I55,D3!I55,D4!I55,D5!I55,D6!I55)</f>
        <v/>
      </c>
      <c r="J55" s="15">
        <f>CHOOSE(Controls!$B$6,D1!J55,D2!J55,D3!J55,D4!J55,D5!J55,D6!J55)</f>
        <v/>
      </c>
      <c r="K55" s="15">
        <f>CHOOSE(Controls!$B$6,D1!K55,D2!K55,D3!K55,D4!K55,D5!K55,D6!K55)</f>
        <v/>
      </c>
      <c r="L55" s="15">
        <f>CHOOSE(Controls!$B$6,D1!L55,D2!L55,D3!L55,D4!L55,D5!L55,D6!L55)</f>
        <v/>
      </c>
      <c r="M55" s="15">
        <f>CHOOSE(Controls!$B$6,D1!M55,D2!M55,D3!M55,D4!M55,D5!M55,D6!M55)</f>
        <v/>
      </c>
      <c r="N55" s="15">
        <f>CHOOSE(Controls!$B$6,D1!N55,D2!N55,D3!N55,D4!N55,D5!N55,D6!N55)</f>
        <v/>
      </c>
      <c r="O55" s="15">
        <f>CHOOSE(Controls!$B$6,D1!O55,D2!O55,D3!O55,D4!O55,D5!O55,D6!O55)</f>
        <v/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>
        <f>CHOOSE(Controls!$B$6,D1!E56,D2!E56,D3!E56,D4!E56,D5!E56,D6!E56)</f>
        <v/>
      </c>
      <c r="F56" s="15">
        <f>CHOOSE(Controls!$B$6,D1!F56,D2!F56,D3!F56,D4!F56,D5!F56,D6!F56)</f>
        <v/>
      </c>
      <c r="G56" s="15">
        <f>CHOOSE(Controls!$B$6,D1!G56,D2!G56,D3!G56,D4!G56,D5!G56,D6!G56)</f>
        <v/>
      </c>
      <c r="H56" s="15">
        <f>CHOOSE(Controls!$B$6,D1!H56,D2!H56,D3!H56,D4!H56,D5!H56,D6!H56)</f>
        <v/>
      </c>
      <c r="I56" s="15">
        <f>CHOOSE(Controls!$B$6,D1!I56,D2!I56,D3!I56,D4!I56,D5!I56,D6!I56)</f>
        <v/>
      </c>
      <c r="J56" s="15">
        <f>CHOOSE(Controls!$B$6,D1!J56,D2!J56,D3!J56,D4!J56,D5!J56,D6!J56)</f>
        <v/>
      </c>
      <c r="K56" s="15">
        <f>CHOOSE(Controls!$B$6,D1!K56,D2!K56,D3!K56,D4!K56,D5!K56,D6!K56)</f>
        <v/>
      </c>
      <c r="L56" s="15">
        <f>CHOOSE(Controls!$B$6,D1!L56,D2!L56,D3!L56,D4!L56,D5!L56,D6!L56)</f>
        <v/>
      </c>
      <c r="M56" s="15">
        <f>CHOOSE(Controls!$B$6,D1!M56,D2!M56,D3!M56,D4!M56,D5!M56,D6!M56)</f>
        <v/>
      </c>
      <c r="N56" s="15">
        <f>CHOOSE(Controls!$B$6,D1!N56,D2!N56,D3!N56,D4!N56,D5!N56,D6!N56)</f>
        <v/>
      </c>
      <c r="O56" s="15">
        <f>CHOOSE(Controls!$B$6,D1!O56,D2!O56,D3!O56,D4!O56,D5!O56,D6!O56)</f>
        <v/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>
        <f>CHOOSE(Controls!$B$6,D1!E57,D2!E57,D3!E57,D4!E57,D5!E57,D6!E57)</f>
        <v/>
      </c>
      <c r="F57" s="15">
        <f>CHOOSE(Controls!$B$6,D1!F57,D2!F57,D3!F57,D4!F57,D5!F57,D6!F57)</f>
        <v/>
      </c>
      <c r="G57" s="15">
        <f>CHOOSE(Controls!$B$6,D1!G57,D2!G57,D3!G57,D4!G57,D5!G57,D6!G57)</f>
        <v/>
      </c>
      <c r="H57" s="15">
        <f>CHOOSE(Controls!$B$6,D1!H57,D2!H57,D3!H57,D4!H57,D5!H57,D6!H57)</f>
        <v/>
      </c>
      <c r="I57" s="15">
        <f>CHOOSE(Controls!$B$6,D1!I57,D2!I57,D3!I57,D4!I57,D5!I57,D6!I57)</f>
        <v/>
      </c>
      <c r="J57" s="15">
        <f>CHOOSE(Controls!$B$6,D1!J57,D2!J57,D3!J57,D4!J57,D5!J57,D6!J57)</f>
        <v/>
      </c>
      <c r="K57" s="15">
        <f>CHOOSE(Controls!$B$6,D1!K57,D2!K57,D3!K57,D4!K57,D5!K57,D6!K57)</f>
        <v/>
      </c>
      <c r="L57" s="15">
        <f>CHOOSE(Controls!$B$6,D1!L57,D2!L57,D3!L57,D4!L57,D5!L57,D6!L57)</f>
        <v/>
      </c>
      <c r="M57" s="15">
        <f>CHOOSE(Controls!$B$6,D1!M57,D2!M57,D3!M57,D4!M57,D5!M57,D6!M57)</f>
        <v/>
      </c>
      <c r="N57" s="15">
        <f>CHOOSE(Controls!$B$6,D1!N57,D2!N57,D3!N57,D4!N57,D5!N57,D6!N57)</f>
        <v/>
      </c>
      <c r="O57" s="15">
        <f>CHOOSE(Controls!$B$6,D1!O57,D2!O57,D3!O57,D4!O57,D5!O57,D6!O57)</f>
        <v/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>
        <f>CHOOSE(Controls!$B$6,D1!E58,D2!E58,D3!E58,D4!E58,D5!E58,D6!E58)</f>
        <v/>
      </c>
      <c r="F58" s="15">
        <f>CHOOSE(Controls!$B$6,D1!F58,D2!F58,D3!F58,D4!F58,D5!F58,D6!F58)</f>
        <v/>
      </c>
      <c r="G58" s="15">
        <f>CHOOSE(Controls!$B$6,D1!G58,D2!G58,D3!G58,D4!G58,D5!G58,D6!G58)</f>
        <v/>
      </c>
      <c r="H58" s="15">
        <f>CHOOSE(Controls!$B$6,D1!H58,D2!H58,D3!H58,D4!H58,D5!H58,D6!H58)</f>
        <v/>
      </c>
      <c r="I58" s="15">
        <f>CHOOSE(Controls!$B$6,D1!I58,D2!I58,D3!I58,D4!I58,D5!I58,D6!I58)</f>
        <v/>
      </c>
      <c r="J58" s="15">
        <f>CHOOSE(Controls!$B$6,D1!J58,D2!J58,D3!J58,D4!J58,D5!J58,D6!J58)</f>
        <v/>
      </c>
      <c r="K58" s="15">
        <f>CHOOSE(Controls!$B$6,D1!K58,D2!K58,D3!K58,D4!K58,D5!K58,D6!K58)</f>
        <v/>
      </c>
      <c r="L58" s="15">
        <f>CHOOSE(Controls!$B$6,D1!L58,D2!L58,D3!L58,D4!L58,D5!L58,D6!L58)</f>
        <v/>
      </c>
      <c r="M58" s="15">
        <f>CHOOSE(Controls!$B$6,D1!M58,D2!M58,D3!M58,D4!M58,D5!M58,D6!M58)</f>
        <v/>
      </c>
      <c r="N58" s="15">
        <f>CHOOSE(Controls!$B$6,D1!N58,D2!N58,D3!N58,D4!N58,D5!N58,D6!N58)</f>
        <v/>
      </c>
      <c r="O58" s="15">
        <f>CHOOSE(Controls!$B$6,D1!O58,D2!O58,D3!O58,D4!O58,D5!O58,D6!O58)</f>
        <v/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>
        <f>CHOOSE(Controls!$B$6,D1!E59,D2!E59,D3!E59,D4!E59,D5!E59,D6!E59)</f>
        <v/>
      </c>
      <c r="F59" s="15">
        <f>CHOOSE(Controls!$B$6,D1!F59,D2!F59,D3!F59,D4!F59,D5!F59,D6!F59)</f>
        <v/>
      </c>
      <c r="G59" s="15">
        <f>CHOOSE(Controls!$B$6,D1!G59,D2!G59,D3!G59,D4!G59,D5!G59,D6!G59)</f>
        <v/>
      </c>
      <c r="H59" s="15">
        <f>CHOOSE(Controls!$B$6,D1!H59,D2!H59,D3!H59,D4!H59,D5!H59,D6!H59)</f>
        <v/>
      </c>
      <c r="I59" s="15">
        <f>CHOOSE(Controls!$B$6,D1!I59,D2!I59,D3!I59,D4!I59,D5!I59,D6!I59)</f>
        <v/>
      </c>
      <c r="J59" s="15">
        <f>CHOOSE(Controls!$B$6,D1!J59,D2!J59,D3!J59,D4!J59,D5!J59,D6!J59)</f>
        <v/>
      </c>
      <c r="K59" s="15">
        <f>CHOOSE(Controls!$B$6,D1!K59,D2!K59,D3!K59,D4!K59,D5!K59,D6!K59)</f>
        <v/>
      </c>
      <c r="L59" s="15">
        <f>CHOOSE(Controls!$B$6,D1!L59,D2!L59,D3!L59,D4!L59,D5!L59,D6!L59)</f>
        <v/>
      </c>
      <c r="M59" s="15">
        <f>CHOOSE(Controls!$B$6,D1!M59,D2!M59,D3!M59,D4!M59,D5!M59,D6!M59)</f>
        <v/>
      </c>
      <c r="N59" s="15">
        <f>CHOOSE(Controls!$B$6,D1!N59,D2!N59,D3!N59,D4!N59,D5!N59,D6!N59)</f>
        <v/>
      </c>
      <c r="O59" s="15">
        <f>CHOOSE(Controls!$B$6,D1!O59,D2!O59,D3!O59,D4!O59,D5!O59,D6!O59)</f>
        <v/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>
        <f>CHOOSE(Controls!$B$6,D1!E60,D2!E60,D3!E60,D4!E60,D5!E60,D6!E60)</f>
        <v/>
      </c>
      <c r="F60" s="21">
        <f>CHOOSE(Controls!$B$6,D1!F60,D2!F60,D3!F60,D4!F60,D5!F60,D6!F60)</f>
        <v/>
      </c>
      <c r="G60" s="21">
        <f>CHOOSE(Controls!$B$6,D1!G60,D2!G60,D3!G60,D4!G60,D5!G60,D6!G60)</f>
        <v/>
      </c>
      <c r="H60" s="21">
        <f>CHOOSE(Controls!$B$6,D1!H60,D2!H60,D3!H60,D4!H60,D5!H60,D6!H60)</f>
        <v/>
      </c>
      <c r="I60" s="21">
        <f>CHOOSE(Controls!$B$6,D1!I60,D2!I60,D3!I60,D4!I60,D5!I60,D6!I60)</f>
        <v/>
      </c>
      <c r="J60" s="21">
        <f>CHOOSE(Controls!$B$6,D1!J60,D2!J60,D3!J60,D4!J60,D5!J60,D6!J60)</f>
        <v/>
      </c>
      <c r="K60" s="21">
        <f>CHOOSE(Controls!$B$6,D1!K60,D2!K60,D3!K60,D4!K60,D5!K60,D6!K60)</f>
        <v/>
      </c>
      <c r="L60" s="21">
        <f>CHOOSE(Controls!$B$6,D1!L60,D2!L60,D3!L60,D4!L60,D5!L60,D6!L60)</f>
        <v/>
      </c>
      <c r="M60" s="21">
        <f>CHOOSE(Controls!$B$6,D1!M60,D2!M60,D3!M60,D4!M60,D5!M60,D6!M60)</f>
        <v/>
      </c>
      <c r="N60" s="21">
        <f>CHOOSE(Controls!$B$6,D1!N60,D2!N60,D3!N60,D4!N60,D5!N60,D6!N60)</f>
        <v/>
      </c>
      <c r="O60" s="21">
        <f>CHOOSE(Controls!$B$6,D1!O60,D2!O60,D3!O60,D4!O60,D5!O60,D6!O60)</f>
        <v/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>
        <f>CHOOSE(Controls!$B$6,D1!E62,D2!E62,D3!E62,D4!E62,D5!E62,D6!E62)</f>
        <v/>
      </c>
      <c r="F62" s="21">
        <f>CHOOSE(Controls!$B$6,D1!F62,D2!F62,D3!F62,D4!F62,D5!F62,D6!F62)</f>
        <v/>
      </c>
      <c r="G62" s="21">
        <f>CHOOSE(Controls!$B$6,D1!G62,D2!G62,D3!G62,D4!G62,D5!G62,D6!G62)</f>
        <v/>
      </c>
      <c r="H62" s="21">
        <f>CHOOSE(Controls!$B$6,D1!H62,D2!H62,D3!H62,D4!H62,D5!H62,D6!H62)</f>
        <v/>
      </c>
      <c r="I62" s="21">
        <f>CHOOSE(Controls!$B$6,D1!I62,D2!I62,D3!I62,D4!I62,D5!I62,D6!I62)</f>
        <v/>
      </c>
      <c r="J62" s="21">
        <f>CHOOSE(Controls!$B$6,D1!J62,D2!J62,D3!J62,D4!J62,D5!J62,D6!J62)</f>
        <v/>
      </c>
      <c r="K62" s="21">
        <f>CHOOSE(Controls!$B$6,D1!K62,D2!K62,D3!K62,D4!K62,D5!K62,D6!K62)</f>
        <v/>
      </c>
      <c r="L62" s="21">
        <f>CHOOSE(Controls!$B$6,D1!L62,D2!L62,D3!L62,D4!L62,D5!L62,D6!L62)</f>
        <v/>
      </c>
      <c r="M62" s="21">
        <f>CHOOSE(Controls!$B$6,D1!M62,D2!M62,D3!M62,D4!M62,D5!M62,D6!M62)</f>
        <v/>
      </c>
      <c r="N62" s="21">
        <f>CHOOSE(Controls!$B$6,D1!N62,D2!N62,D3!N62,D4!N62,D5!N62,D6!N62)</f>
        <v/>
      </c>
      <c r="O62" s="21">
        <f>CHOOSE(Controls!$B$6,D1!O62,D2!O62,D3!O62,D4!O62,D5!O62,D6!O62)</f>
        <v/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>
        <f>CHOOSE(Controls!$B$6,D1!E64,D2!E64,D3!E64,D4!E64,D5!E64,D6!E64)</f>
        <v/>
      </c>
      <c r="F64" s="22">
        <f>CHOOSE(Controls!$B$6,D1!F64,D2!F64,D3!F64,D4!F64,D5!F64,D6!F64)</f>
        <v/>
      </c>
      <c r="G64" s="22">
        <f>CHOOSE(Controls!$B$6,D1!G64,D2!G64,D3!G64,D4!G64,D5!G64,D6!G64)</f>
        <v/>
      </c>
      <c r="H64" s="22">
        <f>CHOOSE(Controls!$B$6,D1!H64,D2!H64,D3!H64,D4!H64,D5!H64,D6!H64)</f>
        <v/>
      </c>
      <c r="I64" s="22">
        <f>CHOOSE(Controls!$B$6,D1!I64,D2!I64,D3!I64,D4!I64,D5!I64,D6!I64)</f>
        <v/>
      </c>
      <c r="J64" s="22">
        <f>CHOOSE(Controls!$B$6,D1!J64,D2!J64,D3!J64,D4!J64,D5!J64,D6!J64)</f>
        <v/>
      </c>
      <c r="K64" s="22">
        <f>CHOOSE(Controls!$B$6,D1!K64,D2!K64,D3!K64,D4!K64,D5!K64,D6!K64)</f>
        <v/>
      </c>
      <c r="L64" s="22">
        <f>CHOOSE(Controls!$B$6,D1!L64,D2!L64,D3!L64,D4!L64,D5!L64,D6!L64)</f>
        <v/>
      </c>
      <c r="M64" s="22">
        <f>CHOOSE(Controls!$B$6,D1!M64,D2!M64,D3!M64,D4!M64,D5!M64,D6!M64)</f>
        <v/>
      </c>
      <c r="N64" s="22">
        <f>CHOOSE(Controls!$B$6,D1!N64,D2!N64,D3!N64,D4!N64,D5!N64,D6!N64)</f>
        <v/>
      </c>
      <c r="O64" s="22">
        <f>CHOOSE(Controls!$B$6,D1!O64,D2!O64,D3!O64,D4!O64,D5!O64,D6!O64)</f>
        <v/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>
        <f>CHOOSE(Controls!$B$6,D1!E65,D2!E65,D3!E65,D4!E65,D5!E65,D6!E65)</f>
        <v/>
      </c>
      <c r="F65" s="22">
        <f>CHOOSE(Controls!$B$6,D1!F65,D2!F65,D3!F65,D4!F65,D5!F65,D6!F65)</f>
        <v/>
      </c>
      <c r="G65" s="22">
        <f>CHOOSE(Controls!$B$6,D1!G65,D2!G65,D3!G65,D4!G65,D5!G65,D6!G65)</f>
        <v/>
      </c>
      <c r="H65" s="22">
        <f>CHOOSE(Controls!$B$6,D1!H65,D2!H65,D3!H65,D4!H65,D5!H65,D6!H65)</f>
        <v/>
      </c>
      <c r="I65" s="22">
        <f>CHOOSE(Controls!$B$6,D1!I65,D2!I65,D3!I65,D4!I65,D5!I65,D6!I65)</f>
        <v/>
      </c>
      <c r="J65" s="22">
        <f>CHOOSE(Controls!$B$6,D1!J65,D2!J65,D3!J65,D4!J65,D5!J65,D6!J65)</f>
        <v/>
      </c>
      <c r="K65" s="22">
        <f>CHOOSE(Controls!$B$6,D1!K65,D2!K65,D3!K65,D4!K65,D5!K65,D6!K65)</f>
        <v/>
      </c>
      <c r="L65" s="22">
        <f>CHOOSE(Controls!$B$6,D1!L65,D2!L65,D3!L65,D4!L65,D5!L65,D6!L65)</f>
        <v/>
      </c>
      <c r="M65" s="22">
        <f>CHOOSE(Controls!$B$6,D1!M65,D2!M65,D3!M65,D4!M65,D5!M65,D6!M65)</f>
        <v/>
      </c>
      <c r="N65" s="22">
        <f>CHOOSE(Controls!$B$6,D1!N65,D2!N65,D3!N65,D4!N65,D5!N65,D6!N65)</f>
        <v/>
      </c>
      <c r="O65" s="22">
        <f>CHOOSE(Controls!$B$6,D1!O65,D2!O65,D3!O65,D4!O65,D5!O65,D6!O65)</f>
        <v/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>
        <f>CHOOSE(Controls!$B$6,D1!E66,D2!E66,D3!E66,D4!E66,D5!E66,D6!E66)</f>
        <v/>
      </c>
      <c r="F66" s="22">
        <f>CHOOSE(Controls!$B$6,D1!F66,D2!F66,D3!F66,D4!F66,D5!F66,D6!F66)</f>
        <v/>
      </c>
      <c r="G66" s="22">
        <f>CHOOSE(Controls!$B$6,D1!G66,D2!G66,D3!G66,D4!G66,D5!G66,D6!G66)</f>
        <v/>
      </c>
      <c r="H66" s="22">
        <f>CHOOSE(Controls!$B$6,D1!H66,D2!H66,D3!H66,D4!H66,D5!H66,D6!H66)</f>
        <v/>
      </c>
      <c r="I66" s="22">
        <f>CHOOSE(Controls!$B$6,D1!I66,D2!I66,D3!I66,D4!I66,D5!I66,D6!I66)</f>
        <v/>
      </c>
      <c r="J66" s="22">
        <f>CHOOSE(Controls!$B$6,D1!J66,D2!J66,D3!J66,D4!J66,D5!J66,D6!J66)</f>
        <v/>
      </c>
      <c r="K66" s="22">
        <f>CHOOSE(Controls!$B$6,D1!K66,D2!K66,D3!K66,D4!K66,D5!K66,D6!K66)</f>
        <v/>
      </c>
      <c r="L66" s="22">
        <f>CHOOSE(Controls!$B$6,D1!L66,D2!L66,D3!L66,D4!L66,D5!L66,D6!L66)</f>
        <v/>
      </c>
      <c r="M66" s="22">
        <f>CHOOSE(Controls!$B$6,D1!M66,D2!M66,D3!M66,D4!M66,D5!M66,D6!M66)</f>
        <v/>
      </c>
      <c r="N66" s="22">
        <f>CHOOSE(Controls!$B$6,D1!N66,D2!N66,D3!N66,D4!N66,D5!N66,D6!N66)</f>
        <v/>
      </c>
      <c r="O66" s="22">
        <f>CHOOSE(Controls!$B$6,D1!O66,D2!O66,D3!O66,D4!O66,D5!O66,D6!O66)</f>
        <v/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>
        <f>CHOOSE(Controls!$B$6,D1!E67,D2!E67,D3!E67,D4!E67,D5!E67,D6!E67)</f>
        <v/>
      </c>
      <c r="F67" s="15">
        <f>CHOOSE(Controls!$B$6,D1!F67,D2!F67,D3!F67,D4!F67,D5!F67,D6!F67)</f>
        <v/>
      </c>
      <c r="G67" s="15">
        <f>CHOOSE(Controls!$B$6,D1!G67,D2!G67,D3!G67,D4!G67,D5!G67,D6!G67)</f>
        <v/>
      </c>
      <c r="H67" s="15">
        <f>CHOOSE(Controls!$B$6,D1!H67,D2!H67,D3!H67,D4!H67,D5!H67,D6!H67)</f>
        <v/>
      </c>
      <c r="I67" s="15">
        <f>CHOOSE(Controls!$B$6,D1!I67,D2!I67,D3!I67,D4!I67,D5!I67,D6!I67)</f>
        <v/>
      </c>
      <c r="J67" s="15">
        <f>CHOOSE(Controls!$B$6,D1!J67,D2!J67,D3!J67,D4!J67,D5!J67,D6!J67)</f>
        <v/>
      </c>
      <c r="K67" s="15">
        <f>CHOOSE(Controls!$B$6,D1!K67,D2!K67,D3!K67,D4!K67,D5!K67,D6!K67)</f>
        <v/>
      </c>
      <c r="L67" s="15">
        <f>CHOOSE(Controls!$B$6,D1!L67,D2!L67,D3!L67,D4!L67,D5!L67,D6!L67)</f>
        <v/>
      </c>
      <c r="M67" s="15">
        <f>CHOOSE(Controls!$B$6,D1!M67,D2!M67,D3!M67,D4!M67,D5!M67,D6!M67)</f>
        <v/>
      </c>
      <c r="N67" s="15">
        <f>CHOOSE(Controls!$B$6,D1!N67,D2!N67,D3!N67,D4!N67,D5!N67,D6!N67)</f>
        <v/>
      </c>
      <c r="O67" s="15">
        <f>CHOOSE(Controls!$B$6,D1!O67,D2!O67,D3!O67,D4!O67,D5!O67,D6!O67)</f>
        <v/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>
        <f>CHOOSE(Controls!$B$6,D1!E68,D2!E68,D3!E68,D4!E68,D5!E68,D6!E68)</f>
        <v/>
      </c>
      <c r="F68" s="15">
        <f>CHOOSE(Controls!$B$6,D1!F68,D2!F68,D3!F68,D4!F68,D5!F68,D6!F68)</f>
        <v/>
      </c>
      <c r="G68" s="15">
        <f>CHOOSE(Controls!$B$6,D1!G68,D2!G68,D3!G68,D4!G68,D5!G68,D6!G68)</f>
        <v/>
      </c>
      <c r="H68" s="15">
        <f>CHOOSE(Controls!$B$6,D1!H68,D2!H68,D3!H68,D4!H68,D5!H68,D6!H68)</f>
        <v/>
      </c>
      <c r="I68" s="15">
        <f>CHOOSE(Controls!$B$6,D1!I68,D2!I68,D3!I68,D4!I68,D5!I68,D6!I68)</f>
        <v/>
      </c>
      <c r="J68" s="15">
        <f>CHOOSE(Controls!$B$6,D1!J68,D2!J68,D3!J68,D4!J68,D5!J68,D6!J68)</f>
        <v/>
      </c>
      <c r="K68" s="15">
        <f>CHOOSE(Controls!$B$6,D1!K68,D2!K68,D3!K68,D4!K68,D5!K68,D6!K68)</f>
        <v/>
      </c>
      <c r="L68" s="15">
        <f>CHOOSE(Controls!$B$6,D1!L68,D2!L68,D3!L68,D4!L68,D5!L68,D6!L68)</f>
        <v/>
      </c>
      <c r="M68" s="15">
        <f>CHOOSE(Controls!$B$6,D1!M68,D2!M68,D3!M68,D4!M68,D5!M68,D6!M68)</f>
        <v/>
      </c>
      <c r="N68" s="15">
        <f>CHOOSE(Controls!$B$6,D1!N68,D2!N68,D3!N68,D4!N68,D5!N68,D6!N68)</f>
        <v/>
      </c>
      <c r="O68" s="15">
        <f>CHOOSE(Controls!$B$6,D1!O68,D2!O68,D3!O68,D4!O68,D5!O68,D6!O68)</f>
        <v/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>
        <f>CHOOSE(Controls!$B$6,D1!E70,D2!E70,D3!E70,D4!E70,D5!E70,D6!E70)</f>
        <v/>
      </c>
      <c r="F70" s="22">
        <f>CHOOSE(Controls!$B$6,D1!F70,D2!F70,D3!F70,D4!F70,D5!F70,D6!F70)</f>
        <v/>
      </c>
      <c r="G70" s="22">
        <f>CHOOSE(Controls!$B$6,D1!G70,D2!G70,D3!G70,D4!G70,D5!G70,D6!G70)</f>
        <v/>
      </c>
      <c r="H70" s="22">
        <f>CHOOSE(Controls!$B$6,D1!H70,D2!H70,D3!H70,D4!H70,D5!H70,D6!H70)</f>
        <v/>
      </c>
      <c r="I70" s="22">
        <f>CHOOSE(Controls!$B$6,D1!I70,D2!I70,D3!I70,D4!I70,D5!I70,D6!I70)</f>
        <v/>
      </c>
      <c r="J70" s="22">
        <f>CHOOSE(Controls!$B$6,D1!J70,D2!J70,D3!J70,D4!J70,D5!J70,D6!J70)</f>
        <v/>
      </c>
      <c r="K70" s="22">
        <f>CHOOSE(Controls!$B$6,D1!K70,D2!K70,D3!K70,D4!K70,D5!K70,D6!K70)</f>
        <v/>
      </c>
      <c r="L70" s="22">
        <f>CHOOSE(Controls!$B$6,D1!L70,D2!L70,D3!L70,D4!L70,D5!L70,D6!L70)</f>
        <v/>
      </c>
      <c r="M70" s="22">
        <f>CHOOSE(Controls!$B$6,D1!M70,D2!M70,D3!M70,D4!M70,D5!M70,D6!M70)</f>
        <v/>
      </c>
      <c r="N70" s="22">
        <f>CHOOSE(Controls!$B$6,D1!N70,D2!N70,D3!N70,D4!N70,D5!N70,D6!N70)</f>
        <v/>
      </c>
      <c r="O70" s="22">
        <f>CHOOSE(Controls!$B$6,D1!O70,D2!O70,D3!O70,D4!O70,D5!O70,D6!O70)</f>
        <v/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>
        <f>CHOOSE(Controls!$B$6,D1!E71,D2!E71,D3!E71,D4!E71,D5!E71,D6!E71)</f>
        <v/>
      </c>
      <c r="F71" s="22">
        <f>CHOOSE(Controls!$B$6,D1!F71,D2!F71,D3!F71,D4!F71,D5!F71,D6!F71)</f>
        <v/>
      </c>
      <c r="G71" s="22">
        <f>CHOOSE(Controls!$B$6,D1!G71,D2!G71,D3!G71,D4!G71,D5!G71,D6!G71)</f>
        <v/>
      </c>
      <c r="H71" s="22">
        <f>CHOOSE(Controls!$B$6,D1!H71,D2!H71,D3!H71,D4!H71,D5!H71,D6!H71)</f>
        <v/>
      </c>
      <c r="I71" s="22">
        <f>CHOOSE(Controls!$B$6,D1!I71,D2!I71,D3!I71,D4!I71,D5!I71,D6!I71)</f>
        <v/>
      </c>
      <c r="J71" s="22">
        <f>CHOOSE(Controls!$B$6,D1!J71,D2!J71,D3!J71,D4!J71,D5!J71,D6!J71)</f>
        <v/>
      </c>
      <c r="K71" s="22">
        <f>CHOOSE(Controls!$B$6,D1!K71,D2!K71,D3!K71,D4!K71,D5!K71,D6!K71)</f>
        <v/>
      </c>
      <c r="L71" s="22">
        <f>CHOOSE(Controls!$B$6,D1!L71,D2!L71,D3!L71,D4!L71,D5!L71,D6!L71)</f>
        <v/>
      </c>
      <c r="M71" s="22">
        <f>CHOOSE(Controls!$B$6,D1!M71,D2!M71,D3!M71,D4!M71,D5!M71,D6!M71)</f>
        <v/>
      </c>
      <c r="N71" s="22">
        <f>CHOOSE(Controls!$B$6,D1!N71,D2!N71,D3!N71,D4!N71,D5!N71,D6!N71)</f>
        <v/>
      </c>
      <c r="O71" s="22">
        <f>CHOOSE(Controls!$B$6,D1!O71,D2!O71,D3!O71,D4!O71,D5!O71,D6!O71)</f>
        <v/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>
        <f>CHOOSE(Controls!$B$6,D1!E72,D2!E72,D3!E72,D4!E72,D5!E72,D6!E72)</f>
        <v/>
      </c>
      <c r="F72" s="22">
        <f>CHOOSE(Controls!$B$6,D1!F72,D2!F72,D3!F72,D4!F72,D5!F72,D6!F72)</f>
        <v/>
      </c>
      <c r="G72" s="22">
        <f>CHOOSE(Controls!$B$6,D1!G72,D2!G72,D3!G72,D4!G72,D5!G72,D6!G72)</f>
        <v/>
      </c>
      <c r="H72" s="22">
        <f>CHOOSE(Controls!$B$6,D1!H72,D2!H72,D3!H72,D4!H72,D5!H72,D6!H72)</f>
        <v/>
      </c>
      <c r="I72" s="22">
        <f>CHOOSE(Controls!$B$6,D1!I72,D2!I72,D3!I72,D4!I72,D5!I72,D6!I72)</f>
        <v/>
      </c>
      <c r="J72" s="22">
        <f>CHOOSE(Controls!$B$6,D1!J72,D2!J72,D3!J72,D4!J72,D5!J72,D6!J72)</f>
        <v/>
      </c>
      <c r="K72" s="22">
        <f>CHOOSE(Controls!$B$6,D1!K72,D2!K72,D3!K72,D4!K72,D5!K72,D6!K72)</f>
        <v/>
      </c>
      <c r="L72" s="22">
        <f>CHOOSE(Controls!$B$6,D1!L72,D2!L72,D3!L72,D4!L72,D5!L72,D6!L72)</f>
        <v/>
      </c>
      <c r="M72" s="22">
        <f>CHOOSE(Controls!$B$6,D1!M72,D2!M72,D3!M72,D4!M72,D5!M72,D6!M72)</f>
        <v/>
      </c>
      <c r="N72" s="22">
        <f>CHOOSE(Controls!$B$6,D1!N72,D2!N72,D3!N72,D4!N72,D5!N72,D6!N72)</f>
        <v/>
      </c>
      <c r="O72" s="22">
        <f>CHOOSE(Controls!$B$6,D1!O72,D2!O72,D3!O72,D4!O72,D5!O72,D6!O72)</f>
        <v/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>
        <f>CHOOSE(Controls!$B$6,D1!E73,D2!E73,D3!E73,D4!E73,D5!E73,D6!E73)</f>
        <v/>
      </c>
      <c r="F73" s="22">
        <f>CHOOSE(Controls!$B$6,D1!F73,D2!F73,D3!F73,D4!F73,D5!F73,D6!F73)</f>
        <v/>
      </c>
      <c r="G73" s="22">
        <f>CHOOSE(Controls!$B$6,D1!G73,D2!G73,D3!G73,D4!G73,D5!G73,D6!G73)</f>
        <v/>
      </c>
      <c r="H73" s="22">
        <f>CHOOSE(Controls!$B$6,D1!H73,D2!H73,D3!H73,D4!H73,D5!H73,D6!H73)</f>
        <v/>
      </c>
      <c r="I73" s="22">
        <f>CHOOSE(Controls!$B$6,D1!I73,D2!I73,D3!I73,D4!I73,D5!I73,D6!I73)</f>
        <v/>
      </c>
      <c r="J73" s="22">
        <f>CHOOSE(Controls!$B$6,D1!J73,D2!J73,D3!J73,D4!J73,D5!J73,D6!J73)</f>
        <v/>
      </c>
      <c r="K73" s="22">
        <f>CHOOSE(Controls!$B$6,D1!K73,D2!K73,D3!K73,D4!K73,D5!K73,D6!K73)</f>
        <v/>
      </c>
      <c r="L73" s="22">
        <f>CHOOSE(Controls!$B$6,D1!L73,D2!L73,D3!L73,D4!L73,D5!L73,D6!L73)</f>
        <v/>
      </c>
      <c r="M73" s="22">
        <f>CHOOSE(Controls!$B$6,D1!M73,D2!M73,D3!M73,D4!M73,D5!M73,D6!M73)</f>
        <v/>
      </c>
      <c r="N73" s="22">
        <f>CHOOSE(Controls!$B$6,D1!N73,D2!N73,D3!N73,D4!N73,D5!N73,D6!N73)</f>
        <v/>
      </c>
      <c r="O73" s="22">
        <f>CHOOSE(Controls!$B$6,D1!O73,D2!O73,D3!O73,D4!O73,D5!O73,D6!O73)</f>
        <v/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>
        <f>CHOOSE(Controls!$B$6,D1!E74,D2!E74,D3!E74,D4!E74,D5!E74,D6!E74)</f>
        <v/>
      </c>
      <c r="F74" s="15">
        <f>CHOOSE(Controls!$B$6,D1!F74,D2!F74,D3!F74,D4!F74,D5!F74,D6!F74)</f>
        <v/>
      </c>
      <c r="G74" s="15">
        <f>CHOOSE(Controls!$B$6,D1!G74,D2!G74,D3!G74,D4!G74,D5!G74,D6!G74)</f>
        <v/>
      </c>
      <c r="H74" s="15">
        <f>CHOOSE(Controls!$B$6,D1!H74,D2!H74,D3!H74,D4!H74,D5!H74,D6!H74)</f>
        <v/>
      </c>
      <c r="I74" s="15">
        <f>CHOOSE(Controls!$B$6,D1!I74,D2!I74,D3!I74,D4!I74,D5!I74,D6!I74)</f>
        <v/>
      </c>
      <c r="J74" s="15">
        <f>CHOOSE(Controls!$B$6,D1!J74,D2!J74,D3!J74,D4!J74,D5!J74,D6!J74)</f>
        <v/>
      </c>
      <c r="K74" s="15">
        <f>CHOOSE(Controls!$B$6,D1!K74,D2!K74,D3!K74,D4!K74,D5!K74,D6!K74)</f>
        <v/>
      </c>
      <c r="L74" s="15">
        <f>CHOOSE(Controls!$B$6,D1!L74,D2!L74,D3!L74,D4!L74,D5!L74,D6!L74)</f>
        <v/>
      </c>
      <c r="M74" s="15">
        <f>CHOOSE(Controls!$B$6,D1!M74,D2!M74,D3!M74,D4!M74,D5!M74,D6!M74)</f>
        <v/>
      </c>
      <c r="N74" s="15">
        <f>CHOOSE(Controls!$B$6,D1!N74,D2!N74,D3!N74,D4!N74,D5!N74,D6!N74)</f>
        <v/>
      </c>
      <c r="O74" s="15">
        <f>CHOOSE(Controls!$B$6,D1!O74,D2!O74,D3!O74,D4!O74,D5!O74,D6!O74)</f>
        <v/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>
        <f>CHOOSE(Controls!$B$6,D1!E75,D2!E75,D3!E75,D4!E75,D5!E75,D6!E75)</f>
        <v/>
      </c>
      <c r="F75" s="15">
        <f>CHOOSE(Controls!$B$6,D1!F75,D2!F75,D3!F75,D4!F75,D5!F75,D6!F75)</f>
        <v/>
      </c>
      <c r="G75" s="15">
        <f>CHOOSE(Controls!$B$6,D1!G75,D2!G75,D3!G75,D4!G75,D5!G75,D6!G75)</f>
        <v/>
      </c>
      <c r="H75" s="15">
        <f>CHOOSE(Controls!$B$6,D1!H75,D2!H75,D3!H75,D4!H75,D5!H75,D6!H75)</f>
        <v/>
      </c>
      <c r="I75" s="15">
        <f>CHOOSE(Controls!$B$6,D1!I75,D2!I75,D3!I75,D4!I75,D5!I75,D6!I75)</f>
        <v/>
      </c>
      <c r="J75" s="15">
        <f>CHOOSE(Controls!$B$6,D1!J75,D2!J75,D3!J75,D4!J75,D5!J75,D6!J75)</f>
        <v/>
      </c>
      <c r="K75" s="15">
        <f>CHOOSE(Controls!$B$6,D1!K75,D2!K75,D3!K75,D4!K75,D5!K75,D6!K75)</f>
        <v/>
      </c>
      <c r="L75" s="15">
        <f>CHOOSE(Controls!$B$6,D1!L75,D2!L75,D3!L75,D4!L75,D5!L75,D6!L75)</f>
        <v/>
      </c>
      <c r="M75" s="15">
        <f>CHOOSE(Controls!$B$6,D1!M75,D2!M75,D3!M75,D4!M75,D5!M75,D6!M75)</f>
        <v/>
      </c>
      <c r="N75" s="15">
        <f>CHOOSE(Controls!$B$6,D1!N75,D2!N75,D3!N75,D4!N75,D5!N75,D6!N75)</f>
        <v/>
      </c>
      <c r="O75" s="15">
        <f>CHOOSE(Controls!$B$6,D1!O75,D2!O75,D3!O75,D4!O75,D5!O75,D6!O75)</f>
        <v/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>
        <f>CHOOSE(Controls!$B$6,D1!E76,D2!E76,D3!E76,D4!E76,D5!E76,D6!E76)</f>
        <v/>
      </c>
      <c r="F76" s="16">
        <f>CHOOSE(Controls!$B$6,D1!F76,D2!F76,D3!F76,D4!F76,D5!F76,D6!F76)</f>
        <v/>
      </c>
      <c r="G76" s="16">
        <f>CHOOSE(Controls!$B$6,D1!G76,D2!G76,D3!G76,D4!G76,D5!G76,D6!G76)</f>
        <v/>
      </c>
      <c r="H76" s="16">
        <f>CHOOSE(Controls!$B$6,D1!H76,D2!H76,D3!H76,D4!H76,D5!H76,D6!H76)</f>
        <v/>
      </c>
      <c r="I76" s="16">
        <f>CHOOSE(Controls!$B$6,D1!I76,D2!I76,D3!I76,D4!I76,D5!I76,D6!I76)</f>
        <v/>
      </c>
      <c r="J76" s="16">
        <f>CHOOSE(Controls!$B$6,D1!J76,D2!J76,D3!J76,D4!J76,D5!J76,D6!J76)</f>
        <v/>
      </c>
      <c r="K76" s="16">
        <f>CHOOSE(Controls!$B$6,D1!K76,D2!K76,D3!K76,D4!K76,D5!K76,D6!K76)</f>
        <v/>
      </c>
      <c r="L76" s="16">
        <f>CHOOSE(Controls!$B$6,D1!L76,D2!L76,D3!L76,D4!L76,D5!L76,D6!L76)</f>
        <v/>
      </c>
      <c r="M76" s="16">
        <f>CHOOSE(Controls!$B$6,D1!M76,D2!M76,D3!M76,D4!M76,D5!M76,D6!M76)</f>
        <v/>
      </c>
      <c r="N76" s="16">
        <f>CHOOSE(Controls!$B$6,D1!N76,D2!N76,D3!N76,D4!N76,D5!N76,D6!N76)</f>
        <v/>
      </c>
      <c r="O76" s="16">
        <f>CHOOSE(Controls!$B$6,D1!O76,D2!O76,D3!O76,D4!O76,D5!O76,D6!O76)</f>
        <v/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>
        <f>CHOOSE(Controls!$B$6,D1!E77,D2!E77,D3!E77,D4!E77,D5!E77,D6!E77)</f>
        <v/>
      </c>
      <c r="F77" s="15">
        <f>CHOOSE(Controls!$B$6,D1!F77,D2!F77,D3!F77,D4!F77,D5!F77,D6!F77)</f>
        <v/>
      </c>
      <c r="G77" s="15">
        <f>CHOOSE(Controls!$B$6,D1!G77,D2!G77,D3!G77,D4!G77,D5!G77,D6!G77)</f>
        <v/>
      </c>
      <c r="H77" s="15">
        <f>CHOOSE(Controls!$B$6,D1!H77,D2!H77,D3!H77,D4!H77,D5!H77,D6!H77)</f>
        <v/>
      </c>
      <c r="I77" s="15">
        <f>CHOOSE(Controls!$B$6,D1!I77,D2!I77,D3!I77,D4!I77,D5!I77,D6!I77)</f>
        <v/>
      </c>
      <c r="J77" s="15">
        <f>CHOOSE(Controls!$B$6,D1!J77,D2!J77,D3!J77,D4!J77,D5!J77,D6!J77)</f>
        <v/>
      </c>
      <c r="K77" s="15">
        <f>CHOOSE(Controls!$B$6,D1!K77,D2!K77,D3!K77,D4!K77,D5!K77,D6!K77)</f>
        <v/>
      </c>
      <c r="L77" s="15">
        <f>CHOOSE(Controls!$B$6,D1!L77,D2!L77,D3!L77,D4!L77,D5!L77,D6!L77)</f>
        <v/>
      </c>
      <c r="M77" s="15">
        <f>CHOOSE(Controls!$B$6,D1!M77,D2!M77,D3!M77,D4!M77,D5!M77,D6!M77)</f>
        <v/>
      </c>
      <c r="N77" s="15">
        <f>CHOOSE(Controls!$B$6,D1!N77,D2!N77,D3!N77,D4!N77,D5!N77,D6!N77)</f>
        <v/>
      </c>
      <c r="O77" s="15">
        <f>CHOOSE(Controls!$B$6,D1!O77,D2!O77,D3!O77,D4!O77,D5!O77,D6!O77)</f>
        <v/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>
        <f>CHOOSE(Controls!$B$6,D1!E78,D2!E78,D3!E78,D4!E78,D5!E78,D6!E78)</f>
        <v/>
      </c>
      <c r="F78" s="17">
        <f>CHOOSE(Controls!$B$6,D1!F78,D2!F78,D3!F78,D4!F78,D5!F78,D6!F78)</f>
        <v/>
      </c>
      <c r="G78" s="17">
        <f>CHOOSE(Controls!$B$6,D1!G78,D2!G78,D3!G78,D4!G78,D5!G78,D6!G78)</f>
        <v/>
      </c>
      <c r="H78" s="17">
        <f>CHOOSE(Controls!$B$6,D1!H78,D2!H78,D3!H78,D4!H78,D5!H78,D6!H78)</f>
        <v/>
      </c>
      <c r="I78" s="17">
        <f>CHOOSE(Controls!$B$6,D1!I78,D2!I78,D3!I78,D4!I78,D5!I78,D6!I78)</f>
        <v/>
      </c>
      <c r="J78" s="17">
        <f>CHOOSE(Controls!$B$6,D1!J78,D2!J78,D3!J78,D4!J78,D5!J78,D6!J78)</f>
        <v/>
      </c>
      <c r="K78" s="17">
        <f>CHOOSE(Controls!$B$6,D1!K78,D2!K78,D3!K78,D4!K78,D5!K78,D6!K78)</f>
        <v/>
      </c>
      <c r="L78" s="17">
        <f>CHOOSE(Controls!$B$6,D1!L78,D2!L78,D3!L78,D4!L78,D5!L78,D6!L78)</f>
        <v/>
      </c>
      <c r="M78" s="17">
        <f>CHOOSE(Controls!$B$6,D1!M78,D2!M78,D3!M78,D4!M78,D5!M78,D6!M78)</f>
        <v/>
      </c>
      <c r="N78" s="17">
        <f>CHOOSE(Controls!$B$6,D1!N78,D2!N78,D3!N78,D4!N78,D5!N78,D6!N78)</f>
        <v/>
      </c>
      <c r="O78" s="17">
        <f>CHOOSE(Controls!$B$6,D1!O78,D2!O78,D3!O78,D4!O78,D5!O78,D6!O78)</f>
        <v/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>
        <f>CHOOSE(Controls!$B$6,D1!E79,D2!E79,D3!E79,D4!E79,D5!E79,D6!E79)</f>
        <v/>
      </c>
      <c r="F79" s="15">
        <f>CHOOSE(Controls!$B$6,D1!F79,D2!F79,D3!F79,D4!F79,D5!F79,D6!F79)</f>
        <v/>
      </c>
      <c r="G79" s="15">
        <f>CHOOSE(Controls!$B$6,D1!G79,D2!G79,D3!G79,D4!G79,D5!G79,D6!G79)</f>
        <v/>
      </c>
      <c r="H79" s="15">
        <f>CHOOSE(Controls!$B$6,D1!H79,D2!H79,D3!H79,D4!H79,D5!H79,D6!H79)</f>
        <v/>
      </c>
      <c r="I79" s="15">
        <f>CHOOSE(Controls!$B$6,D1!I79,D2!I79,D3!I79,D4!I79,D5!I79,D6!I79)</f>
        <v/>
      </c>
      <c r="J79" s="15">
        <f>CHOOSE(Controls!$B$6,D1!J79,D2!J79,D3!J79,D4!J79,D5!J79,D6!J79)</f>
        <v/>
      </c>
      <c r="K79" s="15">
        <f>CHOOSE(Controls!$B$6,D1!K79,D2!K79,D3!K79,D4!K79,D5!K79,D6!K79)</f>
        <v/>
      </c>
      <c r="L79" s="15">
        <f>CHOOSE(Controls!$B$6,D1!L79,D2!L79,D3!L79,D4!L79,D5!L79,D6!L79)</f>
        <v/>
      </c>
      <c r="M79" s="15">
        <f>CHOOSE(Controls!$B$6,D1!M79,D2!M79,D3!M79,D4!M79,D5!M79,D6!M79)</f>
        <v/>
      </c>
      <c r="N79" s="15">
        <f>CHOOSE(Controls!$B$6,D1!N79,D2!N79,D3!N79,D4!N79,D5!N79,D6!N79)</f>
        <v/>
      </c>
      <c r="O79" s="15">
        <f>CHOOSE(Controls!$B$6,D1!O79,D2!O79,D3!O79,D4!O79,D5!O79,D6!O79)</f>
        <v/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>
        <f>CHOOSE(Controls!$B$6,D1!E80,D2!E80,D3!E80,D4!E80,D5!E80,D6!E80)</f>
        <v/>
      </c>
      <c r="F80" s="15">
        <f>CHOOSE(Controls!$B$6,D1!F80,D2!F80,D3!F80,D4!F80,D5!F80,D6!F80)</f>
        <v/>
      </c>
      <c r="G80" s="15">
        <f>CHOOSE(Controls!$B$6,D1!G80,D2!G80,D3!G80,D4!G80,D5!G80,D6!G80)</f>
        <v/>
      </c>
      <c r="H80" s="15">
        <f>CHOOSE(Controls!$B$6,D1!H80,D2!H80,D3!H80,D4!H80,D5!H80,D6!H80)</f>
        <v/>
      </c>
      <c r="I80" s="15">
        <f>CHOOSE(Controls!$B$6,D1!I80,D2!I80,D3!I80,D4!I80,D5!I80,D6!I80)</f>
        <v/>
      </c>
      <c r="J80" s="15">
        <f>CHOOSE(Controls!$B$6,D1!J80,D2!J80,D3!J80,D4!J80,D5!J80,D6!J80)</f>
        <v/>
      </c>
      <c r="K80" s="15">
        <f>CHOOSE(Controls!$B$6,D1!K80,D2!K80,D3!K80,D4!K80,D5!K80,D6!K80)</f>
        <v/>
      </c>
      <c r="L80" s="15">
        <f>CHOOSE(Controls!$B$6,D1!L80,D2!L80,D3!L80,D4!L80,D5!L80,D6!L80)</f>
        <v/>
      </c>
      <c r="M80" s="15">
        <f>CHOOSE(Controls!$B$6,D1!M80,D2!M80,D3!M80,D4!M80,D5!M80,D6!M80)</f>
        <v/>
      </c>
      <c r="N80" s="15">
        <f>CHOOSE(Controls!$B$6,D1!N80,D2!N80,D3!N80,D4!N80,D5!N80,D6!N80)</f>
        <v/>
      </c>
      <c r="O80" s="15">
        <f>CHOOSE(Controls!$B$6,D1!O80,D2!O80,D3!O80,D4!O80,D5!O80,D6!O80)</f>
        <v/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>
        <f>CHOOSE(Controls!$B$6,D1!E81,D2!E81,D3!E81,D4!E81,D5!E81,D6!E81)</f>
        <v/>
      </c>
      <c r="F81" s="15">
        <f>CHOOSE(Controls!$B$6,D1!F81,D2!F81,D3!F81,D4!F81,D5!F81,D6!F81)</f>
        <v/>
      </c>
      <c r="G81" s="15">
        <f>CHOOSE(Controls!$B$6,D1!G81,D2!G81,D3!G81,D4!G81,D5!G81,D6!G81)</f>
        <v/>
      </c>
      <c r="H81" s="15">
        <f>CHOOSE(Controls!$B$6,D1!H81,D2!H81,D3!H81,D4!H81,D5!H81,D6!H81)</f>
        <v/>
      </c>
      <c r="I81" s="15">
        <f>CHOOSE(Controls!$B$6,D1!I81,D2!I81,D3!I81,D4!I81,D5!I81,D6!I81)</f>
        <v/>
      </c>
      <c r="J81" s="15">
        <f>CHOOSE(Controls!$B$6,D1!J81,D2!J81,D3!J81,D4!J81,D5!J81,D6!J81)</f>
        <v/>
      </c>
      <c r="K81" s="15">
        <f>CHOOSE(Controls!$B$6,D1!K81,D2!K81,D3!K81,D4!K81,D5!K81,D6!K81)</f>
        <v/>
      </c>
      <c r="L81" s="15">
        <f>CHOOSE(Controls!$B$6,D1!L81,D2!L81,D3!L81,D4!L81,D5!L81,D6!L81)</f>
        <v/>
      </c>
      <c r="M81" s="15">
        <f>CHOOSE(Controls!$B$6,D1!M81,D2!M81,D3!M81,D4!M81,D5!M81,D6!M81)</f>
        <v/>
      </c>
      <c r="N81" s="15">
        <f>CHOOSE(Controls!$B$6,D1!N81,D2!N81,D3!N81,D4!N81,D5!N81,D6!N81)</f>
        <v/>
      </c>
      <c r="O81" s="15">
        <f>CHOOSE(Controls!$B$6,D1!O81,D2!O81,D3!O81,D4!O81,D5!O81,D6!O81)</f>
        <v/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>
        <f>CHOOSE(Controls!$B$6,D1!E82,D2!E82,D3!E82,D4!E82,D5!E82,D6!E82)</f>
        <v/>
      </c>
      <c r="F82" s="15">
        <f>CHOOSE(Controls!$B$6,D1!F82,D2!F82,D3!F82,D4!F82,D5!F82,D6!F82)</f>
        <v/>
      </c>
      <c r="G82" s="15">
        <f>CHOOSE(Controls!$B$6,D1!G82,D2!G82,D3!G82,D4!G82,D5!G82,D6!G82)</f>
        <v/>
      </c>
      <c r="H82" s="15">
        <f>CHOOSE(Controls!$B$6,D1!H82,D2!H82,D3!H82,D4!H82,D5!H82,D6!H82)</f>
        <v/>
      </c>
      <c r="I82" s="15">
        <f>CHOOSE(Controls!$B$6,D1!I82,D2!I82,D3!I82,D4!I82,D5!I82,D6!I82)</f>
        <v/>
      </c>
      <c r="J82" s="15">
        <f>CHOOSE(Controls!$B$6,D1!J82,D2!J82,D3!J82,D4!J82,D5!J82,D6!J82)</f>
        <v/>
      </c>
      <c r="K82" s="15">
        <f>CHOOSE(Controls!$B$6,D1!K82,D2!K82,D3!K82,D4!K82,D5!K82,D6!K82)</f>
        <v/>
      </c>
      <c r="L82" s="15">
        <f>CHOOSE(Controls!$B$6,D1!L82,D2!L82,D3!L82,D4!L82,D5!L82,D6!L82)</f>
        <v/>
      </c>
      <c r="M82" s="15">
        <f>CHOOSE(Controls!$B$6,D1!M82,D2!M82,D3!M82,D4!M82,D5!M82,D6!M82)</f>
        <v/>
      </c>
      <c r="N82" s="15">
        <f>CHOOSE(Controls!$B$6,D1!N82,D2!N82,D3!N82,D4!N82,D5!N82,D6!N82)</f>
        <v/>
      </c>
      <c r="O82" s="15">
        <f>CHOOSE(Controls!$B$6,D1!O82,D2!O82,D3!O82,D4!O82,D5!O82,D6!O82)</f>
        <v/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>
        <f>CHOOSE(Controls!$B$6,D1!E83,D2!E83,D3!E83,D4!E83,D5!E83,D6!E83)</f>
        <v/>
      </c>
      <c r="F83" s="15">
        <f>CHOOSE(Controls!$B$6,D1!F83,D2!F83,D3!F83,D4!F83,D5!F83,D6!F83)</f>
        <v/>
      </c>
      <c r="G83" s="15">
        <f>CHOOSE(Controls!$B$6,D1!G83,D2!G83,D3!G83,D4!G83,D5!G83,D6!G83)</f>
        <v/>
      </c>
      <c r="H83" s="15">
        <f>CHOOSE(Controls!$B$6,D1!H83,D2!H83,D3!H83,D4!H83,D5!H83,D6!H83)</f>
        <v/>
      </c>
      <c r="I83" s="15">
        <f>CHOOSE(Controls!$B$6,D1!I83,D2!I83,D3!I83,D4!I83,D5!I83,D6!I83)</f>
        <v/>
      </c>
      <c r="J83" s="15">
        <f>CHOOSE(Controls!$B$6,D1!J83,D2!J83,D3!J83,D4!J83,D5!J83,D6!J83)</f>
        <v/>
      </c>
      <c r="K83" s="15">
        <f>CHOOSE(Controls!$B$6,D1!K83,D2!K83,D3!K83,D4!K83,D5!K83,D6!K83)</f>
        <v/>
      </c>
      <c r="L83" s="15">
        <f>CHOOSE(Controls!$B$6,D1!L83,D2!L83,D3!L83,D4!L83,D5!L83,D6!L83)</f>
        <v/>
      </c>
      <c r="M83" s="15">
        <f>CHOOSE(Controls!$B$6,D1!M83,D2!M83,D3!M83,D4!M83,D5!M83,D6!M83)</f>
        <v/>
      </c>
      <c r="N83" s="15">
        <f>CHOOSE(Controls!$B$6,D1!N83,D2!N83,D3!N83,D4!N83,D5!N83,D6!N83)</f>
        <v/>
      </c>
      <c r="O83" s="15">
        <f>CHOOSE(Controls!$B$6,D1!O83,D2!O83,D3!O83,D4!O83,D5!O83,D6!O83)</f>
        <v/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>
        <f>CHOOSE(Controls!$B$6,D1!E84,D2!E84,D3!E84,D4!E84,D5!E84,D6!E84)</f>
        <v/>
      </c>
      <c r="F84" s="15">
        <f>CHOOSE(Controls!$B$6,D1!F84,D2!F84,D3!F84,D4!F84,D5!F84,D6!F84)</f>
        <v/>
      </c>
      <c r="G84" s="15">
        <f>CHOOSE(Controls!$B$6,D1!G84,D2!G84,D3!G84,D4!G84,D5!G84,D6!G84)</f>
        <v/>
      </c>
      <c r="H84" s="15">
        <f>CHOOSE(Controls!$B$6,D1!H84,D2!H84,D3!H84,D4!H84,D5!H84,D6!H84)</f>
        <v/>
      </c>
      <c r="I84" s="15">
        <f>CHOOSE(Controls!$B$6,D1!I84,D2!I84,D3!I84,D4!I84,D5!I84,D6!I84)</f>
        <v/>
      </c>
      <c r="J84" s="15">
        <f>CHOOSE(Controls!$B$6,D1!J84,D2!J84,D3!J84,D4!J84,D5!J84,D6!J84)</f>
        <v/>
      </c>
      <c r="K84" s="15">
        <f>CHOOSE(Controls!$B$6,D1!K84,D2!K84,D3!K84,D4!K84,D5!K84,D6!K84)</f>
        <v/>
      </c>
      <c r="L84" s="15">
        <f>CHOOSE(Controls!$B$6,D1!L84,D2!L84,D3!L84,D4!L84,D5!L84,D6!L84)</f>
        <v/>
      </c>
      <c r="M84" s="15">
        <f>CHOOSE(Controls!$B$6,D1!M84,D2!M84,D3!M84,D4!M84,D5!M84,D6!M84)</f>
        <v/>
      </c>
      <c r="N84" s="15">
        <f>CHOOSE(Controls!$B$6,D1!N84,D2!N84,D3!N84,D4!N84,D5!N84,D6!N84)</f>
        <v/>
      </c>
      <c r="O84" s="15">
        <f>CHOOSE(Controls!$B$6,D1!O84,D2!O84,D3!O84,D4!O84,D5!O84,D6!O84)</f>
        <v/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>
        <f>CHOOSE(Controls!$B$6,D1!E86,D2!E86,D3!E86,D4!E86,D5!E86,D6!E86)</f>
        <v/>
      </c>
      <c r="F86" s="23">
        <f>CHOOSE(Controls!$B$6,D1!F86,D2!F86,D3!F86,D4!F86,D5!F86,D6!F86)</f>
        <v/>
      </c>
      <c r="G86" s="23">
        <f>CHOOSE(Controls!$B$6,D1!G86,D2!G86,D3!G86,D4!G86,D5!G86,D6!G86)</f>
        <v/>
      </c>
      <c r="H86" s="23">
        <f>CHOOSE(Controls!$B$6,D1!H86,D2!H86,D3!H86,D4!H86,D5!H86,D6!H86)</f>
        <v/>
      </c>
      <c r="I86" s="23">
        <f>CHOOSE(Controls!$B$6,D1!I86,D2!I86,D3!I86,D4!I86,D5!I86,D6!I86)</f>
        <v/>
      </c>
      <c r="J86" s="23">
        <f>CHOOSE(Controls!$B$6,D1!J86,D2!J86,D3!J86,D4!J86,D5!J86,D6!J86)</f>
        <v/>
      </c>
      <c r="K86" s="23">
        <f>CHOOSE(Controls!$B$6,D1!K86,D2!K86,D3!K86,D4!K86,D5!K86,D6!K86)</f>
        <v/>
      </c>
      <c r="L86" s="23">
        <f>CHOOSE(Controls!$B$6,D1!L86,D2!L86,D3!L86,D4!L86,D5!L86,D6!L86)</f>
        <v/>
      </c>
      <c r="M86" s="23">
        <f>CHOOSE(Controls!$B$6,D1!M86,D2!M86,D3!M86,D4!M86,D5!M86,D6!M86)</f>
        <v/>
      </c>
      <c r="N86" s="23">
        <f>CHOOSE(Controls!$B$6,D1!N86,D2!N86,D3!N86,D4!N86,D5!N86,D6!N86)</f>
        <v/>
      </c>
      <c r="O86" s="23">
        <f>CHOOSE(Controls!$B$6,D1!O86,D2!O86,D3!O86,D4!O86,D5!O86,D6!O86)</f>
        <v/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>
        <f>CHOOSE(Controls!$B$6,D1!E87,D2!E87,D3!E87,D4!E87,D5!E87,D6!E87)</f>
        <v/>
      </c>
      <c r="F87" s="15">
        <f>CHOOSE(Controls!$B$6,D1!F87,D2!F87,D3!F87,D4!F87,D5!F87,D6!F87)</f>
        <v/>
      </c>
      <c r="G87" s="15">
        <f>CHOOSE(Controls!$B$6,D1!G87,D2!G87,D3!G87,D4!G87,D5!G87,D6!G87)</f>
        <v/>
      </c>
      <c r="H87" s="15">
        <f>CHOOSE(Controls!$B$6,D1!H87,D2!H87,D3!H87,D4!H87,D5!H87,D6!H87)</f>
        <v/>
      </c>
      <c r="I87" s="15">
        <f>CHOOSE(Controls!$B$6,D1!I87,D2!I87,D3!I87,D4!I87,D5!I87,D6!I87)</f>
        <v/>
      </c>
      <c r="J87" s="15">
        <f>CHOOSE(Controls!$B$6,D1!J87,D2!J87,D3!J87,D4!J87,D5!J87,D6!J87)</f>
        <v/>
      </c>
      <c r="K87" s="15">
        <f>CHOOSE(Controls!$B$6,D1!K87,D2!K87,D3!K87,D4!K87,D5!K87,D6!K87)</f>
        <v/>
      </c>
      <c r="L87" s="15">
        <f>CHOOSE(Controls!$B$6,D1!L87,D2!L87,D3!L87,D4!L87,D5!L87,D6!L87)</f>
        <v/>
      </c>
      <c r="M87" s="15">
        <f>CHOOSE(Controls!$B$6,D1!M87,D2!M87,D3!M87,D4!M87,D5!M87,D6!M87)</f>
        <v/>
      </c>
      <c r="N87" s="15">
        <f>CHOOSE(Controls!$B$6,D1!N87,D2!N87,D3!N87,D4!N87,D5!N87,D6!N87)</f>
        <v/>
      </c>
      <c r="O87" s="15">
        <f>CHOOSE(Controls!$B$6,D1!O87,D2!O87,D3!O87,D4!O87,D5!O87,D6!O87)</f>
        <v/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>
        <f>CHOOSE(Controls!$B$6,D1!E88,D2!E88,D3!E88,D4!E88,D5!E88,D6!E88)</f>
        <v/>
      </c>
      <c r="F88" s="15">
        <f>CHOOSE(Controls!$B$6,D1!F88,D2!F88,D3!F88,D4!F88,D5!F88,D6!F88)</f>
        <v/>
      </c>
      <c r="G88" s="15">
        <f>CHOOSE(Controls!$B$6,D1!G88,D2!G88,D3!G88,D4!G88,D5!G88,D6!G88)</f>
        <v/>
      </c>
      <c r="H88" s="15">
        <f>CHOOSE(Controls!$B$6,D1!H88,D2!H88,D3!H88,D4!H88,D5!H88,D6!H88)</f>
        <v/>
      </c>
      <c r="I88" s="15">
        <f>CHOOSE(Controls!$B$6,D1!I88,D2!I88,D3!I88,D4!I88,D5!I88,D6!I88)</f>
        <v/>
      </c>
      <c r="J88" s="15">
        <f>CHOOSE(Controls!$B$6,D1!J88,D2!J88,D3!J88,D4!J88,D5!J88,D6!J88)</f>
        <v/>
      </c>
      <c r="K88" s="15">
        <f>CHOOSE(Controls!$B$6,D1!K88,D2!K88,D3!K88,D4!K88,D5!K88,D6!K88)</f>
        <v/>
      </c>
      <c r="L88" s="15">
        <f>CHOOSE(Controls!$B$6,D1!L88,D2!L88,D3!L88,D4!L88,D5!L88,D6!L88)</f>
        <v/>
      </c>
      <c r="M88" s="15">
        <f>CHOOSE(Controls!$B$6,D1!M88,D2!M88,D3!M88,D4!M88,D5!M88,D6!M88)</f>
        <v/>
      </c>
      <c r="N88" s="15">
        <f>CHOOSE(Controls!$B$6,D1!N88,D2!N88,D3!N88,D4!N88,D5!N88,D6!N88)</f>
        <v/>
      </c>
      <c r="O88" s="15">
        <f>CHOOSE(Controls!$B$6,D1!O88,D2!O88,D3!O88,D4!O88,D5!O88,D6!O88)</f>
        <v/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>
        <f>CHOOSE(Controls!$B$6,D1!E89,D2!E89,D3!E89,D4!E89,D5!E89,D6!E89)</f>
        <v/>
      </c>
      <c r="F89" s="17">
        <f>CHOOSE(Controls!$B$6,D1!F89,D2!F89,D3!F89,D4!F89,D5!F89,D6!F89)</f>
        <v/>
      </c>
      <c r="G89" s="17">
        <f>CHOOSE(Controls!$B$6,D1!G89,D2!G89,D3!G89,D4!G89,D5!G89,D6!G89)</f>
        <v/>
      </c>
      <c r="H89" s="17">
        <f>CHOOSE(Controls!$B$6,D1!H89,D2!H89,D3!H89,D4!H89,D5!H89,D6!H89)</f>
        <v/>
      </c>
      <c r="I89" s="17">
        <f>CHOOSE(Controls!$B$6,D1!I89,D2!I89,D3!I89,D4!I89,D5!I89,D6!I89)</f>
        <v/>
      </c>
      <c r="J89" s="17">
        <f>CHOOSE(Controls!$B$6,D1!J89,D2!J89,D3!J89,D4!J89,D5!J89,D6!J89)</f>
        <v/>
      </c>
      <c r="K89" s="17">
        <f>CHOOSE(Controls!$B$6,D1!K89,D2!K89,D3!K89,D4!K89,D5!K89,D6!K89)</f>
        <v/>
      </c>
      <c r="L89" s="17">
        <f>CHOOSE(Controls!$B$6,D1!L89,D2!L89,D3!L89,D4!L89,D5!L89,D6!L89)</f>
        <v/>
      </c>
      <c r="M89" s="17">
        <f>CHOOSE(Controls!$B$6,D1!M89,D2!M89,D3!M89,D4!M89,D5!M89,D6!M89)</f>
        <v/>
      </c>
      <c r="N89" s="17">
        <f>CHOOSE(Controls!$B$6,D1!N89,D2!N89,D3!N89,D4!N89,D5!N89,D6!N89)</f>
        <v/>
      </c>
      <c r="O89" s="17">
        <f>CHOOSE(Controls!$B$6,D1!O89,D2!O89,D3!O89,D4!O89,D5!O89,D6!O89)</f>
        <v/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>
        <f>CHOOSE(Controls!$B$6,D1!E90,D2!E90,D3!E90,D4!E90,D5!E90,D6!E90)</f>
        <v/>
      </c>
      <c r="F90" s="15">
        <f>CHOOSE(Controls!$B$6,D1!F90,D2!F90,D3!F90,D4!F90,D5!F90,D6!F90)</f>
        <v/>
      </c>
      <c r="G90" s="15">
        <f>CHOOSE(Controls!$B$6,D1!G90,D2!G90,D3!G90,D4!G90,D5!G90,D6!G90)</f>
        <v/>
      </c>
      <c r="H90" s="15">
        <f>CHOOSE(Controls!$B$6,D1!H90,D2!H90,D3!H90,D4!H90,D5!H90,D6!H90)</f>
        <v/>
      </c>
      <c r="I90" s="15">
        <f>CHOOSE(Controls!$B$6,D1!I90,D2!I90,D3!I90,D4!I90,D5!I90,D6!I90)</f>
        <v/>
      </c>
      <c r="J90" s="15">
        <f>CHOOSE(Controls!$B$6,D1!J90,D2!J90,D3!J90,D4!J90,D5!J90,D6!J90)</f>
        <v/>
      </c>
      <c r="K90" s="15">
        <f>CHOOSE(Controls!$B$6,D1!K90,D2!K90,D3!K90,D4!K90,D5!K90,D6!K90)</f>
        <v/>
      </c>
      <c r="L90" s="15">
        <f>CHOOSE(Controls!$B$6,D1!L90,D2!L90,D3!L90,D4!L90,D5!L90,D6!L90)</f>
        <v/>
      </c>
      <c r="M90" s="15">
        <f>CHOOSE(Controls!$B$6,D1!M90,D2!M90,D3!M90,D4!M90,D5!M90,D6!M90)</f>
        <v/>
      </c>
      <c r="N90" s="15">
        <f>CHOOSE(Controls!$B$6,D1!N90,D2!N90,D3!N90,D4!N90,D5!N90,D6!N90)</f>
        <v/>
      </c>
      <c r="O90" s="15">
        <f>CHOOSE(Controls!$B$6,D1!O90,D2!O90,D3!O90,D4!O90,D5!O90,D6!O90)</f>
        <v/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>
        <f>CHOOSE(Controls!$B$6,D1!E91,D2!E91,D3!E91,D4!E91,D5!E91,D6!E91)</f>
        <v/>
      </c>
      <c r="F91" s="15">
        <f>CHOOSE(Controls!$B$6,D1!F91,D2!F91,D3!F91,D4!F91,D5!F91,D6!F91)</f>
        <v/>
      </c>
      <c r="G91" s="15">
        <f>CHOOSE(Controls!$B$6,D1!G91,D2!G91,D3!G91,D4!G91,D5!G91,D6!G91)</f>
        <v/>
      </c>
      <c r="H91" s="15">
        <f>CHOOSE(Controls!$B$6,D1!H91,D2!H91,D3!H91,D4!H91,D5!H91,D6!H91)</f>
        <v/>
      </c>
      <c r="I91" s="15">
        <f>CHOOSE(Controls!$B$6,D1!I91,D2!I91,D3!I91,D4!I91,D5!I91,D6!I91)</f>
        <v/>
      </c>
      <c r="J91" s="15">
        <f>CHOOSE(Controls!$B$6,D1!J91,D2!J91,D3!J91,D4!J91,D5!J91,D6!J91)</f>
        <v/>
      </c>
      <c r="K91" s="15">
        <f>CHOOSE(Controls!$B$6,D1!K91,D2!K91,D3!K91,D4!K91,D5!K91,D6!K91)</f>
        <v/>
      </c>
      <c r="L91" s="15">
        <f>CHOOSE(Controls!$B$6,D1!L91,D2!L91,D3!L91,D4!L91,D5!L91,D6!L91)</f>
        <v/>
      </c>
      <c r="M91" s="15">
        <f>CHOOSE(Controls!$B$6,D1!M91,D2!M91,D3!M91,D4!M91,D5!M91,D6!M91)</f>
        <v/>
      </c>
      <c r="N91" s="15">
        <f>CHOOSE(Controls!$B$6,D1!N91,D2!N91,D3!N91,D4!N91,D5!N91,D6!N91)</f>
        <v/>
      </c>
      <c r="O91" s="15">
        <f>CHOOSE(Controls!$B$6,D1!O91,D2!O91,D3!O91,D4!O91,D5!O91,D6!O91)</f>
        <v/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>
        <f>CHOOSE(Controls!$B$6,D1!E92,D2!E92,D3!E92,D4!E92,D5!E92,D6!E92)</f>
        <v/>
      </c>
      <c r="F92" s="24">
        <f>CHOOSE(Controls!$B$6,D1!F92,D2!F92,D3!F92,D4!F92,D5!F92,D6!F92)</f>
        <v/>
      </c>
      <c r="G92" s="24">
        <f>CHOOSE(Controls!$B$6,D1!G92,D2!G92,D3!G92,D4!G92,D5!G92,D6!G92)</f>
        <v/>
      </c>
      <c r="H92" s="24">
        <f>CHOOSE(Controls!$B$6,D1!H92,D2!H92,D3!H92,D4!H92,D5!H92,D6!H92)</f>
        <v/>
      </c>
      <c r="I92" s="24">
        <f>CHOOSE(Controls!$B$6,D1!I92,D2!I92,D3!I92,D4!I92,D5!I92,D6!I92)</f>
        <v/>
      </c>
      <c r="J92" s="24">
        <f>CHOOSE(Controls!$B$6,D1!J92,D2!J92,D3!J92,D4!J92,D5!J92,D6!J92)</f>
        <v/>
      </c>
      <c r="K92" s="24">
        <f>CHOOSE(Controls!$B$6,D1!K92,D2!K92,D3!K92,D4!K92,D5!K92,D6!K92)</f>
        <v/>
      </c>
      <c r="L92" s="24">
        <f>CHOOSE(Controls!$B$6,D1!L92,D2!L92,D3!L92,D4!L92,D5!L92,D6!L92)</f>
        <v/>
      </c>
      <c r="M92" s="24">
        <f>CHOOSE(Controls!$B$6,D1!M92,D2!M92,D3!M92,D4!M92,D5!M92,D6!M92)</f>
        <v/>
      </c>
      <c r="N92" s="24">
        <f>CHOOSE(Controls!$B$6,D1!N92,D2!N92,D3!N92,D4!N92,D5!N92,D6!N92)</f>
        <v/>
      </c>
      <c r="O92" s="24">
        <f>CHOOSE(Controls!$B$6,D1!O92,D2!O92,D3!O92,D4!O92,D5!O92,D6!O92)</f>
        <v/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>
        <f>CHOOSE(Controls!$B$6,D1!E93,D2!E93,D3!E93,D4!E93,D5!E93,D6!E93)</f>
        <v/>
      </c>
      <c r="F93" s="15">
        <f>CHOOSE(Controls!$B$6,D1!F93,D2!F93,D3!F93,D4!F93,D5!F93,D6!F93)</f>
        <v/>
      </c>
      <c r="G93" s="15">
        <f>CHOOSE(Controls!$B$6,D1!G93,D2!G93,D3!G93,D4!G93,D5!G93,D6!G93)</f>
        <v/>
      </c>
      <c r="H93" s="15">
        <f>CHOOSE(Controls!$B$6,D1!H93,D2!H93,D3!H93,D4!H93,D5!H93,D6!H93)</f>
        <v/>
      </c>
      <c r="I93" s="15">
        <f>CHOOSE(Controls!$B$6,D1!I93,D2!I93,D3!I93,D4!I93,D5!I93,D6!I93)</f>
        <v/>
      </c>
      <c r="J93" s="15">
        <f>CHOOSE(Controls!$B$6,D1!J93,D2!J93,D3!J93,D4!J93,D5!J93,D6!J93)</f>
        <v/>
      </c>
      <c r="K93" s="15">
        <f>CHOOSE(Controls!$B$6,D1!K93,D2!K93,D3!K93,D4!K93,D5!K93,D6!K93)</f>
        <v/>
      </c>
      <c r="L93" s="15">
        <f>CHOOSE(Controls!$B$6,D1!L93,D2!L93,D3!L93,D4!L93,D5!L93,D6!L93)</f>
        <v/>
      </c>
      <c r="M93" s="15">
        <f>CHOOSE(Controls!$B$6,D1!M93,D2!M93,D3!M93,D4!M93,D5!M93,D6!M93)</f>
        <v/>
      </c>
      <c r="N93" s="15">
        <f>CHOOSE(Controls!$B$6,D1!N93,D2!N93,D3!N93,D4!N93,D5!N93,D6!N93)</f>
        <v/>
      </c>
      <c r="O93" s="15">
        <f>CHOOSE(Controls!$B$6,D1!O93,D2!O93,D3!O93,D4!O93,D5!O93,D6!O93)</f>
        <v/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>
        <f>CHOOSE(Controls!$B$6,D1!E94,D2!E94,D3!E94,D4!E94,D5!E94,D6!E94)</f>
        <v/>
      </c>
      <c r="F94" s="16">
        <f>CHOOSE(Controls!$B$6,D1!F94,D2!F94,D3!F94,D4!F94,D5!F94,D6!F94)</f>
        <v/>
      </c>
      <c r="G94" s="16">
        <f>CHOOSE(Controls!$B$6,D1!G94,D2!G94,D3!G94,D4!G94,D5!G94,D6!G94)</f>
        <v/>
      </c>
      <c r="H94" s="16">
        <f>CHOOSE(Controls!$B$6,D1!H94,D2!H94,D3!H94,D4!H94,D5!H94,D6!H94)</f>
        <v/>
      </c>
      <c r="I94" s="16">
        <f>CHOOSE(Controls!$B$6,D1!I94,D2!I94,D3!I94,D4!I94,D5!I94,D6!I94)</f>
        <v/>
      </c>
      <c r="J94" s="16">
        <f>CHOOSE(Controls!$B$6,D1!J94,D2!J94,D3!J94,D4!J94,D5!J94,D6!J94)</f>
        <v/>
      </c>
      <c r="K94" s="16">
        <f>CHOOSE(Controls!$B$6,D1!K94,D2!K94,D3!K94,D4!K94,D5!K94,D6!K94)</f>
        <v/>
      </c>
      <c r="L94" s="16">
        <f>CHOOSE(Controls!$B$6,D1!L94,D2!L94,D3!L94,D4!L94,D5!L94,D6!L94)</f>
        <v/>
      </c>
      <c r="M94" s="16">
        <f>CHOOSE(Controls!$B$6,D1!M94,D2!M94,D3!M94,D4!M94,D5!M94,D6!M94)</f>
        <v/>
      </c>
      <c r="N94" s="16">
        <f>CHOOSE(Controls!$B$6,D1!N94,D2!N94,D3!N94,D4!N94,D5!N94,D6!N94)</f>
        <v/>
      </c>
      <c r="O94" s="16">
        <f>CHOOSE(Controls!$B$6,D1!O94,D2!O94,D3!O94,D4!O94,D5!O94,D6!O94)</f>
        <v/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>
        <f>CHOOSE(Controls!$B$6,D1!E95,D2!E95,D3!E95,D4!E95,D5!E95,D6!E95)</f>
        <v/>
      </c>
      <c r="F95" s="15">
        <f>CHOOSE(Controls!$B$6,D1!F95,D2!F95,D3!F95,D4!F95,D5!F95,D6!F95)</f>
        <v/>
      </c>
      <c r="G95" s="15">
        <f>CHOOSE(Controls!$B$6,D1!G95,D2!G95,D3!G95,D4!G95,D5!G95,D6!G95)</f>
        <v/>
      </c>
      <c r="H95" s="15">
        <f>CHOOSE(Controls!$B$6,D1!H95,D2!H95,D3!H95,D4!H95,D5!H95,D6!H95)</f>
        <v/>
      </c>
      <c r="I95" s="15">
        <f>CHOOSE(Controls!$B$6,D1!I95,D2!I95,D3!I95,D4!I95,D5!I95,D6!I95)</f>
        <v/>
      </c>
      <c r="J95" s="15">
        <f>CHOOSE(Controls!$B$6,D1!J95,D2!J95,D3!J95,D4!J95,D5!J95,D6!J95)</f>
        <v/>
      </c>
      <c r="K95" s="15">
        <f>CHOOSE(Controls!$B$6,D1!K95,D2!K95,D3!K95,D4!K95,D5!K95,D6!K95)</f>
        <v/>
      </c>
      <c r="L95" s="15">
        <f>CHOOSE(Controls!$B$6,D1!L95,D2!L95,D3!L95,D4!L95,D5!L95,D6!L95)</f>
        <v/>
      </c>
      <c r="M95" s="15">
        <f>CHOOSE(Controls!$B$6,D1!M95,D2!M95,D3!M95,D4!M95,D5!M95,D6!M95)</f>
        <v/>
      </c>
      <c r="N95" s="15">
        <f>CHOOSE(Controls!$B$6,D1!N95,D2!N95,D3!N95,D4!N95,D5!N95,D6!N95)</f>
        <v/>
      </c>
      <c r="O95" s="15">
        <f>CHOOSE(Controls!$B$6,D1!O95,D2!O95,D3!O95,D4!O95,D5!O95,D6!O95)</f>
        <v/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>
        <f>CHOOSE(Controls!$B$6,D1!E96,D2!E96,D3!E96,D4!E96,D5!E96,D6!E96)</f>
        <v/>
      </c>
      <c r="F96" s="16">
        <f>CHOOSE(Controls!$B$6,D1!F96,D2!F96,D3!F96,D4!F96,D5!F96,D6!F96)</f>
        <v/>
      </c>
      <c r="G96" s="16">
        <f>CHOOSE(Controls!$B$6,D1!G96,D2!G96,D3!G96,D4!G96,D5!G96,D6!G96)</f>
        <v/>
      </c>
      <c r="H96" s="16">
        <f>CHOOSE(Controls!$B$6,D1!H96,D2!H96,D3!H96,D4!H96,D5!H96,D6!H96)</f>
        <v/>
      </c>
      <c r="I96" s="16">
        <f>CHOOSE(Controls!$B$6,D1!I96,D2!I96,D3!I96,D4!I96,D5!I96,D6!I96)</f>
        <v/>
      </c>
      <c r="J96" s="16">
        <f>CHOOSE(Controls!$B$6,D1!J96,D2!J96,D3!J96,D4!J96,D5!J96,D6!J96)</f>
        <v/>
      </c>
      <c r="K96" s="16">
        <f>CHOOSE(Controls!$B$6,D1!K96,D2!K96,D3!K96,D4!K96,D5!K96,D6!K96)</f>
        <v/>
      </c>
      <c r="L96" s="16">
        <f>CHOOSE(Controls!$B$6,D1!L96,D2!L96,D3!L96,D4!L96,D5!L96,D6!L96)</f>
        <v/>
      </c>
      <c r="M96" s="16">
        <f>CHOOSE(Controls!$B$6,D1!M96,D2!M96,D3!M96,D4!M96,D5!M96,D6!M96)</f>
        <v/>
      </c>
      <c r="N96" s="16">
        <f>CHOOSE(Controls!$B$6,D1!N96,D2!N96,D3!N96,D4!N96,D5!N96,D6!N96)</f>
        <v/>
      </c>
      <c r="O96" s="16">
        <f>CHOOSE(Controls!$B$6,D1!O96,D2!O96,D3!O96,D4!O96,D5!O96,D6!O96)</f>
        <v/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>
        <f>CHOOSE(Controls!$B$6,D1!E97,D2!E97,D3!E97,D4!E97,D5!E97,D6!E97)</f>
        <v/>
      </c>
      <c r="F97" s="15">
        <f>CHOOSE(Controls!$B$6,D1!F97,D2!F97,D3!F97,D4!F97,D5!F97,D6!F97)</f>
        <v/>
      </c>
      <c r="G97" s="15">
        <f>CHOOSE(Controls!$B$6,D1!G97,D2!G97,D3!G97,D4!G97,D5!G97,D6!G97)</f>
        <v/>
      </c>
      <c r="H97" s="15">
        <f>CHOOSE(Controls!$B$6,D1!H97,D2!H97,D3!H97,D4!H97,D5!H97,D6!H97)</f>
        <v/>
      </c>
      <c r="I97" s="15">
        <f>CHOOSE(Controls!$B$6,D1!I97,D2!I97,D3!I97,D4!I97,D5!I97,D6!I97)</f>
        <v/>
      </c>
      <c r="J97" s="15">
        <f>CHOOSE(Controls!$B$6,D1!J97,D2!J97,D3!J97,D4!J97,D5!J97,D6!J97)</f>
        <v/>
      </c>
      <c r="K97" s="15">
        <f>CHOOSE(Controls!$B$6,D1!K97,D2!K97,D3!K97,D4!K97,D5!K97,D6!K97)</f>
        <v/>
      </c>
      <c r="L97" s="15">
        <f>CHOOSE(Controls!$B$6,D1!L97,D2!L97,D3!L97,D4!L97,D5!L97,D6!L97)</f>
        <v/>
      </c>
      <c r="M97" s="15">
        <f>CHOOSE(Controls!$B$6,D1!M97,D2!M97,D3!M97,D4!M97,D5!M97,D6!M97)</f>
        <v/>
      </c>
      <c r="N97" s="15">
        <f>CHOOSE(Controls!$B$6,D1!N97,D2!N97,D3!N97,D4!N97,D5!N97,D6!N97)</f>
        <v/>
      </c>
      <c r="O97" s="15">
        <f>CHOOSE(Controls!$B$6,D1!O97,D2!O97,D3!O97,D4!O97,D5!O97,D6!O97)</f>
        <v/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>
        <f>CHOOSE(Controls!$B$6,D1!E98,D2!E98,D3!E98,D4!E98,D5!E98,D6!E98)</f>
        <v/>
      </c>
      <c r="F98" s="15">
        <f>CHOOSE(Controls!$B$6,D1!F98,D2!F98,D3!F98,D4!F98,D5!F98,D6!F98)</f>
        <v/>
      </c>
      <c r="G98" s="15">
        <f>CHOOSE(Controls!$B$6,D1!G98,D2!G98,D3!G98,D4!G98,D5!G98,D6!G98)</f>
        <v/>
      </c>
      <c r="H98" s="15">
        <f>CHOOSE(Controls!$B$6,D1!H98,D2!H98,D3!H98,D4!H98,D5!H98,D6!H98)</f>
        <v/>
      </c>
      <c r="I98" s="15">
        <f>CHOOSE(Controls!$B$6,D1!I98,D2!I98,D3!I98,D4!I98,D5!I98,D6!I98)</f>
        <v/>
      </c>
      <c r="J98" s="15">
        <f>CHOOSE(Controls!$B$6,D1!J98,D2!J98,D3!J98,D4!J98,D5!J98,D6!J98)</f>
        <v/>
      </c>
      <c r="K98" s="15">
        <f>CHOOSE(Controls!$B$6,D1!K98,D2!K98,D3!K98,D4!K98,D5!K98,D6!K98)</f>
        <v/>
      </c>
      <c r="L98" s="15">
        <f>CHOOSE(Controls!$B$6,D1!L98,D2!L98,D3!L98,D4!L98,D5!L98,D6!L98)</f>
        <v/>
      </c>
      <c r="M98" s="15">
        <f>CHOOSE(Controls!$B$6,D1!M98,D2!M98,D3!M98,D4!M98,D5!M98,D6!M98)</f>
        <v/>
      </c>
      <c r="N98" s="15">
        <f>CHOOSE(Controls!$B$6,D1!N98,D2!N98,D3!N98,D4!N98,D5!N98,D6!N98)</f>
        <v/>
      </c>
      <c r="O98" s="15">
        <f>CHOOSE(Controls!$B$6,D1!O98,D2!O98,D3!O98,D4!O98,D5!O98,D6!O98)</f>
        <v/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>
        <f>CHOOSE(Controls!$B$6,D1!E99,D2!E99,D3!E99,D4!E99,D5!E99,D6!E99)</f>
        <v/>
      </c>
      <c r="F99" s="15">
        <f>CHOOSE(Controls!$B$6,D1!F99,D2!F99,D3!F99,D4!F99,D5!F99,D6!F99)</f>
        <v/>
      </c>
      <c r="G99" s="15">
        <f>CHOOSE(Controls!$B$6,D1!G99,D2!G99,D3!G99,D4!G99,D5!G99,D6!G99)</f>
        <v/>
      </c>
      <c r="H99" s="15">
        <f>CHOOSE(Controls!$B$6,D1!H99,D2!H99,D3!H99,D4!H99,D5!H99,D6!H99)</f>
        <v/>
      </c>
      <c r="I99" s="15">
        <f>CHOOSE(Controls!$B$6,D1!I99,D2!I99,D3!I99,D4!I99,D5!I99,D6!I99)</f>
        <v/>
      </c>
      <c r="J99" s="15">
        <f>CHOOSE(Controls!$B$6,D1!J99,D2!J99,D3!J99,D4!J99,D5!J99,D6!J99)</f>
        <v/>
      </c>
      <c r="K99" s="15">
        <f>CHOOSE(Controls!$B$6,D1!K99,D2!K99,D3!K99,D4!K99,D5!K99,D6!K99)</f>
        <v/>
      </c>
      <c r="L99" s="15">
        <f>CHOOSE(Controls!$B$6,D1!L99,D2!L99,D3!L99,D4!L99,D5!L99,D6!L99)</f>
        <v/>
      </c>
      <c r="M99" s="15">
        <f>CHOOSE(Controls!$B$6,D1!M99,D2!M99,D3!M99,D4!M99,D5!M99,D6!M99)</f>
        <v/>
      </c>
      <c r="N99" s="15">
        <f>CHOOSE(Controls!$B$6,D1!N99,D2!N99,D3!N99,D4!N99,D5!N99,D6!N99)</f>
        <v/>
      </c>
      <c r="O99" s="15">
        <f>CHOOSE(Controls!$B$6,D1!O99,D2!O99,D3!O99,D4!O99,D5!O99,D6!O99)</f>
        <v/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>
        <f>CHOOSE(Controls!$B$6,D1!E100,D2!E100,D3!E100,D4!E100,D5!E100,D6!E100)</f>
        <v/>
      </c>
      <c r="F100" s="15">
        <f>CHOOSE(Controls!$B$6,D1!F100,D2!F100,D3!F100,D4!F100,D5!F100,D6!F100)</f>
        <v/>
      </c>
      <c r="G100" s="15">
        <f>CHOOSE(Controls!$B$6,D1!G100,D2!G100,D3!G100,D4!G100,D5!G100,D6!G100)</f>
        <v/>
      </c>
      <c r="H100" s="15">
        <f>CHOOSE(Controls!$B$6,D1!H100,D2!H100,D3!H100,D4!H100,D5!H100,D6!H100)</f>
        <v/>
      </c>
      <c r="I100" s="15">
        <f>CHOOSE(Controls!$B$6,D1!I100,D2!I100,D3!I100,D4!I100,D5!I100,D6!I100)</f>
        <v/>
      </c>
      <c r="J100" s="15">
        <f>CHOOSE(Controls!$B$6,D1!J100,D2!J100,D3!J100,D4!J100,D5!J100,D6!J100)</f>
        <v/>
      </c>
      <c r="K100" s="15">
        <f>CHOOSE(Controls!$B$6,D1!K100,D2!K100,D3!K100,D4!K100,D5!K100,D6!K100)</f>
        <v/>
      </c>
      <c r="L100" s="15">
        <f>CHOOSE(Controls!$B$6,D1!L100,D2!L100,D3!L100,D4!L100,D5!L100,D6!L100)</f>
        <v/>
      </c>
      <c r="M100" s="15">
        <f>CHOOSE(Controls!$B$6,D1!M100,D2!M100,D3!M100,D4!M100,D5!M100,D6!M100)</f>
        <v/>
      </c>
      <c r="N100" s="15">
        <f>CHOOSE(Controls!$B$6,D1!N100,D2!N100,D3!N100,D4!N100,D5!N100,D6!N100)</f>
        <v/>
      </c>
      <c r="O100" s="15">
        <f>CHOOSE(Controls!$B$6,D1!O100,D2!O100,D3!O100,D4!O100,D5!O100,D6!O100)</f>
        <v/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>
        <f>CHOOSE(Controls!$B$6,D1!E101,D2!E101,D3!E101,D4!E101,D5!E101,D6!E101)</f>
        <v/>
      </c>
      <c r="F101" s="15">
        <f>CHOOSE(Controls!$B$6,D1!F101,D2!F101,D3!F101,D4!F101,D5!F101,D6!F101)</f>
        <v/>
      </c>
      <c r="G101" s="15">
        <f>CHOOSE(Controls!$B$6,D1!G101,D2!G101,D3!G101,D4!G101,D5!G101,D6!G101)</f>
        <v/>
      </c>
      <c r="H101" s="15">
        <f>CHOOSE(Controls!$B$6,D1!H101,D2!H101,D3!H101,D4!H101,D5!H101,D6!H101)</f>
        <v/>
      </c>
      <c r="I101" s="15">
        <f>CHOOSE(Controls!$B$6,D1!I101,D2!I101,D3!I101,D4!I101,D5!I101,D6!I101)</f>
        <v/>
      </c>
      <c r="J101" s="15">
        <f>CHOOSE(Controls!$B$6,D1!J101,D2!J101,D3!J101,D4!J101,D5!J101,D6!J101)</f>
        <v/>
      </c>
      <c r="K101" s="15">
        <f>CHOOSE(Controls!$B$6,D1!K101,D2!K101,D3!K101,D4!K101,D5!K101,D6!K101)</f>
        <v/>
      </c>
      <c r="L101" s="15">
        <f>CHOOSE(Controls!$B$6,D1!L101,D2!L101,D3!L101,D4!L101,D5!L101,D6!L101)</f>
        <v/>
      </c>
      <c r="M101" s="15">
        <f>CHOOSE(Controls!$B$6,D1!M101,D2!M101,D3!M101,D4!M101,D5!M101,D6!M101)</f>
        <v/>
      </c>
      <c r="N101" s="15">
        <f>CHOOSE(Controls!$B$6,D1!N101,D2!N101,D3!N101,D4!N101,D5!N101,D6!N101)</f>
        <v/>
      </c>
      <c r="O101" s="15">
        <f>CHOOSE(Controls!$B$6,D1!O101,D2!O101,D3!O101,D4!O101,D5!O101,D6!O101)</f>
        <v/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>
        <f>CHOOSE(Controls!$B$6,D1!E102,D2!E102,D3!E102,D4!E102,D5!E102,D6!E102)</f>
        <v/>
      </c>
      <c r="F102" s="15">
        <f>CHOOSE(Controls!$B$6,D1!F102,D2!F102,D3!F102,D4!F102,D5!F102,D6!F102)</f>
        <v/>
      </c>
      <c r="G102" s="15">
        <f>CHOOSE(Controls!$B$6,D1!G102,D2!G102,D3!G102,D4!G102,D5!G102,D6!G102)</f>
        <v/>
      </c>
      <c r="H102" s="15">
        <f>CHOOSE(Controls!$B$6,D1!H102,D2!H102,D3!H102,D4!H102,D5!H102,D6!H102)</f>
        <v/>
      </c>
      <c r="I102" s="15">
        <f>CHOOSE(Controls!$B$6,D1!I102,D2!I102,D3!I102,D4!I102,D5!I102,D6!I102)</f>
        <v/>
      </c>
      <c r="J102" s="15">
        <f>CHOOSE(Controls!$B$6,D1!J102,D2!J102,D3!J102,D4!J102,D5!J102,D6!J102)</f>
        <v/>
      </c>
      <c r="K102" s="15">
        <f>CHOOSE(Controls!$B$6,D1!K102,D2!K102,D3!K102,D4!K102,D5!K102,D6!K102)</f>
        <v/>
      </c>
      <c r="L102" s="15">
        <f>CHOOSE(Controls!$B$6,D1!L102,D2!L102,D3!L102,D4!L102,D5!L102,D6!L102)</f>
        <v/>
      </c>
      <c r="M102" s="15">
        <f>CHOOSE(Controls!$B$6,D1!M102,D2!M102,D3!M102,D4!M102,D5!M102,D6!M102)</f>
        <v/>
      </c>
      <c r="N102" s="15">
        <f>CHOOSE(Controls!$B$6,D1!N102,D2!N102,D3!N102,D4!N102,D5!N102,D6!N102)</f>
        <v/>
      </c>
      <c r="O102" s="15">
        <f>CHOOSE(Controls!$B$6,D1!O102,D2!O102,D3!O102,D4!O102,D5!O102,D6!O102)</f>
        <v/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>
        <f>CHOOSE(Controls!$B$6,D1!E103,D2!E103,D3!E103,D4!E103,D5!E103,D6!E103)</f>
        <v/>
      </c>
      <c r="F103" s="17">
        <f>CHOOSE(Controls!$B$6,D1!F103,D2!F103,D3!F103,D4!F103,D5!F103,D6!F103)</f>
        <v/>
      </c>
      <c r="G103" s="17">
        <f>CHOOSE(Controls!$B$6,D1!G103,D2!G103,D3!G103,D4!G103,D5!G103,D6!G103)</f>
        <v/>
      </c>
      <c r="H103" s="17">
        <f>CHOOSE(Controls!$B$6,D1!H103,D2!H103,D3!H103,D4!H103,D5!H103,D6!H103)</f>
        <v/>
      </c>
      <c r="I103" s="17">
        <f>CHOOSE(Controls!$B$6,D1!I103,D2!I103,D3!I103,D4!I103,D5!I103,D6!I103)</f>
        <v/>
      </c>
      <c r="J103" s="17">
        <f>CHOOSE(Controls!$B$6,D1!J103,D2!J103,D3!J103,D4!J103,D5!J103,D6!J103)</f>
        <v/>
      </c>
      <c r="K103" s="17">
        <f>CHOOSE(Controls!$B$6,D1!K103,D2!K103,D3!K103,D4!K103,D5!K103,D6!K103)</f>
        <v/>
      </c>
      <c r="L103" s="17">
        <f>CHOOSE(Controls!$B$6,D1!L103,D2!L103,D3!L103,D4!L103,D5!L103,D6!L103)</f>
        <v/>
      </c>
      <c r="M103" s="17">
        <f>CHOOSE(Controls!$B$6,D1!M103,D2!M103,D3!M103,D4!M103,D5!M103,D6!M103)</f>
        <v/>
      </c>
      <c r="N103" s="17">
        <f>CHOOSE(Controls!$B$6,D1!N103,D2!N103,D3!N103,D4!N103,D5!N103,D6!N103)</f>
        <v/>
      </c>
      <c r="O103" s="17">
        <f>CHOOSE(Controls!$B$6,D1!O103,D2!O103,D3!O103,D4!O103,D5!O103,D6!O103)</f>
        <v/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>
        <f>CHOOSE(Controls!$B$6,D1!E104,D2!E104,D3!E104,D4!E104,D5!E104,D6!E104)</f>
        <v/>
      </c>
      <c r="F104" s="15">
        <f>CHOOSE(Controls!$B$6,D1!F104,D2!F104,D3!F104,D4!F104,D5!F104,D6!F104)</f>
        <v/>
      </c>
      <c r="G104" s="15">
        <f>CHOOSE(Controls!$B$6,D1!G104,D2!G104,D3!G104,D4!G104,D5!G104,D6!G104)</f>
        <v/>
      </c>
      <c r="H104" s="15">
        <f>CHOOSE(Controls!$B$6,D1!H104,D2!H104,D3!H104,D4!H104,D5!H104,D6!H104)</f>
        <v/>
      </c>
      <c r="I104" s="15">
        <f>CHOOSE(Controls!$B$6,D1!I104,D2!I104,D3!I104,D4!I104,D5!I104,D6!I104)</f>
        <v/>
      </c>
      <c r="J104" s="15">
        <f>CHOOSE(Controls!$B$6,D1!J104,D2!J104,D3!J104,D4!J104,D5!J104,D6!J104)</f>
        <v/>
      </c>
      <c r="K104" s="15">
        <f>CHOOSE(Controls!$B$6,D1!K104,D2!K104,D3!K104,D4!K104,D5!K104,D6!K104)</f>
        <v/>
      </c>
      <c r="L104" s="15">
        <f>CHOOSE(Controls!$B$6,D1!L104,D2!L104,D3!L104,D4!L104,D5!L104,D6!L104)</f>
        <v/>
      </c>
      <c r="M104" s="15">
        <f>CHOOSE(Controls!$B$6,D1!M104,D2!M104,D3!M104,D4!M104,D5!M104,D6!M104)</f>
        <v/>
      </c>
      <c r="N104" s="15">
        <f>CHOOSE(Controls!$B$6,D1!N104,D2!N104,D3!N104,D4!N104,D5!N104,D6!N104)</f>
        <v/>
      </c>
      <c r="O104" s="15">
        <f>CHOOSE(Controls!$B$6,D1!O104,D2!O104,D3!O104,D4!O104,D5!O104,D6!O104)</f>
        <v/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>
        <f>CHOOSE(Controls!$B$6,D1!E105,D2!E105,D3!E105,D4!E105,D5!E105,D6!E105)</f>
        <v/>
      </c>
      <c r="F105" s="21">
        <f>CHOOSE(Controls!$B$6,D1!F105,D2!F105,D3!F105,D4!F105,D5!F105,D6!F105)</f>
        <v/>
      </c>
      <c r="G105" s="21">
        <f>CHOOSE(Controls!$B$6,D1!G105,D2!G105,D3!G105,D4!G105,D5!G105,D6!G105)</f>
        <v/>
      </c>
      <c r="H105" s="21">
        <f>CHOOSE(Controls!$B$6,D1!H105,D2!H105,D3!H105,D4!H105,D5!H105,D6!H105)</f>
        <v/>
      </c>
      <c r="I105" s="21">
        <f>CHOOSE(Controls!$B$6,D1!I105,D2!I105,D3!I105,D4!I105,D5!I105,D6!I105)</f>
        <v/>
      </c>
      <c r="J105" s="21">
        <f>CHOOSE(Controls!$B$6,D1!J105,D2!J105,D3!J105,D4!J105,D5!J105,D6!J105)</f>
        <v/>
      </c>
      <c r="K105" s="21">
        <f>CHOOSE(Controls!$B$6,D1!K105,D2!K105,D3!K105,D4!K105,D5!K105,D6!K105)</f>
        <v/>
      </c>
      <c r="L105" s="21">
        <f>CHOOSE(Controls!$B$6,D1!L105,D2!L105,D3!L105,D4!L105,D5!L105,D6!L105)</f>
        <v/>
      </c>
      <c r="M105" s="21">
        <f>CHOOSE(Controls!$B$6,D1!M105,D2!M105,D3!M105,D4!M105,D5!M105,D6!M105)</f>
        <v/>
      </c>
      <c r="N105" s="21">
        <f>CHOOSE(Controls!$B$6,D1!N105,D2!N105,D3!N105,D4!N105,D5!N105,D6!N105)</f>
        <v/>
      </c>
      <c r="O105" s="21">
        <f>CHOOSE(Controls!$B$6,D1!O105,D2!O105,D3!O105,D4!O105,D5!O105,D6!O105)</f>
        <v/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>
        <f>CHOOSE(Controls!$B$6,D1!E106,D2!E106,D3!E106,D4!E106,D5!E106,D6!E106)</f>
        <v/>
      </c>
      <c r="F106" s="25">
        <f>CHOOSE(Controls!$B$6,D1!F106,D2!F106,D3!F106,D4!F106,D5!F106,D6!F106)</f>
        <v/>
      </c>
      <c r="G106" s="25">
        <f>CHOOSE(Controls!$B$6,D1!G106,D2!G106,D3!G106,D4!G106,D5!G106,D6!G106)</f>
        <v/>
      </c>
      <c r="H106" s="25">
        <f>CHOOSE(Controls!$B$6,D1!H106,D2!H106,D3!H106,D4!H106,D5!H106,D6!H106)</f>
        <v/>
      </c>
      <c r="I106" s="25">
        <f>CHOOSE(Controls!$B$6,D1!I106,D2!I106,D3!I106,D4!I106,D5!I106,D6!I106)</f>
        <v/>
      </c>
      <c r="J106" s="25">
        <f>CHOOSE(Controls!$B$6,D1!J106,D2!J106,D3!J106,D4!J106,D5!J106,D6!J106)</f>
        <v/>
      </c>
      <c r="K106" s="25">
        <f>CHOOSE(Controls!$B$6,D1!K106,D2!K106,D3!K106,D4!K106,D5!K106,D6!K106)</f>
        <v/>
      </c>
      <c r="L106" s="25">
        <f>CHOOSE(Controls!$B$6,D1!L106,D2!L106,D3!L106,D4!L106,D5!L106,D6!L106)</f>
        <v/>
      </c>
      <c r="M106" s="25">
        <f>CHOOSE(Controls!$B$6,D1!M106,D2!M106,D3!M106,D4!M106,D5!M106,D6!M106)</f>
        <v/>
      </c>
      <c r="N106" s="25">
        <f>CHOOSE(Controls!$B$6,D1!N106,D2!N106,D3!N106,D4!N106,D5!N106,D6!N106)</f>
        <v/>
      </c>
      <c r="O106" s="25">
        <f>CHOOSE(Controls!$B$6,D1!O106,D2!O106,D3!O106,D4!O106,D5!O106,D6!O106)</f>
        <v/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>
        <f>CHOOSE(Controls!$B$6,D1!E108,D2!E108,D3!E108,D4!E108,D5!E108,D6!E108)</f>
        <v/>
      </c>
      <c r="F108" s="15">
        <f>CHOOSE(Controls!$B$6,D1!F108,D2!F108,D3!F108,D4!F108,D5!F108,D6!F108)</f>
        <v/>
      </c>
      <c r="G108" s="15">
        <f>CHOOSE(Controls!$B$6,D1!G108,D2!G108,D3!G108,D4!G108,D5!G108,D6!G108)</f>
        <v/>
      </c>
      <c r="H108" s="15">
        <f>CHOOSE(Controls!$B$6,D1!H108,D2!H108,D3!H108,D4!H108,D5!H108,D6!H108)</f>
        <v/>
      </c>
      <c r="I108" s="15">
        <f>CHOOSE(Controls!$B$6,D1!I108,D2!I108,D3!I108,D4!I108,D5!I108,D6!I108)</f>
        <v/>
      </c>
      <c r="J108" s="15">
        <f>CHOOSE(Controls!$B$6,D1!J108,D2!J108,D3!J108,D4!J108,D5!J108,D6!J108)</f>
        <v/>
      </c>
      <c r="K108" s="15">
        <f>CHOOSE(Controls!$B$6,D1!K108,D2!K108,D3!K108,D4!K108,D5!K108,D6!K108)</f>
        <v/>
      </c>
      <c r="L108" s="15">
        <f>CHOOSE(Controls!$B$6,D1!L108,D2!L108,D3!L108,D4!L108,D5!L108,D6!L108)</f>
        <v/>
      </c>
      <c r="M108" s="15">
        <f>CHOOSE(Controls!$B$6,D1!M108,D2!M108,D3!M108,D4!M108,D5!M108,D6!M108)</f>
        <v/>
      </c>
      <c r="N108" s="15">
        <f>CHOOSE(Controls!$B$6,D1!N108,D2!N108,D3!N108,D4!N108,D5!N108,D6!N108)</f>
        <v/>
      </c>
      <c r="O108" s="15">
        <f>CHOOSE(Controls!$B$6,D1!O108,D2!O108,D3!O108,D4!O108,D5!O108,D6!O108)</f>
        <v/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>
        <f>CHOOSE(Controls!$B$6,D1!E109,D2!E109,D3!E109,D4!E109,D5!E109,D6!E109)</f>
        <v/>
      </c>
      <c r="F109" s="15">
        <f>CHOOSE(Controls!$B$6,D1!F109,D2!F109,D3!F109,D4!F109,D5!F109,D6!F109)</f>
        <v/>
      </c>
      <c r="G109" s="15">
        <f>CHOOSE(Controls!$B$6,D1!G109,D2!G109,D3!G109,D4!G109,D5!G109,D6!G109)</f>
        <v/>
      </c>
      <c r="H109" s="15">
        <f>CHOOSE(Controls!$B$6,D1!H109,D2!H109,D3!H109,D4!H109,D5!H109,D6!H109)</f>
        <v/>
      </c>
      <c r="I109" s="15">
        <f>CHOOSE(Controls!$B$6,D1!I109,D2!I109,D3!I109,D4!I109,D5!I109,D6!I109)</f>
        <v/>
      </c>
      <c r="J109" s="15">
        <f>CHOOSE(Controls!$B$6,D1!J109,D2!J109,D3!J109,D4!J109,D5!J109,D6!J109)</f>
        <v/>
      </c>
      <c r="K109" s="15">
        <f>CHOOSE(Controls!$B$6,D1!K109,D2!K109,D3!K109,D4!K109,D5!K109,D6!K109)</f>
        <v/>
      </c>
      <c r="L109" s="15">
        <f>CHOOSE(Controls!$B$6,D1!L109,D2!L109,D3!L109,D4!L109,D5!L109,D6!L109)</f>
        <v/>
      </c>
      <c r="M109" s="15">
        <f>CHOOSE(Controls!$B$6,D1!M109,D2!M109,D3!M109,D4!M109,D5!M109,D6!M109)</f>
        <v/>
      </c>
      <c r="N109" s="15">
        <f>CHOOSE(Controls!$B$6,D1!N109,D2!N109,D3!N109,D4!N109,D5!N109,D6!N109)</f>
        <v/>
      </c>
      <c r="O109" s="15">
        <f>CHOOSE(Controls!$B$6,D1!O109,D2!O109,D3!O109,D4!O109,D5!O109,D6!O109)</f>
        <v/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>
        <f>CHOOSE(Controls!$B$6,D1!E110,D2!E110,D3!E110,D4!E110,D5!E110,D6!E110)</f>
        <v/>
      </c>
      <c r="F110" s="15">
        <f>CHOOSE(Controls!$B$6,D1!F110,D2!F110,D3!F110,D4!F110,D5!F110,D6!F110)</f>
        <v/>
      </c>
      <c r="G110" s="15">
        <f>CHOOSE(Controls!$B$6,D1!G110,D2!G110,D3!G110,D4!G110,D5!G110,D6!G110)</f>
        <v/>
      </c>
      <c r="H110" s="15">
        <f>CHOOSE(Controls!$B$6,D1!H110,D2!H110,D3!H110,D4!H110,D5!H110,D6!H110)</f>
        <v/>
      </c>
      <c r="I110" s="15">
        <f>CHOOSE(Controls!$B$6,D1!I110,D2!I110,D3!I110,D4!I110,D5!I110,D6!I110)</f>
        <v/>
      </c>
      <c r="J110" s="15">
        <f>CHOOSE(Controls!$B$6,D1!J110,D2!J110,D3!J110,D4!J110,D5!J110,D6!J110)</f>
        <v/>
      </c>
      <c r="K110" s="15">
        <f>CHOOSE(Controls!$B$6,D1!K110,D2!K110,D3!K110,D4!K110,D5!K110,D6!K110)</f>
        <v/>
      </c>
      <c r="L110" s="15">
        <f>CHOOSE(Controls!$B$6,D1!L110,D2!L110,D3!L110,D4!L110,D5!L110,D6!L110)</f>
        <v/>
      </c>
      <c r="M110" s="15">
        <f>CHOOSE(Controls!$B$6,D1!M110,D2!M110,D3!M110,D4!M110,D5!M110,D6!M110)</f>
        <v/>
      </c>
      <c r="N110" s="15">
        <f>CHOOSE(Controls!$B$6,D1!N110,D2!N110,D3!N110,D4!N110,D5!N110,D6!N110)</f>
        <v/>
      </c>
      <c r="O110" s="15">
        <f>CHOOSE(Controls!$B$6,D1!O110,D2!O110,D3!O110,D4!O110,D5!O110,D6!O110)</f>
        <v/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>
        <f>CHOOSE(Controls!$B$6,D1!E111,D2!E111,D3!E111,D4!E111,D5!E111,D6!E111)</f>
        <v/>
      </c>
      <c r="F111" s="15">
        <f>CHOOSE(Controls!$B$6,D1!F111,D2!F111,D3!F111,D4!F111,D5!F111,D6!F111)</f>
        <v/>
      </c>
      <c r="G111" s="15">
        <f>CHOOSE(Controls!$B$6,D1!G111,D2!G111,D3!G111,D4!G111,D5!G111,D6!G111)</f>
        <v/>
      </c>
      <c r="H111" s="15">
        <f>CHOOSE(Controls!$B$6,D1!H111,D2!H111,D3!H111,D4!H111,D5!H111,D6!H111)</f>
        <v/>
      </c>
      <c r="I111" s="15">
        <f>CHOOSE(Controls!$B$6,D1!I111,D2!I111,D3!I111,D4!I111,D5!I111,D6!I111)</f>
        <v/>
      </c>
      <c r="J111" s="15">
        <f>CHOOSE(Controls!$B$6,D1!J111,D2!J111,D3!J111,D4!J111,D5!J111,D6!J111)</f>
        <v/>
      </c>
      <c r="K111" s="15">
        <f>CHOOSE(Controls!$B$6,D1!K111,D2!K111,D3!K111,D4!K111,D5!K111,D6!K111)</f>
        <v/>
      </c>
      <c r="L111" s="15">
        <f>CHOOSE(Controls!$B$6,D1!L111,D2!L111,D3!L111,D4!L111,D5!L111,D6!L111)</f>
        <v/>
      </c>
      <c r="M111" s="15">
        <f>CHOOSE(Controls!$B$6,D1!M111,D2!M111,D3!M111,D4!M111,D5!M111,D6!M111)</f>
        <v/>
      </c>
      <c r="N111" s="15">
        <f>CHOOSE(Controls!$B$6,D1!N111,D2!N111,D3!N111,D4!N111,D5!N111,D6!N111)</f>
        <v/>
      </c>
      <c r="O111" s="15">
        <f>CHOOSE(Controls!$B$6,D1!O111,D2!O111,D3!O111,D4!O111,D5!O111,D6!O111)</f>
        <v/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>
        <f>CHOOSE(Controls!$B$6,D1!E112,D2!E112,D3!E112,D4!E112,D5!E112,D6!E112)</f>
        <v/>
      </c>
      <c r="F112" s="15">
        <f>CHOOSE(Controls!$B$6,D1!F112,D2!F112,D3!F112,D4!F112,D5!F112,D6!F112)</f>
        <v/>
      </c>
      <c r="G112" s="15">
        <f>CHOOSE(Controls!$B$6,D1!G112,D2!G112,D3!G112,D4!G112,D5!G112,D6!G112)</f>
        <v/>
      </c>
      <c r="H112" s="15">
        <f>CHOOSE(Controls!$B$6,D1!H112,D2!H112,D3!H112,D4!H112,D5!H112,D6!H112)</f>
        <v/>
      </c>
      <c r="I112" s="15">
        <f>CHOOSE(Controls!$B$6,D1!I112,D2!I112,D3!I112,D4!I112,D5!I112,D6!I112)</f>
        <v/>
      </c>
      <c r="J112" s="15">
        <f>CHOOSE(Controls!$B$6,D1!J112,D2!J112,D3!J112,D4!J112,D5!J112,D6!J112)</f>
        <v/>
      </c>
      <c r="K112" s="15">
        <f>CHOOSE(Controls!$B$6,D1!K112,D2!K112,D3!K112,D4!K112,D5!K112,D6!K112)</f>
        <v/>
      </c>
      <c r="L112" s="15">
        <f>CHOOSE(Controls!$B$6,D1!L112,D2!L112,D3!L112,D4!L112,D5!L112,D6!L112)</f>
        <v/>
      </c>
      <c r="M112" s="15">
        <f>CHOOSE(Controls!$B$6,D1!M112,D2!M112,D3!M112,D4!M112,D5!M112,D6!M112)</f>
        <v/>
      </c>
      <c r="N112" s="15">
        <f>CHOOSE(Controls!$B$6,D1!N112,D2!N112,D3!N112,D4!N112,D5!N112,D6!N112)</f>
        <v/>
      </c>
      <c r="O112" s="15">
        <f>CHOOSE(Controls!$B$6,D1!O112,D2!O112,D3!O112,D4!O112,D5!O112,D6!O112)</f>
        <v/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>
        <f>CHOOSE(Controls!$B$6,D1!E113,D2!E113,D3!E113,D4!E113,D5!E113,D6!E113)</f>
        <v/>
      </c>
      <c r="F113" s="15">
        <f>CHOOSE(Controls!$B$6,D1!F113,D2!F113,D3!F113,D4!F113,D5!F113,D6!F113)</f>
        <v/>
      </c>
      <c r="G113" s="15">
        <f>CHOOSE(Controls!$B$6,D1!G113,D2!G113,D3!G113,D4!G113,D5!G113,D6!G113)</f>
        <v/>
      </c>
      <c r="H113" s="15">
        <f>CHOOSE(Controls!$B$6,D1!H113,D2!H113,D3!H113,D4!H113,D5!H113,D6!H113)</f>
        <v/>
      </c>
      <c r="I113" s="15">
        <f>CHOOSE(Controls!$B$6,D1!I113,D2!I113,D3!I113,D4!I113,D5!I113,D6!I113)</f>
        <v/>
      </c>
      <c r="J113" s="15">
        <f>CHOOSE(Controls!$B$6,D1!J113,D2!J113,D3!J113,D4!J113,D5!J113,D6!J113)</f>
        <v/>
      </c>
      <c r="K113" s="15">
        <f>CHOOSE(Controls!$B$6,D1!K113,D2!K113,D3!K113,D4!K113,D5!K113,D6!K113)</f>
        <v/>
      </c>
      <c r="L113" s="15">
        <f>CHOOSE(Controls!$B$6,D1!L113,D2!L113,D3!L113,D4!L113,D5!L113,D6!L113)</f>
        <v/>
      </c>
      <c r="M113" s="15">
        <f>CHOOSE(Controls!$B$6,D1!M113,D2!M113,D3!M113,D4!M113,D5!M113,D6!M113)</f>
        <v/>
      </c>
      <c r="N113" s="15">
        <f>CHOOSE(Controls!$B$6,D1!N113,D2!N113,D3!N113,D4!N113,D5!N113,D6!N113)</f>
        <v/>
      </c>
      <c r="O113" s="15">
        <f>CHOOSE(Controls!$B$6,D1!O113,D2!O113,D3!O113,D4!O113,D5!O113,D6!O113)</f>
        <v/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>
        <f>CHOOSE(Controls!$B$6,D1!E114,D2!E114,D3!E114,D4!E114,D5!E114,D6!E114)</f>
        <v/>
      </c>
      <c r="F114" s="15">
        <f>CHOOSE(Controls!$B$6,D1!F114,D2!F114,D3!F114,D4!F114,D5!F114,D6!F114)</f>
        <v/>
      </c>
      <c r="G114" s="15">
        <f>CHOOSE(Controls!$B$6,D1!G114,D2!G114,D3!G114,D4!G114,D5!G114,D6!G114)</f>
        <v/>
      </c>
      <c r="H114" s="15">
        <f>CHOOSE(Controls!$B$6,D1!H114,D2!H114,D3!H114,D4!H114,D5!H114,D6!H114)</f>
        <v/>
      </c>
      <c r="I114" s="15">
        <f>CHOOSE(Controls!$B$6,D1!I114,D2!I114,D3!I114,D4!I114,D5!I114,D6!I114)</f>
        <v/>
      </c>
      <c r="J114" s="15">
        <f>CHOOSE(Controls!$B$6,D1!J114,D2!J114,D3!J114,D4!J114,D5!J114,D6!J114)</f>
        <v/>
      </c>
      <c r="K114" s="15">
        <f>CHOOSE(Controls!$B$6,D1!K114,D2!K114,D3!K114,D4!K114,D5!K114,D6!K114)</f>
        <v/>
      </c>
      <c r="L114" s="15">
        <f>CHOOSE(Controls!$B$6,D1!L114,D2!L114,D3!L114,D4!L114,D5!L114,D6!L114)</f>
        <v/>
      </c>
      <c r="M114" s="15">
        <f>CHOOSE(Controls!$B$6,D1!M114,D2!M114,D3!M114,D4!M114,D5!M114,D6!M114)</f>
        <v/>
      </c>
      <c r="N114" s="15">
        <f>CHOOSE(Controls!$B$6,D1!N114,D2!N114,D3!N114,D4!N114,D5!N114,D6!N114)</f>
        <v/>
      </c>
      <c r="O114" s="15">
        <f>CHOOSE(Controls!$B$6,D1!O114,D2!O114,D3!O114,D4!O114,D5!O114,D6!O114)</f>
        <v/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>
        <f>CHOOSE(Controls!$B$6,D1!E115,D2!E115,D3!E115,D4!E115,D5!E115,D6!E115)</f>
        <v/>
      </c>
      <c r="F115" s="15">
        <f>CHOOSE(Controls!$B$6,D1!F115,D2!F115,D3!F115,D4!F115,D5!F115,D6!F115)</f>
        <v/>
      </c>
      <c r="G115" s="15">
        <f>CHOOSE(Controls!$B$6,D1!G115,D2!G115,D3!G115,D4!G115,D5!G115,D6!G115)</f>
        <v/>
      </c>
      <c r="H115" s="15">
        <f>CHOOSE(Controls!$B$6,D1!H115,D2!H115,D3!H115,D4!H115,D5!H115,D6!H115)</f>
        <v/>
      </c>
      <c r="I115" s="15">
        <f>CHOOSE(Controls!$B$6,D1!I115,D2!I115,D3!I115,D4!I115,D5!I115,D6!I115)</f>
        <v/>
      </c>
      <c r="J115" s="15">
        <f>CHOOSE(Controls!$B$6,D1!J115,D2!J115,D3!J115,D4!J115,D5!J115,D6!J115)</f>
        <v/>
      </c>
      <c r="K115" s="15">
        <f>CHOOSE(Controls!$B$6,D1!K115,D2!K115,D3!K115,D4!K115,D5!K115,D6!K115)</f>
        <v/>
      </c>
      <c r="L115" s="15">
        <f>CHOOSE(Controls!$B$6,D1!L115,D2!L115,D3!L115,D4!L115,D5!L115,D6!L115)</f>
        <v/>
      </c>
      <c r="M115" s="15">
        <f>CHOOSE(Controls!$B$6,D1!M115,D2!M115,D3!M115,D4!M115,D5!M115,D6!M115)</f>
        <v/>
      </c>
      <c r="N115" s="15">
        <f>CHOOSE(Controls!$B$6,D1!N115,D2!N115,D3!N115,D4!N115,D5!N115,D6!N115)</f>
        <v/>
      </c>
      <c r="O115" s="15">
        <f>CHOOSE(Controls!$B$6,D1!O115,D2!O115,D3!O115,D4!O115,D5!O115,D6!O115)</f>
        <v/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>
        <f>CHOOSE(Controls!$B$6,D1!E116,D2!E116,D3!E116,D4!E116,D5!E116,D6!E116)</f>
        <v/>
      </c>
      <c r="F116" s="26">
        <f>CHOOSE(Controls!$B$6,D1!F116,D2!F116,D3!F116,D4!F116,D5!F116,D6!F116)</f>
        <v/>
      </c>
      <c r="G116" s="26">
        <f>CHOOSE(Controls!$B$6,D1!G116,D2!G116,D3!G116,D4!G116,D5!G116,D6!G116)</f>
        <v/>
      </c>
      <c r="H116" s="26">
        <f>CHOOSE(Controls!$B$6,D1!H116,D2!H116,D3!H116,D4!H116,D5!H116,D6!H116)</f>
        <v/>
      </c>
      <c r="I116" s="26">
        <f>CHOOSE(Controls!$B$6,D1!I116,D2!I116,D3!I116,D4!I116,D5!I116,D6!I116)</f>
        <v/>
      </c>
      <c r="J116" s="26">
        <f>CHOOSE(Controls!$B$6,D1!J116,D2!J116,D3!J116,D4!J116,D5!J116,D6!J116)</f>
        <v/>
      </c>
      <c r="K116" s="26">
        <f>CHOOSE(Controls!$B$6,D1!K116,D2!K116,D3!K116,D4!K116,D5!K116,D6!K116)</f>
        <v/>
      </c>
      <c r="L116" s="26">
        <f>CHOOSE(Controls!$B$6,D1!L116,D2!L116,D3!L116,D4!L116,D5!L116,D6!L116)</f>
        <v/>
      </c>
      <c r="M116" s="26">
        <f>CHOOSE(Controls!$B$6,D1!M116,D2!M116,D3!M116,D4!M116,D5!M116,D6!M116)</f>
        <v/>
      </c>
      <c r="N116" s="26">
        <f>CHOOSE(Controls!$B$6,D1!N116,D2!N116,D3!N116,D4!N116,D5!N116,D6!N116)</f>
        <v/>
      </c>
      <c r="O116" s="26">
        <f>CHOOSE(Controls!$B$6,D1!O116,D2!O116,D3!O116,D4!O116,D5!O116,D6!O116)</f>
        <v/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>
        <f>CHOOSE(Controls!$B$6,D1!E117,D2!E117,D3!E117,D4!E117,D5!E117,D6!E117)</f>
        <v/>
      </c>
      <c r="F117" s="15">
        <f>CHOOSE(Controls!$B$6,D1!F117,D2!F117,D3!F117,D4!F117,D5!F117,D6!F117)</f>
        <v/>
      </c>
      <c r="G117" s="15">
        <f>CHOOSE(Controls!$B$6,D1!G117,D2!G117,D3!G117,D4!G117,D5!G117,D6!G117)</f>
        <v/>
      </c>
      <c r="H117" s="15">
        <f>CHOOSE(Controls!$B$6,D1!H117,D2!H117,D3!H117,D4!H117,D5!H117,D6!H117)</f>
        <v/>
      </c>
      <c r="I117" s="15">
        <f>CHOOSE(Controls!$B$6,D1!I117,D2!I117,D3!I117,D4!I117,D5!I117,D6!I117)</f>
        <v/>
      </c>
      <c r="J117" s="15">
        <f>CHOOSE(Controls!$B$6,D1!J117,D2!J117,D3!J117,D4!J117,D5!J117,D6!J117)</f>
        <v/>
      </c>
      <c r="K117" s="15">
        <f>CHOOSE(Controls!$B$6,D1!K117,D2!K117,D3!K117,D4!K117,D5!K117,D6!K117)</f>
        <v/>
      </c>
      <c r="L117" s="15">
        <f>CHOOSE(Controls!$B$6,D1!L117,D2!L117,D3!L117,D4!L117,D5!L117,D6!L117)</f>
        <v/>
      </c>
      <c r="M117" s="15">
        <f>CHOOSE(Controls!$B$6,D1!M117,D2!M117,D3!M117,D4!M117,D5!M117,D6!M117)</f>
        <v/>
      </c>
      <c r="N117" s="15">
        <f>CHOOSE(Controls!$B$6,D1!N117,D2!N117,D3!N117,D4!N117,D5!N117,D6!N117)</f>
        <v/>
      </c>
      <c r="O117" s="15">
        <f>CHOOSE(Controls!$B$6,D1!O117,D2!O117,D3!O117,D4!O117,D5!O117,D6!O117)</f>
        <v/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>
        <f>CHOOSE(Controls!$B$6,D1!E118,D2!E118,D3!E118,D4!E118,D5!E118,D6!E118)</f>
        <v/>
      </c>
      <c r="F118" s="21">
        <f>CHOOSE(Controls!$B$6,D1!F118,D2!F118,D3!F118,D4!F118,D5!F118,D6!F118)</f>
        <v/>
      </c>
      <c r="G118" s="21">
        <f>CHOOSE(Controls!$B$6,D1!G118,D2!G118,D3!G118,D4!G118,D5!G118,D6!G118)</f>
        <v/>
      </c>
      <c r="H118" s="21">
        <f>CHOOSE(Controls!$B$6,D1!H118,D2!H118,D3!H118,D4!H118,D5!H118,D6!H118)</f>
        <v/>
      </c>
      <c r="I118" s="21">
        <f>CHOOSE(Controls!$B$6,D1!I118,D2!I118,D3!I118,D4!I118,D5!I118,D6!I118)</f>
        <v/>
      </c>
      <c r="J118" s="21">
        <f>CHOOSE(Controls!$B$6,D1!J118,D2!J118,D3!J118,D4!J118,D5!J118,D6!J118)</f>
        <v/>
      </c>
      <c r="K118" s="21">
        <f>CHOOSE(Controls!$B$6,D1!K118,D2!K118,D3!K118,D4!K118,D5!K118,D6!K118)</f>
        <v/>
      </c>
      <c r="L118" s="21">
        <f>CHOOSE(Controls!$B$6,D1!L118,D2!L118,D3!L118,D4!L118,D5!L118,D6!L118)</f>
        <v/>
      </c>
      <c r="M118" s="21">
        <f>CHOOSE(Controls!$B$6,D1!M118,D2!M118,D3!M118,D4!M118,D5!M118,D6!M118)</f>
        <v/>
      </c>
      <c r="N118" s="21">
        <f>CHOOSE(Controls!$B$6,D1!N118,D2!N118,D3!N118,D4!N118,D5!N118,D6!N118)</f>
        <v/>
      </c>
      <c r="O118" s="21">
        <f>CHOOSE(Controls!$B$6,D1!O118,D2!O118,D3!O118,D4!O118,D5!O118,D6!O118)</f>
        <v/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>
        <f>CHOOSE(Controls!$B$6,D1!E119,D2!E119,D3!E119,D4!E119,D5!E119,D6!E119)</f>
        <v/>
      </c>
      <c r="F119" s="15">
        <f>CHOOSE(Controls!$B$6,D1!F119,D2!F119,D3!F119,D4!F119,D5!F119,D6!F119)</f>
        <v/>
      </c>
      <c r="G119" s="15">
        <f>CHOOSE(Controls!$B$6,D1!G119,D2!G119,D3!G119,D4!G119,D5!G119,D6!G119)</f>
        <v/>
      </c>
      <c r="H119" s="15">
        <f>CHOOSE(Controls!$B$6,D1!H119,D2!H119,D3!H119,D4!H119,D5!H119,D6!H119)</f>
        <v/>
      </c>
      <c r="I119" s="15">
        <f>CHOOSE(Controls!$B$6,D1!I119,D2!I119,D3!I119,D4!I119,D5!I119,D6!I119)</f>
        <v/>
      </c>
      <c r="J119" s="15">
        <f>CHOOSE(Controls!$B$6,D1!J119,D2!J119,D3!J119,D4!J119,D5!J119,D6!J119)</f>
        <v/>
      </c>
      <c r="K119" s="15">
        <f>CHOOSE(Controls!$B$6,D1!K119,D2!K119,D3!K119,D4!K119,D5!K119,D6!K119)</f>
        <v/>
      </c>
      <c r="L119" s="15">
        <f>CHOOSE(Controls!$B$6,D1!L119,D2!L119,D3!L119,D4!L119,D5!L119,D6!L119)</f>
        <v/>
      </c>
      <c r="M119" s="15">
        <f>CHOOSE(Controls!$B$6,D1!M119,D2!M119,D3!M119,D4!M119,D5!M119,D6!M119)</f>
        <v/>
      </c>
      <c r="N119" s="15">
        <f>CHOOSE(Controls!$B$6,D1!N119,D2!N119,D3!N119,D4!N119,D5!N119,D6!N119)</f>
        <v/>
      </c>
      <c r="O119" s="15">
        <f>CHOOSE(Controls!$B$6,D1!O119,D2!O119,D3!O119,D4!O119,D5!O119,D6!O119)</f>
        <v/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>
        <f>CHOOSE(Controls!$B$6,D1!E120,D2!E120,D3!E120,D4!E120,D5!E120,D6!E120)</f>
        <v/>
      </c>
      <c r="F120" s="15">
        <f>CHOOSE(Controls!$B$6,D1!F120,D2!F120,D3!F120,D4!F120,D5!F120,D6!F120)</f>
        <v/>
      </c>
      <c r="G120" s="15">
        <f>CHOOSE(Controls!$B$6,D1!G120,D2!G120,D3!G120,D4!G120,D5!G120,D6!G120)</f>
        <v/>
      </c>
      <c r="H120" s="15">
        <f>CHOOSE(Controls!$B$6,D1!H120,D2!H120,D3!H120,D4!H120,D5!H120,D6!H120)</f>
        <v/>
      </c>
      <c r="I120" s="15">
        <f>CHOOSE(Controls!$B$6,D1!I120,D2!I120,D3!I120,D4!I120,D5!I120,D6!I120)</f>
        <v/>
      </c>
      <c r="J120" s="15">
        <f>CHOOSE(Controls!$B$6,D1!J120,D2!J120,D3!J120,D4!J120,D5!J120,D6!J120)</f>
        <v/>
      </c>
      <c r="K120" s="15">
        <f>CHOOSE(Controls!$B$6,D1!K120,D2!K120,D3!K120,D4!K120,D5!K120,D6!K120)</f>
        <v/>
      </c>
      <c r="L120" s="15">
        <f>CHOOSE(Controls!$B$6,D1!L120,D2!L120,D3!L120,D4!L120,D5!L120,D6!L120)</f>
        <v/>
      </c>
      <c r="M120" s="15">
        <f>CHOOSE(Controls!$B$6,D1!M120,D2!M120,D3!M120,D4!M120,D5!M120,D6!M120)</f>
        <v/>
      </c>
      <c r="N120" s="15">
        <f>CHOOSE(Controls!$B$6,D1!N120,D2!N120,D3!N120,D4!N120,D5!N120,D6!N120)</f>
        <v/>
      </c>
      <c r="O120" s="15">
        <f>CHOOSE(Controls!$B$6,D1!O120,D2!O120,D3!O120,D4!O120,D5!O120,D6!O120)</f>
        <v/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>
        <f>CHOOSE(Controls!$B$6,D1!E121,D2!E121,D3!E121,D4!E121,D5!E121,D6!E121)</f>
        <v/>
      </c>
      <c r="F121" s="15">
        <f>CHOOSE(Controls!$B$6,D1!F121,D2!F121,D3!F121,D4!F121,D5!F121,D6!F121)</f>
        <v/>
      </c>
      <c r="G121" s="15">
        <f>CHOOSE(Controls!$B$6,D1!G121,D2!G121,D3!G121,D4!G121,D5!G121,D6!G121)</f>
        <v/>
      </c>
      <c r="H121" s="15">
        <f>CHOOSE(Controls!$B$6,D1!H121,D2!H121,D3!H121,D4!H121,D5!H121,D6!H121)</f>
        <v/>
      </c>
      <c r="I121" s="15">
        <f>CHOOSE(Controls!$B$6,D1!I121,D2!I121,D3!I121,D4!I121,D5!I121,D6!I121)</f>
        <v/>
      </c>
      <c r="J121" s="15">
        <f>CHOOSE(Controls!$B$6,D1!J121,D2!J121,D3!J121,D4!J121,D5!J121,D6!J121)</f>
        <v/>
      </c>
      <c r="K121" s="15">
        <f>CHOOSE(Controls!$B$6,D1!K121,D2!K121,D3!K121,D4!K121,D5!K121,D6!K121)</f>
        <v/>
      </c>
      <c r="L121" s="15">
        <f>CHOOSE(Controls!$B$6,D1!L121,D2!L121,D3!L121,D4!L121,D5!L121,D6!L121)</f>
        <v/>
      </c>
      <c r="M121" s="15">
        <f>CHOOSE(Controls!$B$6,D1!M121,D2!M121,D3!M121,D4!M121,D5!M121,D6!M121)</f>
        <v/>
      </c>
      <c r="N121" s="15">
        <f>CHOOSE(Controls!$B$6,D1!N121,D2!N121,D3!N121,D4!N121,D5!N121,D6!N121)</f>
        <v/>
      </c>
      <c r="O121" s="15">
        <f>CHOOSE(Controls!$B$6,D1!O121,D2!O121,D3!O121,D4!O121,D5!O121,D6!O121)</f>
        <v/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>
        <f>CHOOSE(Controls!$B$6,D1!E122,D2!E122,D3!E122,D4!E122,D5!E122,D6!E122)</f>
        <v/>
      </c>
      <c r="F122" s="15">
        <f>CHOOSE(Controls!$B$6,D1!F122,D2!F122,D3!F122,D4!F122,D5!F122,D6!F122)</f>
        <v/>
      </c>
      <c r="G122" s="15">
        <f>CHOOSE(Controls!$B$6,D1!G122,D2!G122,D3!G122,D4!G122,D5!G122,D6!G122)</f>
        <v/>
      </c>
      <c r="H122" s="15">
        <f>CHOOSE(Controls!$B$6,D1!H122,D2!H122,D3!H122,D4!H122,D5!H122,D6!H122)</f>
        <v/>
      </c>
      <c r="I122" s="15">
        <f>CHOOSE(Controls!$B$6,D1!I122,D2!I122,D3!I122,D4!I122,D5!I122,D6!I122)</f>
        <v/>
      </c>
      <c r="J122" s="15">
        <f>CHOOSE(Controls!$B$6,D1!J122,D2!J122,D3!J122,D4!J122,D5!J122,D6!J122)</f>
        <v/>
      </c>
      <c r="K122" s="15">
        <f>CHOOSE(Controls!$B$6,D1!K122,D2!K122,D3!K122,D4!K122,D5!K122,D6!K122)</f>
        <v/>
      </c>
      <c r="L122" s="15">
        <f>CHOOSE(Controls!$B$6,D1!L122,D2!L122,D3!L122,D4!L122,D5!L122,D6!L122)</f>
        <v/>
      </c>
      <c r="M122" s="15">
        <f>CHOOSE(Controls!$B$6,D1!M122,D2!M122,D3!M122,D4!M122,D5!M122,D6!M122)</f>
        <v/>
      </c>
      <c r="N122" s="15">
        <f>CHOOSE(Controls!$B$6,D1!N122,D2!N122,D3!N122,D4!N122,D5!N122,D6!N122)</f>
        <v/>
      </c>
      <c r="O122" s="15">
        <f>CHOOSE(Controls!$B$6,D1!O122,D2!O122,D3!O122,D4!O122,D5!O122,D6!O122)</f>
        <v/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>
        <f>CHOOSE(Controls!$B$6,D1!E123,D2!E123,D3!E123,D4!E123,D5!E123,D6!E123)</f>
        <v/>
      </c>
      <c r="F123" s="15">
        <f>CHOOSE(Controls!$B$6,D1!F123,D2!F123,D3!F123,D4!F123,D5!F123,D6!F123)</f>
        <v/>
      </c>
      <c r="G123" s="15">
        <f>CHOOSE(Controls!$B$6,D1!G123,D2!G123,D3!G123,D4!G123,D5!G123,D6!G123)</f>
        <v/>
      </c>
      <c r="H123" s="15">
        <f>CHOOSE(Controls!$B$6,D1!H123,D2!H123,D3!H123,D4!H123,D5!H123,D6!H123)</f>
        <v/>
      </c>
      <c r="I123" s="15">
        <f>CHOOSE(Controls!$B$6,D1!I123,D2!I123,D3!I123,D4!I123,D5!I123,D6!I123)</f>
        <v/>
      </c>
      <c r="J123" s="15">
        <f>CHOOSE(Controls!$B$6,D1!J123,D2!J123,D3!J123,D4!J123,D5!J123,D6!J123)</f>
        <v/>
      </c>
      <c r="K123" s="15">
        <f>CHOOSE(Controls!$B$6,D1!K123,D2!K123,D3!K123,D4!K123,D5!K123,D6!K123)</f>
        <v/>
      </c>
      <c r="L123" s="15">
        <f>CHOOSE(Controls!$B$6,D1!L123,D2!L123,D3!L123,D4!L123,D5!L123,D6!L123)</f>
        <v/>
      </c>
      <c r="M123" s="15">
        <f>CHOOSE(Controls!$B$6,D1!M123,D2!M123,D3!M123,D4!M123,D5!M123,D6!M123)</f>
        <v/>
      </c>
      <c r="N123" s="15">
        <f>CHOOSE(Controls!$B$6,D1!N123,D2!N123,D3!N123,D4!N123,D5!N123,D6!N123)</f>
        <v/>
      </c>
      <c r="O123" s="15">
        <f>CHOOSE(Controls!$B$6,D1!O123,D2!O123,D3!O123,D4!O123,D5!O123,D6!O123)</f>
        <v/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>
        <f>CHOOSE(Controls!$B$6,D1!E124,D2!E124,D3!E124,D4!E124,D5!E124,D6!E124)</f>
        <v/>
      </c>
      <c r="F124" s="21">
        <f>CHOOSE(Controls!$B$6,D1!F124,D2!F124,D3!F124,D4!F124,D5!F124,D6!F124)</f>
        <v/>
      </c>
      <c r="G124" s="21">
        <f>CHOOSE(Controls!$B$6,D1!G124,D2!G124,D3!G124,D4!G124,D5!G124,D6!G124)</f>
        <v/>
      </c>
      <c r="H124" s="21">
        <f>CHOOSE(Controls!$B$6,D1!H124,D2!H124,D3!H124,D4!H124,D5!H124,D6!H124)</f>
        <v/>
      </c>
      <c r="I124" s="21">
        <f>CHOOSE(Controls!$B$6,D1!I124,D2!I124,D3!I124,D4!I124,D5!I124,D6!I124)</f>
        <v/>
      </c>
      <c r="J124" s="21">
        <f>CHOOSE(Controls!$B$6,D1!J124,D2!J124,D3!J124,D4!J124,D5!J124,D6!J124)</f>
        <v/>
      </c>
      <c r="K124" s="21">
        <f>CHOOSE(Controls!$B$6,D1!K124,D2!K124,D3!K124,D4!K124,D5!K124,D6!K124)</f>
        <v/>
      </c>
      <c r="L124" s="21">
        <f>CHOOSE(Controls!$B$6,D1!L124,D2!L124,D3!L124,D4!L124,D5!L124,D6!L124)</f>
        <v/>
      </c>
      <c r="M124" s="21">
        <f>CHOOSE(Controls!$B$6,D1!M124,D2!M124,D3!M124,D4!M124,D5!M124,D6!M124)</f>
        <v/>
      </c>
      <c r="N124" s="21">
        <f>CHOOSE(Controls!$B$6,D1!N124,D2!N124,D3!N124,D4!N124,D5!N124,D6!N124)</f>
        <v/>
      </c>
      <c r="O124" s="21">
        <f>CHOOSE(Controls!$B$6,D1!O124,D2!O124,D3!O124,D4!O124,D5!O124,D6!O124)</f>
        <v/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>
        <f>CHOOSE(Controls!$B$6,D1!E125,D2!E125,D3!E125,D4!E125,D5!E125,D6!E125)</f>
        <v/>
      </c>
      <c r="F125" s="15">
        <f>CHOOSE(Controls!$B$6,D1!F125,D2!F125,D3!F125,D4!F125,D5!F125,D6!F125)</f>
        <v/>
      </c>
      <c r="G125" s="15">
        <f>CHOOSE(Controls!$B$6,D1!G125,D2!G125,D3!G125,D4!G125,D5!G125,D6!G125)</f>
        <v/>
      </c>
      <c r="H125" s="15">
        <f>CHOOSE(Controls!$B$6,D1!H125,D2!H125,D3!H125,D4!H125,D5!H125,D6!H125)</f>
        <v/>
      </c>
      <c r="I125" s="15">
        <f>CHOOSE(Controls!$B$6,D1!I125,D2!I125,D3!I125,D4!I125,D5!I125,D6!I125)</f>
        <v/>
      </c>
      <c r="J125" s="15">
        <f>CHOOSE(Controls!$B$6,D1!J125,D2!J125,D3!J125,D4!J125,D5!J125,D6!J125)</f>
        <v/>
      </c>
      <c r="K125" s="15">
        <f>CHOOSE(Controls!$B$6,D1!K125,D2!K125,D3!K125,D4!K125,D5!K125,D6!K125)</f>
        <v/>
      </c>
      <c r="L125" s="15">
        <f>CHOOSE(Controls!$B$6,D1!L125,D2!L125,D3!L125,D4!L125,D5!L125,D6!L125)</f>
        <v/>
      </c>
      <c r="M125" s="15">
        <f>CHOOSE(Controls!$B$6,D1!M125,D2!M125,D3!M125,D4!M125,D5!M125,D6!M125)</f>
        <v/>
      </c>
      <c r="N125" s="15">
        <f>CHOOSE(Controls!$B$6,D1!N125,D2!N125,D3!N125,D4!N125,D5!N125,D6!N125)</f>
        <v/>
      </c>
      <c r="O125" s="15">
        <f>CHOOSE(Controls!$B$6,D1!O125,D2!O125,D3!O125,D4!O125,D5!O125,D6!O125)</f>
        <v/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>
        <f>CHOOSE(Controls!$B$6,D1!E126,D2!E126,D3!E126,D4!E126,D5!E126,D6!E126)</f>
        <v/>
      </c>
      <c r="F126" s="15">
        <f>CHOOSE(Controls!$B$6,D1!F126,D2!F126,D3!F126,D4!F126,D5!F126,D6!F126)</f>
        <v/>
      </c>
      <c r="G126" s="15">
        <f>CHOOSE(Controls!$B$6,D1!G126,D2!G126,D3!G126,D4!G126,D5!G126,D6!G126)</f>
        <v/>
      </c>
      <c r="H126" s="15">
        <f>CHOOSE(Controls!$B$6,D1!H126,D2!H126,D3!H126,D4!H126,D5!H126,D6!H126)</f>
        <v/>
      </c>
      <c r="I126" s="15">
        <f>CHOOSE(Controls!$B$6,D1!I126,D2!I126,D3!I126,D4!I126,D5!I126,D6!I126)</f>
        <v/>
      </c>
      <c r="J126" s="15">
        <f>CHOOSE(Controls!$B$6,D1!J126,D2!J126,D3!J126,D4!J126,D5!J126,D6!J126)</f>
        <v/>
      </c>
      <c r="K126" s="15">
        <f>CHOOSE(Controls!$B$6,D1!K126,D2!K126,D3!K126,D4!K126,D5!K126,D6!K126)</f>
        <v/>
      </c>
      <c r="L126" s="15">
        <f>CHOOSE(Controls!$B$6,D1!L126,D2!L126,D3!L126,D4!L126,D5!L126,D6!L126)</f>
        <v/>
      </c>
      <c r="M126" s="15">
        <f>CHOOSE(Controls!$B$6,D1!M126,D2!M126,D3!M126,D4!M126,D5!M126,D6!M126)</f>
        <v/>
      </c>
      <c r="N126" s="15">
        <f>CHOOSE(Controls!$B$6,D1!N126,D2!N126,D3!N126,D4!N126,D5!N126,D6!N126)</f>
        <v/>
      </c>
      <c r="O126" s="15">
        <f>CHOOSE(Controls!$B$6,D1!O126,D2!O126,D3!O126,D4!O126,D5!O126,D6!O126)</f>
        <v/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>
        <f>CHOOSE(Controls!$B$6,D1!E127,D2!E127,D3!E127,D4!E127,D5!E127,D6!E127)</f>
        <v/>
      </c>
      <c r="F127" s="15">
        <f>CHOOSE(Controls!$B$6,D1!F127,D2!F127,D3!F127,D4!F127,D5!F127,D6!F127)</f>
        <v/>
      </c>
      <c r="G127" s="15">
        <f>CHOOSE(Controls!$B$6,D1!G127,D2!G127,D3!G127,D4!G127,D5!G127,D6!G127)</f>
        <v/>
      </c>
      <c r="H127" s="15">
        <f>CHOOSE(Controls!$B$6,D1!H127,D2!H127,D3!H127,D4!H127,D5!H127,D6!H127)</f>
        <v/>
      </c>
      <c r="I127" s="15">
        <f>CHOOSE(Controls!$B$6,D1!I127,D2!I127,D3!I127,D4!I127,D5!I127,D6!I127)</f>
        <v/>
      </c>
      <c r="J127" s="15">
        <f>CHOOSE(Controls!$B$6,D1!J127,D2!J127,D3!J127,D4!J127,D5!J127,D6!J127)</f>
        <v/>
      </c>
      <c r="K127" s="15">
        <f>CHOOSE(Controls!$B$6,D1!K127,D2!K127,D3!K127,D4!K127,D5!K127,D6!K127)</f>
        <v/>
      </c>
      <c r="L127" s="15">
        <f>CHOOSE(Controls!$B$6,D1!L127,D2!L127,D3!L127,D4!L127,D5!L127,D6!L127)</f>
        <v/>
      </c>
      <c r="M127" s="15">
        <f>CHOOSE(Controls!$B$6,D1!M127,D2!M127,D3!M127,D4!M127,D5!M127,D6!M127)</f>
        <v/>
      </c>
      <c r="N127" s="15">
        <f>CHOOSE(Controls!$B$6,D1!N127,D2!N127,D3!N127,D4!N127,D5!N127,D6!N127)</f>
        <v/>
      </c>
      <c r="O127" s="15">
        <f>CHOOSE(Controls!$B$6,D1!O127,D2!O127,D3!O127,D4!O127,D5!O127,D6!O127)</f>
        <v/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>
        <f>CHOOSE(Controls!$B$6,D1!E128,D2!E128,D3!E128,D4!E128,D5!E128,D6!E128)</f>
        <v/>
      </c>
      <c r="F128" s="15">
        <f>CHOOSE(Controls!$B$6,D1!F128,D2!F128,D3!F128,D4!F128,D5!F128,D6!F128)</f>
        <v/>
      </c>
      <c r="G128" s="15">
        <f>CHOOSE(Controls!$B$6,D1!G128,D2!G128,D3!G128,D4!G128,D5!G128,D6!G128)</f>
        <v/>
      </c>
      <c r="H128" s="15">
        <f>CHOOSE(Controls!$B$6,D1!H128,D2!H128,D3!H128,D4!H128,D5!H128,D6!H128)</f>
        <v/>
      </c>
      <c r="I128" s="15">
        <f>CHOOSE(Controls!$B$6,D1!I128,D2!I128,D3!I128,D4!I128,D5!I128,D6!I128)</f>
        <v/>
      </c>
      <c r="J128" s="15">
        <f>CHOOSE(Controls!$B$6,D1!J128,D2!J128,D3!J128,D4!J128,D5!J128,D6!J128)</f>
        <v/>
      </c>
      <c r="K128" s="15">
        <f>CHOOSE(Controls!$B$6,D1!K128,D2!K128,D3!K128,D4!K128,D5!K128,D6!K128)</f>
        <v/>
      </c>
      <c r="L128" s="15">
        <f>CHOOSE(Controls!$B$6,D1!L128,D2!L128,D3!L128,D4!L128,D5!L128,D6!L128)</f>
        <v/>
      </c>
      <c r="M128" s="15">
        <f>CHOOSE(Controls!$B$6,D1!M128,D2!M128,D3!M128,D4!M128,D5!M128,D6!M128)</f>
        <v/>
      </c>
      <c r="N128" s="15">
        <f>CHOOSE(Controls!$B$6,D1!N128,D2!N128,D3!N128,D4!N128,D5!N128,D6!N128)</f>
        <v/>
      </c>
      <c r="O128" s="15">
        <f>CHOOSE(Controls!$B$6,D1!O128,D2!O128,D3!O128,D4!O128,D5!O128,D6!O128)</f>
        <v/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>
        <f>CHOOSE(Controls!$B$6,D1!E129,D2!E129,D3!E129,D4!E129,D5!E129,D6!E129)</f>
        <v/>
      </c>
      <c r="F129" s="15">
        <f>CHOOSE(Controls!$B$6,D1!F129,D2!F129,D3!F129,D4!F129,D5!F129,D6!F129)</f>
        <v/>
      </c>
      <c r="G129" s="15">
        <f>CHOOSE(Controls!$B$6,D1!G129,D2!G129,D3!G129,D4!G129,D5!G129,D6!G129)</f>
        <v/>
      </c>
      <c r="H129" s="15">
        <f>CHOOSE(Controls!$B$6,D1!H129,D2!H129,D3!H129,D4!H129,D5!H129,D6!H129)</f>
        <v/>
      </c>
      <c r="I129" s="15">
        <f>CHOOSE(Controls!$B$6,D1!I129,D2!I129,D3!I129,D4!I129,D5!I129,D6!I129)</f>
        <v/>
      </c>
      <c r="J129" s="15">
        <f>CHOOSE(Controls!$B$6,D1!J129,D2!J129,D3!J129,D4!J129,D5!J129,D6!J129)</f>
        <v/>
      </c>
      <c r="K129" s="15">
        <f>CHOOSE(Controls!$B$6,D1!K129,D2!K129,D3!K129,D4!K129,D5!K129,D6!K129)</f>
        <v/>
      </c>
      <c r="L129" s="15">
        <f>CHOOSE(Controls!$B$6,D1!L129,D2!L129,D3!L129,D4!L129,D5!L129,D6!L129)</f>
        <v/>
      </c>
      <c r="M129" s="15">
        <f>CHOOSE(Controls!$B$6,D1!M129,D2!M129,D3!M129,D4!M129,D5!M129,D6!M129)</f>
        <v/>
      </c>
      <c r="N129" s="15">
        <f>CHOOSE(Controls!$B$6,D1!N129,D2!N129,D3!N129,D4!N129,D5!N129,D6!N129)</f>
        <v/>
      </c>
      <c r="O129" s="15">
        <f>CHOOSE(Controls!$B$6,D1!O129,D2!O129,D3!O129,D4!O129,D5!O129,D6!O129)</f>
        <v/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>
        <f>CHOOSE(Controls!$B$6,D1!E130,D2!E130,D3!E130,D4!E130,D5!E130,D6!E130)</f>
        <v/>
      </c>
      <c r="F130" s="15">
        <f>CHOOSE(Controls!$B$6,D1!F130,D2!F130,D3!F130,D4!F130,D5!F130,D6!F130)</f>
        <v/>
      </c>
      <c r="G130" s="15">
        <f>CHOOSE(Controls!$B$6,D1!G130,D2!G130,D3!G130,D4!G130,D5!G130,D6!G130)</f>
        <v/>
      </c>
      <c r="H130" s="15">
        <f>CHOOSE(Controls!$B$6,D1!H130,D2!H130,D3!H130,D4!H130,D5!H130,D6!H130)</f>
        <v/>
      </c>
      <c r="I130" s="15">
        <f>CHOOSE(Controls!$B$6,D1!I130,D2!I130,D3!I130,D4!I130,D5!I130,D6!I130)</f>
        <v/>
      </c>
      <c r="J130" s="15">
        <f>CHOOSE(Controls!$B$6,D1!J130,D2!J130,D3!J130,D4!J130,D5!J130,D6!J130)</f>
        <v/>
      </c>
      <c r="K130" s="15">
        <f>CHOOSE(Controls!$B$6,D1!K130,D2!K130,D3!K130,D4!K130,D5!K130,D6!K130)</f>
        <v/>
      </c>
      <c r="L130" s="15">
        <f>CHOOSE(Controls!$B$6,D1!L130,D2!L130,D3!L130,D4!L130,D5!L130,D6!L130)</f>
        <v/>
      </c>
      <c r="M130" s="15">
        <f>CHOOSE(Controls!$B$6,D1!M130,D2!M130,D3!M130,D4!M130,D5!M130,D6!M130)</f>
        <v/>
      </c>
      <c r="N130" s="15">
        <f>CHOOSE(Controls!$B$6,D1!N130,D2!N130,D3!N130,D4!N130,D5!N130,D6!N130)</f>
        <v/>
      </c>
      <c r="O130" s="15">
        <f>CHOOSE(Controls!$B$6,D1!O130,D2!O130,D3!O130,D4!O130,D5!O130,D6!O130)</f>
        <v/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>
        <f>CHOOSE(Controls!$B$6,D1!E131,D2!E131,D3!E131,D4!E131,D5!E131,D6!E131)</f>
        <v/>
      </c>
      <c r="F131" s="15">
        <f>CHOOSE(Controls!$B$6,D1!F131,D2!F131,D3!F131,D4!F131,D5!F131,D6!F131)</f>
        <v/>
      </c>
      <c r="G131" s="15">
        <f>CHOOSE(Controls!$B$6,D1!G131,D2!G131,D3!G131,D4!G131,D5!G131,D6!G131)</f>
        <v/>
      </c>
      <c r="H131" s="15">
        <f>CHOOSE(Controls!$B$6,D1!H131,D2!H131,D3!H131,D4!H131,D5!H131,D6!H131)</f>
        <v/>
      </c>
      <c r="I131" s="15">
        <f>CHOOSE(Controls!$B$6,D1!I131,D2!I131,D3!I131,D4!I131,D5!I131,D6!I131)</f>
        <v/>
      </c>
      <c r="J131" s="15">
        <f>CHOOSE(Controls!$B$6,D1!J131,D2!J131,D3!J131,D4!J131,D5!J131,D6!J131)</f>
        <v/>
      </c>
      <c r="K131" s="15">
        <f>CHOOSE(Controls!$B$6,D1!K131,D2!K131,D3!K131,D4!K131,D5!K131,D6!K131)</f>
        <v/>
      </c>
      <c r="L131" s="15">
        <f>CHOOSE(Controls!$B$6,D1!L131,D2!L131,D3!L131,D4!L131,D5!L131,D6!L131)</f>
        <v/>
      </c>
      <c r="M131" s="15">
        <f>CHOOSE(Controls!$B$6,D1!M131,D2!M131,D3!M131,D4!M131,D5!M131,D6!M131)</f>
        <v/>
      </c>
      <c r="N131" s="15">
        <f>CHOOSE(Controls!$B$6,D1!N131,D2!N131,D3!N131,D4!N131,D5!N131,D6!N131)</f>
        <v/>
      </c>
      <c r="O131" s="15">
        <f>CHOOSE(Controls!$B$6,D1!O131,D2!O131,D3!O131,D4!O131,D5!O131,D6!O131)</f>
        <v/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>
        <f>CHOOSE(Controls!$B$6,D1!E132,D2!E132,D3!E132,D4!E132,D5!E132,D6!E132)</f>
        <v/>
      </c>
      <c r="F132" s="21">
        <f>CHOOSE(Controls!$B$6,D1!F132,D2!F132,D3!F132,D4!F132,D5!F132,D6!F132)</f>
        <v/>
      </c>
      <c r="G132" s="21">
        <f>CHOOSE(Controls!$B$6,D1!G132,D2!G132,D3!G132,D4!G132,D5!G132,D6!G132)</f>
        <v/>
      </c>
      <c r="H132" s="21">
        <f>CHOOSE(Controls!$B$6,D1!H132,D2!H132,D3!H132,D4!H132,D5!H132,D6!H132)</f>
        <v/>
      </c>
      <c r="I132" s="21">
        <f>CHOOSE(Controls!$B$6,D1!I132,D2!I132,D3!I132,D4!I132,D5!I132,D6!I132)</f>
        <v/>
      </c>
      <c r="J132" s="21">
        <f>CHOOSE(Controls!$B$6,D1!J132,D2!J132,D3!J132,D4!J132,D5!J132,D6!J132)</f>
        <v/>
      </c>
      <c r="K132" s="21">
        <f>CHOOSE(Controls!$B$6,D1!K132,D2!K132,D3!K132,D4!K132,D5!K132,D6!K132)</f>
        <v/>
      </c>
      <c r="L132" s="21">
        <f>CHOOSE(Controls!$B$6,D1!L132,D2!L132,D3!L132,D4!L132,D5!L132,D6!L132)</f>
        <v/>
      </c>
      <c r="M132" s="21">
        <f>CHOOSE(Controls!$B$6,D1!M132,D2!M132,D3!M132,D4!M132,D5!M132,D6!M132)</f>
        <v/>
      </c>
      <c r="N132" s="21">
        <f>CHOOSE(Controls!$B$6,D1!N132,D2!N132,D3!N132,D4!N132,D5!N132,D6!N132)</f>
        <v/>
      </c>
      <c r="O132" s="21">
        <f>CHOOSE(Controls!$B$6,D1!O132,D2!O132,D3!O132,D4!O132,D5!O132,D6!O132)</f>
        <v/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>
        <f>CHOOSE(Controls!$B$6,D1!E133,D2!E133,D3!E133,D4!E133,D5!E133,D6!E133)</f>
        <v/>
      </c>
      <c r="F133" s="15">
        <f>CHOOSE(Controls!$B$6,D1!F133,D2!F133,D3!F133,D4!F133,D5!F133,D6!F133)</f>
        <v/>
      </c>
      <c r="G133" s="15">
        <f>CHOOSE(Controls!$B$6,D1!G133,D2!G133,D3!G133,D4!G133,D5!G133,D6!G133)</f>
        <v/>
      </c>
      <c r="H133" s="15">
        <f>CHOOSE(Controls!$B$6,D1!H133,D2!H133,D3!H133,D4!H133,D5!H133,D6!H133)</f>
        <v/>
      </c>
      <c r="I133" s="15">
        <f>CHOOSE(Controls!$B$6,D1!I133,D2!I133,D3!I133,D4!I133,D5!I133,D6!I133)</f>
        <v/>
      </c>
      <c r="J133" s="15">
        <f>CHOOSE(Controls!$B$6,D1!J133,D2!J133,D3!J133,D4!J133,D5!J133,D6!J133)</f>
        <v/>
      </c>
      <c r="K133" s="15">
        <f>CHOOSE(Controls!$B$6,D1!K133,D2!K133,D3!K133,D4!K133,D5!K133,D6!K133)</f>
        <v/>
      </c>
      <c r="L133" s="15">
        <f>CHOOSE(Controls!$B$6,D1!L133,D2!L133,D3!L133,D4!L133,D5!L133,D6!L133)</f>
        <v/>
      </c>
      <c r="M133" s="15">
        <f>CHOOSE(Controls!$B$6,D1!M133,D2!M133,D3!M133,D4!M133,D5!M133,D6!M133)</f>
        <v/>
      </c>
      <c r="N133" s="15">
        <f>CHOOSE(Controls!$B$6,D1!N133,D2!N133,D3!N133,D4!N133,D5!N133,D6!N133)</f>
        <v/>
      </c>
      <c r="O133" s="15">
        <f>CHOOSE(Controls!$B$6,D1!O133,D2!O133,D3!O133,D4!O133,D5!O133,D6!O133)</f>
        <v/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>
        <f>CHOOSE(Controls!$B$6,D1!E135,D2!E135,D3!E135,D4!E135,D5!E135,D6!E135)</f>
        <v/>
      </c>
      <c r="F135" s="16">
        <f>CHOOSE(Controls!$B$6,D1!F135,D2!F135,D3!F135,D4!F135,D5!F135,D6!F135)</f>
        <v/>
      </c>
      <c r="G135" s="16">
        <f>CHOOSE(Controls!$B$6,D1!G135,D2!G135,D3!G135,D4!G135,D5!G135,D6!G135)</f>
        <v/>
      </c>
      <c r="H135" s="16">
        <f>CHOOSE(Controls!$B$6,D1!H135,D2!H135,D3!H135,D4!H135,D5!H135,D6!H135)</f>
        <v/>
      </c>
      <c r="I135" s="16">
        <f>CHOOSE(Controls!$B$6,D1!I135,D2!I135,D3!I135,D4!I135,D5!I135,D6!I135)</f>
        <v/>
      </c>
      <c r="J135" s="16">
        <f>CHOOSE(Controls!$B$6,D1!J135,D2!J135,D3!J135,D4!J135,D5!J135,D6!J135)</f>
        <v/>
      </c>
      <c r="K135" s="16">
        <f>CHOOSE(Controls!$B$6,D1!K135,D2!K135,D3!K135,D4!K135,D5!K135,D6!K135)</f>
        <v/>
      </c>
      <c r="L135" s="16">
        <f>CHOOSE(Controls!$B$6,D1!L135,D2!L135,D3!L135,D4!L135,D5!L135,D6!L135)</f>
        <v/>
      </c>
      <c r="M135" s="16">
        <f>CHOOSE(Controls!$B$6,D1!M135,D2!M135,D3!M135,D4!M135,D5!M135,D6!M135)</f>
        <v/>
      </c>
      <c r="N135" s="16">
        <f>CHOOSE(Controls!$B$6,D1!N135,D2!N135,D3!N135,D4!N135,D5!N135,D6!N135)</f>
        <v/>
      </c>
      <c r="O135" s="16">
        <f>CHOOSE(Controls!$B$6,D1!O135,D2!O135,D3!O135,D4!O135,D5!O135,D6!O135)</f>
        <v/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>
        <f>CHOOSE(Controls!$B$6,D1!E136,D2!E136,D3!E136,D4!E136,D5!E136,D6!E136)</f>
        <v/>
      </c>
      <c r="F136" s="15">
        <f>CHOOSE(Controls!$B$6,D1!F136,D2!F136,D3!F136,D4!F136,D5!F136,D6!F136)</f>
        <v/>
      </c>
      <c r="G136" s="15">
        <f>CHOOSE(Controls!$B$6,D1!G136,D2!G136,D3!G136,D4!G136,D5!G136,D6!G136)</f>
        <v/>
      </c>
      <c r="H136" s="15">
        <f>CHOOSE(Controls!$B$6,D1!H136,D2!H136,D3!H136,D4!H136,D5!H136,D6!H136)</f>
        <v/>
      </c>
      <c r="I136" s="15">
        <f>CHOOSE(Controls!$B$6,D1!I136,D2!I136,D3!I136,D4!I136,D5!I136,D6!I136)</f>
        <v/>
      </c>
      <c r="J136" s="15">
        <f>CHOOSE(Controls!$B$6,D1!J136,D2!J136,D3!J136,D4!J136,D5!J136,D6!J136)</f>
        <v/>
      </c>
      <c r="K136" s="15">
        <f>CHOOSE(Controls!$B$6,D1!K136,D2!K136,D3!K136,D4!K136,D5!K136,D6!K136)</f>
        <v/>
      </c>
      <c r="L136" s="15">
        <f>CHOOSE(Controls!$B$6,D1!L136,D2!L136,D3!L136,D4!L136,D5!L136,D6!L136)</f>
        <v/>
      </c>
      <c r="M136" s="15">
        <f>CHOOSE(Controls!$B$6,D1!M136,D2!M136,D3!M136,D4!M136,D5!M136,D6!M136)</f>
        <v/>
      </c>
      <c r="N136" s="15">
        <f>CHOOSE(Controls!$B$6,D1!N136,D2!N136,D3!N136,D4!N136,D5!N136,D6!N136)</f>
        <v/>
      </c>
      <c r="O136" s="15">
        <f>CHOOSE(Controls!$B$6,D1!O136,D2!O136,D3!O136,D4!O136,D5!O136,D6!O136)</f>
        <v/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>
        <f>CHOOSE(Controls!$B$6,D1!E137,D2!E137,D3!E137,D4!E137,D5!E137,D6!E137)</f>
        <v/>
      </c>
      <c r="F137" s="15">
        <f>CHOOSE(Controls!$B$6,D1!F137,D2!F137,D3!F137,D4!F137,D5!F137,D6!F137)</f>
        <v/>
      </c>
      <c r="G137" s="15">
        <f>CHOOSE(Controls!$B$6,D1!G137,D2!G137,D3!G137,D4!G137,D5!G137,D6!G137)</f>
        <v/>
      </c>
      <c r="H137" s="15">
        <f>CHOOSE(Controls!$B$6,D1!H137,D2!H137,D3!H137,D4!H137,D5!H137,D6!H137)</f>
        <v/>
      </c>
      <c r="I137" s="15">
        <f>CHOOSE(Controls!$B$6,D1!I137,D2!I137,D3!I137,D4!I137,D5!I137,D6!I137)</f>
        <v/>
      </c>
      <c r="J137" s="15">
        <f>CHOOSE(Controls!$B$6,D1!J137,D2!J137,D3!J137,D4!J137,D5!J137,D6!J137)</f>
        <v/>
      </c>
      <c r="K137" s="15">
        <f>CHOOSE(Controls!$B$6,D1!K137,D2!K137,D3!K137,D4!K137,D5!K137,D6!K137)</f>
        <v/>
      </c>
      <c r="L137" s="15">
        <f>CHOOSE(Controls!$B$6,D1!L137,D2!L137,D3!L137,D4!L137,D5!L137,D6!L137)</f>
        <v/>
      </c>
      <c r="M137" s="15">
        <f>CHOOSE(Controls!$B$6,D1!M137,D2!M137,D3!M137,D4!M137,D5!M137,D6!M137)</f>
        <v/>
      </c>
      <c r="N137" s="15">
        <f>CHOOSE(Controls!$B$6,D1!N137,D2!N137,D3!N137,D4!N137,D5!N137,D6!N137)</f>
        <v/>
      </c>
      <c r="O137" s="15">
        <f>CHOOSE(Controls!$B$6,D1!O137,D2!O137,D3!O137,D4!O137,D5!O137,D6!O137)</f>
        <v/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>
        <f>CHOOSE(Controls!$B$6,D1!E138,D2!E138,D3!E138,D4!E138,D5!E138,D6!E138)</f>
        <v/>
      </c>
      <c r="F138" s="15">
        <f>CHOOSE(Controls!$B$6,D1!F138,D2!F138,D3!F138,D4!F138,D5!F138,D6!F138)</f>
        <v/>
      </c>
      <c r="G138" s="15">
        <f>CHOOSE(Controls!$B$6,D1!G138,D2!G138,D3!G138,D4!G138,D5!G138,D6!G138)</f>
        <v/>
      </c>
      <c r="H138" s="15">
        <f>CHOOSE(Controls!$B$6,D1!H138,D2!H138,D3!H138,D4!H138,D5!H138,D6!H138)</f>
        <v/>
      </c>
      <c r="I138" s="15">
        <f>CHOOSE(Controls!$B$6,D1!I138,D2!I138,D3!I138,D4!I138,D5!I138,D6!I138)</f>
        <v/>
      </c>
      <c r="J138" s="15">
        <f>CHOOSE(Controls!$B$6,D1!J138,D2!J138,D3!J138,D4!J138,D5!J138,D6!J138)</f>
        <v/>
      </c>
      <c r="K138" s="15">
        <f>CHOOSE(Controls!$B$6,D1!K138,D2!K138,D3!K138,D4!K138,D5!K138,D6!K138)</f>
        <v/>
      </c>
      <c r="L138" s="15">
        <f>CHOOSE(Controls!$B$6,D1!L138,D2!L138,D3!L138,D4!L138,D5!L138,D6!L138)</f>
        <v/>
      </c>
      <c r="M138" s="15">
        <f>CHOOSE(Controls!$B$6,D1!M138,D2!M138,D3!M138,D4!M138,D5!M138,D6!M138)</f>
        <v/>
      </c>
      <c r="N138" s="15">
        <f>CHOOSE(Controls!$B$6,D1!N138,D2!N138,D3!N138,D4!N138,D5!N138,D6!N138)</f>
        <v/>
      </c>
      <c r="O138" s="15">
        <f>CHOOSE(Controls!$B$6,D1!O138,D2!O138,D3!O138,D4!O138,D5!O138,D6!O138)</f>
        <v/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>
        <f>CHOOSE(Controls!$B$6,D1!E139,D2!E139,D3!E139,D4!E139,D5!E139,D6!E139)</f>
        <v/>
      </c>
      <c r="F139" s="21">
        <f>CHOOSE(Controls!$B$6,D1!F139,D2!F139,D3!F139,D4!F139,D5!F139,D6!F139)</f>
        <v/>
      </c>
      <c r="G139" s="21">
        <f>CHOOSE(Controls!$B$6,D1!G139,D2!G139,D3!G139,D4!G139,D5!G139,D6!G139)</f>
        <v/>
      </c>
      <c r="H139" s="21">
        <f>CHOOSE(Controls!$B$6,D1!H139,D2!H139,D3!H139,D4!H139,D5!H139,D6!H139)</f>
        <v/>
      </c>
      <c r="I139" s="21">
        <f>CHOOSE(Controls!$B$6,D1!I139,D2!I139,D3!I139,D4!I139,D5!I139,D6!I139)</f>
        <v/>
      </c>
      <c r="J139" s="21">
        <f>CHOOSE(Controls!$B$6,D1!J139,D2!J139,D3!J139,D4!J139,D5!J139,D6!J139)</f>
        <v/>
      </c>
      <c r="K139" s="21">
        <f>CHOOSE(Controls!$B$6,D1!K139,D2!K139,D3!K139,D4!K139,D5!K139,D6!K139)</f>
        <v/>
      </c>
      <c r="L139" s="21">
        <f>CHOOSE(Controls!$B$6,D1!L139,D2!L139,D3!L139,D4!L139,D5!L139,D6!L139)</f>
        <v/>
      </c>
      <c r="M139" s="21">
        <f>CHOOSE(Controls!$B$6,D1!M139,D2!M139,D3!M139,D4!M139,D5!M139,D6!M139)</f>
        <v/>
      </c>
      <c r="N139" s="21">
        <f>CHOOSE(Controls!$B$6,D1!N139,D2!N139,D3!N139,D4!N139,D5!N139,D6!N139)</f>
        <v/>
      </c>
      <c r="O139" s="21">
        <f>CHOOSE(Controls!$B$6,D1!O139,D2!O139,D3!O139,D4!O139,D5!O139,D6!O139)</f>
        <v/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>
        <f>CHOOSE(Controls!$B$6,D1!E141,D2!E141,D3!E141,D4!E141,D5!E141,D6!E141)</f>
        <v/>
      </c>
      <c r="F141" s="26">
        <f>CHOOSE(Controls!$B$6,D1!F141,D2!F141,D3!F141,D4!F141,D5!F141,D6!F141)</f>
        <v/>
      </c>
      <c r="G141" s="26">
        <f>CHOOSE(Controls!$B$6,D1!G141,D2!G141,D3!G141,D4!G141,D5!G141,D6!G141)</f>
        <v/>
      </c>
      <c r="H141" s="26">
        <f>CHOOSE(Controls!$B$6,D1!H141,D2!H141,D3!H141,D4!H141,D5!H141,D6!H141)</f>
        <v/>
      </c>
      <c r="I141" s="26">
        <f>CHOOSE(Controls!$B$6,D1!I141,D2!I141,D3!I141,D4!I141,D5!I141,D6!I141)</f>
        <v/>
      </c>
      <c r="J141" s="26">
        <f>CHOOSE(Controls!$B$6,D1!J141,D2!J141,D3!J141,D4!J141,D5!J141,D6!J141)</f>
        <v/>
      </c>
      <c r="K141" s="26">
        <f>CHOOSE(Controls!$B$6,D1!K141,D2!K141,D3!K141,D4!K141,D5!K141,D6!K141)</f>
        <v/>
      </c>
      <c r="L141" s="26">
        <f>CHOOSE(Controls!$B$6,D1!L141,D2!L141,D3!L141,D4!L141,D5!L141,D6!L141)</f>
        <v/>
      </c>
      <c r="M141" s="26">
        <f>CHOOSE(Controls!$B$6,D1!M141,D2!M141,D3!M141,D4!M141,D5!M141,D6!M141)</f>
        <v/>
      </c>
      <c r="N141" s="26">
        <f>CHOOSE(Controls!$B$6,D1!N141,D2!N141,D3!N141,D4!N141,D5!N141,D6!N141)</f>
        <v/>
      </c>
      <c r="O141" s="26">
        <f>CHOOSE(Controls!$B$6,D1!O141,D2!O141,D3!O141,D4!O141,D5!O141,D6!O141)</f>
        <v/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>
        <f>CHOOSE(Controls!$B$6,D1!E142,D2!E142,D3!E142,D4!E142,D5!E142,D6!E142)</f>
        <v/>
      </c>
      <c r="F142" s="15">
        <f>CHOOSE(Controls!$B$6,D1!F142,D2!F142,D3!F142,D4!F142,D5!F142,D6!F142)</f>
        <v/>
      </c>
      <c r="G142" s="15">
        <f>CHOOSE(Controls!$B$6,D1!G142,D2!G142,D3!G142,D4!G142,D5!G142,D6!G142)</f>
        <v/>
      </c>
      <c r="H142" s="15">
        <f>CHOOSE(Controls!$B$6,D1!H142,D2!H142,D3!H142,D4!H142,D5!H142,D6!H142)</f>
        <v/>
      </c>
      <c r="I142" s="15">
        <f>CHOOSE(Controls!$B$6,D1!I142,D2!I142,D3!I142,D4!I142,D5!I142,D6!I142)</f>
        <v/>
      </c>
      <c r="J142" s="15">
        <f>CHOOSE(Controls!$B$6,D1!J142,D2!J142,D3!J142,D4!J142,D5!J142,D6!J142)</f>
        <v/>
      </c>
      <c r="K142" s="15">
        <f>CHOOSE(Controls!$B$6,D1!K142,D2!K142,D3!K142,D4!K142,D5!K142,D6!K142)</f>
        <v/>
      </c>
      <c r="L142" s="15">
        <f>CHOOSE(Controls!$B$6,D1!L142,D2!L142,D3!L142,D4!L142,D5!L142,D6!L142)</f>
        <v/>
      </c>
      <c r="M142" s="15">
        <f>CHOOSE(Controls!$B$6,D1!M142,D2!M142,D3!M142,D4!M142,D5!M142,D6!M142)</f>
        <v/>
      </c>
      <c r="N142" s="15">
        <f>CHOOSE(Controls!$B$6,D1!N142,D2!N142,D3!N142,D4!N142,D5!N142,D6!N142)</f>
        <v/>
      </c>
      <c r="O142" s="15">
        <f>CHOOSE(Controls!$B$6,D1!O142,D2!O142,D3!O142,D4!O142,D5!O142,D6!O142)</f>
        <v/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>
        <f>CHOOSE(Controls!$B$6,D1!E143,D2!E143,D3!E143,D4!E143,D5!E143,D6!E143)</f>
        <v/>
      </c>
      <c r="F143" s="15">
        <f>CHOOSE(Controls!$B$6,D1!F143,D2!F143,D3!F143,D4!F143,D5!F143,D6!F143)</f>
        <v/>
      </c>
      <c r="G143" s="15">
        <f>CHOOSE(Controls!$B$6,D1!G143,D2!G143,D3!G143,D4!G143,D5!G143,D6!G143)</f>
        <v/>
      </c>
      <c r="H143" s="15">
        <f>CHOOSE(Controls!$B$6,D1!H143,D2!H143,D3!H143,D4!H143,D5!H143,D6!H143)</f>
        <v/>
      </c>
      <c r="I143" s="15">
        <f>CHOOSE(Controls!$B$6,D1!I143,D2!I143,D3!I143,D4!I143,D5!I143,D6!I143)</f>
        <v/>
      </c>
      <c r="J143" s="15">
        <f>CHOOSE(Controls!$B$6,D1!J143,D2!J143,D3!J143,D4!J143,D5!J143,D6!J143)</f>
        <v/>
      </c>
      <c r="K143" s="15">
        <f>CHOOSE(Controls!$B$6,D1!K143,D2!K143,D3!K143,D4!K143,D5!K143,D6!K143)</f>
        <v/>
      </c>
      <c r="L143" s="15">
        <f>CHOOSE(Controls!$B$6,D1!L143,D2!L143,D3!L143,D4!L143,D5!L143,D6!L143)</f>
        <v/>
      </c>
      <c r="M143" s="15">
        <f>CHOOSE(Controls!$B$6,D1!M143,D2!M143,D3!M143,D4!M143,D5!M143,D6!M143)</f>
        <v/>
      </c>
      <c r="N143" s="15">
        <f>CHOOSE(Controls!$B$6,D1!N143,D2!N143,D3!N143,D4!N143,D5!N143,D6!N143)</f>
        <v/>
      </c>
      <c r="O143" s="15">
        <f>CHOOSE(Controls!$B$6,D1!O143,D2!O143,D3!O143,D4!O143,D5!O143,D6!O143)</f>
        <v/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>
        <f>CHOOSE(Controls!$B$6,D1!E144,D2!E144,D3!E144,D4!E144,D5!E144,D6!E144)</f>
        <v/>
      </c>
      <c r="F144" s="26">
        <f>CHOOSE(Controls!$B$6,D1!F144,D2!F144,D3!F144,D4!F144,D5!F144,D6!F144)</f>
        <v/>
      </c>
      <c r="G144" s="26">
        <f>CHOOSE(Controls!$B$6,D1!G144,D2!G144,D3!G144,D4!G144,D5!G144,D6!G144)</f>
        <v/>
      </c>
      <c r="H144" s="26">
        <f>CHOOSE(Controls!$B$6,D1!H144,D2!H144,D3!H144,D4!H144,D5!H144,D6!H144)</f>
        <v/>
      </c>
      <c r="I144" s="26">
        <f>CHOOSE(Controls!$B$6,D1!I144,D2!I144,D3!I144,D4!I144,D5!I144,D6!I144)</f>
        <v/>
      </c>
      <c r="J144" s="26">
        <f>CHOOSE(Controls!$B$6,D1!J144,D2!J144,D3!J144,D4!J144,D5!J144,D6!J144)</f>
        <v/>
      </c>
      <c r="K144" s="26">
        <f>CHOOSE(Controls!$B$6,D1!K144,D2!K144,D3!K144,D4!K144,D5!K144,D6!K144)</f>
        <v/>
      </c>
      <c r="L144" s="26">
        <f>CHOOSE(Controls!$B$6,D1!L144,D2!L144,D3!L144,D4!L144,D5!L144,D6!L144)</f>
        <v/>
      </c>
      <c r="M144" s="26">
        <f>CHOOSE(Controls!$B$6,D1!M144,D2!M144,D3!M144,D4!M144,D5!M144,D6!M144)</f>
        <v/>
      </c>
      <c r="N144" s="26">
        <f>CHOOSE(Controls!$B$6,D1!N144,D2!N144,D3!N144,D4!N144,D5!N144,D6!N144)</f>
        <v/>
      </c>
      <c r="O144" s="26">
        <f>CHOOSE(Controls!$B$6,D1!O144,D2!O144,D3!O144,D4!O144,D5!O144,D6!O144)</f>
        <v/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>
        <f>CHOOSE(Controls!$B$6,D1!E145,D2!E145,D3!E145,D4!E145,D5!E145,D6!E145)</f>
        <v/>
      </c>
      <c r="F145" s="15">
        <f>CHOOSE(Controls!$B$6,D1!F145,D2!F145,D3!F145,D4!F145,D5!F145,D6!F145)</f>
        <v/>
      </c>
      <c r="G145" s="15">
        <f>CHOOSE(Controls!$B$6,D1!G145,D2!G145,D3!G145,D4!G145,D5!G145,D6!G145)</f>
        <v/>
      </c>
      <c r="H145" s="15">
        <f>CHOOSE(Controls!$B$6,D1!H145,D2!H145,D3!H145,D4!H145,D5!H145,D6!H145)</f>
        <v/>
      </c>
      <c r="I145" s="15">
        <f>CHOOSE(Controls!$B$6,D1!I145,D2!I145,D3!I145,D4!I145,D5!I145,D6!I145)</f>
        <v/>
      </c>
      <c r="J145" s="15">
        <f>CHOOSE(Controls!$B$6,D1!J145,D2!J145,D3!J145,D4!J145,D5!J145,D6!J145)</f>
        <v/>
      </c>
      <c r="K145" s="15">
        <f>CHOOSE(Controls!$B$6,D1!K145,D2!K145,D3!K145,D4!K145,D5!K145,D6!K145)</f>
        <v/>
      </c>
      <c r="L145" s="15">
        <f>CHOOSE(Controls!$B$6,D1!L145,D2!L145,D3!L145,D4!L145,D5!L145,D6!L145)</f>
        <v/>
      </c>
      <c r="M145" s="15">
        <f>CHOOSE(Controls!$B$6,D1!M145,D2!M145,D3!M145,D4!M145,D5!M145,D6!M145)</f>
        <v/>
      </c>
      <c r="N145" s="15">
        <f>CHOOSE(Controls!$B$6,D1!N145,D2!N145,D3!N145,D4!N145,D5!N145,D6!N145)</f>
        <v/>
      </c>
      <c r="O145" s="15">
        <f>CHOOSE(Controls!$B$6,D1!O145,D2!O145,D3!O145,D4!O145,D5!O145,D6!O145)</f>
        <v/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>
        <f>CHOOSE(Controls!$B$6,D1!E146,D2!E146,D3!E146,D4!E146,D5!E146,D6!E146)</f>
        <v/>
      </c>
      <c r="F146" s="15">
        <f>CHOOSE(Controls!$B$6,D1!F146,D2!F146,D3!F146,D4!F146,D5!F146,D6!F146)</f>
        <v/>
      </c>
      <c r="G146" s="15">
        <f>CHOOSE(Controls!$B$6,D1!G146,D2!G146,D3!G146,D4!G146,D5!G146,D6!G146)</f>
        <v/>
      </c>
      <c r="H146" s="15">
        <f>CHOOSE(Controls!$B$6,D1!H146,D2!H146,D3!H146,D4!H146,D5!H146,D6!H146)</f>
        <v/>
      </c>
      <c r="I146" s="15">
        <f>CHOOSE(Controls!$B$6,D1!I146,D2!I146,D3!I146,D4!I146,D5!I146,D6!I146)</f>
        <v/>
      </c>
      <c r="J146" s="15">
        <f>CHOOSE(Controls!$B$6,D1!J146,D2!J146,D3!J146,D4!J146,D5!J146,D6!J146)</f>
        <v/>
      </c>
      <c r="K146" s="15">
        <f>CHOOSE(Controls!$B$6,D1!K146,D2!K146,D3!K146,D4!K146,D5!K146,D6!K146)</f>
        <v/>
      </c>
      <c r="L146" s="15">
        <f>CHOOSE(Controls!$B$6,D1!L146,D2!L146,D3!L146,D4!L146,D5!L146,D6!L146)</f>
        <v/>
      </c>
      <c r="M146" s="15">
        <f>CHOOSE(Controls!$B$6,D1!M146,D2!M146,D3!M146,D4!M146,D5!M146,D6!M146)</f>
        <v/>
      </c>
      <c r="N146" s="15">
        <f>CHOOSE(Controls!$B$6,D1!N146,D2!N146,D3!N146,D4!N146,D5!N146,D6!N146)</f>
        <v/>
      </c>
      <c r="O146" s="15">
        <f>CHOOSE(Controls!$B$6,D1!O146,D2!O146,D3!O146,D4!O146,D5!O146,D6!O146)</f>
        <v/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>
        <f>CHOOSE(Controls!$B$6,D1!E147,D2!E147,D3!E147,D4!E147,D5!E147,D6!E147)</f>
        <v/>
      </c>
      <c r="F147" s="21">
        <f>CHOOSE(Controls!$B$6,D1!F147,D2!F147,D3!F147,D4!F147,D5!F147,D6!F147)</f>
        <v/>
      </c>
      <c r="G147" s="21">
        <f>CHOOSE(Controls!$B$6,D1!G147,D2!G147,D3!G147,D4!G147,D5!G147,D6!G147)</f>
        <v/>
      </c>
      <c r="H147" s="21">
        <f>CHOOSE(Controls!$B$6,D1!H147,D2!H147,D3!H147,D4!H147,D5!H147,D6!H147)</f>
        <v/>
      </c>
      <c r="I147" s="21">
        <f>CHOOSE(Controls!$B$6,D1!I147,D2!I147,D3!I147,D4!I147,D5!I147,D6!I147)</f>
        <v/>
      </c>
      <c r="J147" s="21">
        <f>CHOOSE(Controls!$B$6,D1!J147,D2!J147,D3!J147,D4!J147,D5!J147,D6!J147)</f>
        <v/>
      </c>
      <c r="K147" s="21">
        <f>CHOOSE(Controls!$B$6,D1!K147,D2!K147,D3!K147,D4!K147,D5!K147,D6!K147)</f>
        <v/>
      </c>
      <c r="L147" s="21">
        <f>CHOOSE(Controls!$B$6,D1!L147,D2!L147,D3!L147,D4!L147,D5!L147,D6!L147)</f>
        <v/>
      </c>
      <c r="M147" s="21">
        <f>CHOOSE(Controls!$B$6,D1!M147,D2!M147,D3!M147,D4!M147,D5!M147,D6!M147)</f>
        <v/>
      </c>
      <c r="N147" s="21">
        <f>CHOOSE(Controls!$B$6,D1!N147,D2!N147,D3!N147,D4!N147,D5!N147,D6!N147)</f>
        <v/>
      </c>
      <c r="O147" s="21">
        <f>CHOOSE(Controls!$B$6,D1!O147,D2!O147,D3!O147,D4!O147,D5!O147,D6!O147)</f>
        <v/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>
        <f>CHOOSE(Controls!$B$6,D1!E149,D2!E149,D3!E149,D4!E149,D5!E149,D6!E149)</f>
        <v/>
      </c>
      <c r="F149" s="21">
        <f>CHOOSE(Controls!$B$6,D1!F149,D2!F149,D3!F149,D4!F149,D5!F149,D6!F149)</f>
        <v/>
      </c>
      <c r="G149" s="21">
        <f>CHOOSE(Controls!$B$6,D1!G149,D2!G149,D3!G149,D4!G149,D5!G149,D6!G149)</f>
        <v/>
      </c>
      <c r="H149" s="21">
        <f>CHOOSE(Controls!$B$6,D1!H149,D2!H149,D3!H149,D4!H149,D5!H149,D6!H149)</f>
        <v/>
      </c>
      <c r="I149" s="21">
        <f>CHOOSE(Controls!$B$6,D1!I149,D2!I149,D3!I149,D4!I149,D5!I149,D6!I149)</f>
        <v/>
      </c>
      <c r="J149" s="21">
        <f>CHOOSE(Controls!$B$6,D1!J149,D2!J149,D3!J149,D4!J149,D5!J149,D6!J149)</f>
        <v/>
      </c>
      <c r="K149" s="21">
        <f>CHOOSE(Controls!$B$6,D1!K149,D2!K149,D3!K149,D4!K149,D5!K149,D6!K149)</f>
        <v/>
      </c>
      <c r="L149" s="21">
        <f>CHOOSE(Controls!$B$6,D1!L149,D2!L149,D3!L149,D4!L149,D5!L149,D6!L149)</f>
        <v/>
      </c>
      <c r="M149" s="21">
        <f>CHOOSE(Controls!$B$6,D1!M149,D2!M149,D3!M149,D4!M149,D5!M149,D6!M149)</f>
        <v/>
      </c>
      <c r="N149" s="21">
        <f>CHOOSE(Controls!$B$6,D1!N149,D2!N149,D3!N149,D4!N149,D5!N149,D6!N149)</f>
        <v/>
      </c>
      <c r="O149" s="21">
        <f>CHOOSE(Controls!$B$6,D1!O149,D2!O149,D3!O149,D4!O149,D5!O149,D6!O149)</f>
        <v/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>
        <f>CHOOSE(Controls!$B$6,D1!E150,D2!E150,D3!E150,D4!E150,D5!E150,D6!E150)</f>
        <v/>
      </c>
      <c r="F150" s="21">
        <f>CHOOSE(Controls!$B$6,D1!F150,D2!F150,D3!F150,D4!F150,D5!F150,D6!F150)</f>
        <v/>
      </c>
      <c r="G150" s="21">
        <f>CHOOSE(Controls!$B$6,D1!G150,D2!G150,D3!G150,D4!G150,D5!G150,D6!G150)</f>
        <v/>
      </c>
      <c r="H150" s="21">
        <f>CHOOSE(Controls!$B$6,D1!H150,D2!H150,D3!H150,D4!H150,D5!H150,D6!H150)</f>
        <v/>
      </c>
      <c r="I150" s="21">
        <f>CHOOSE(Controls!$B$6,D1!I150,D2!I150,D3!I150,D4!I150,D5!I150,D6!I150)</f>
        <v/>
      </c>
      <c r="J150" s="21">
        <f>CHOOSE(Controls!$B$6,D1!J150,D2!J150,D3!J150,D4!J150,D5!J150,D6!J150)</f>
        <v/>
      </c>
      <c r="K150" s="21">
        <f>CHOOSE(Controls!$B$6,D1!K150,D2!K150,D3!K150,D4!K150,D5!K150,D6!K150)</f>
        <v/>
      </c>
      <c r="L150" s="21">
        <f>CHOOSE(Controls!$B$6,D1!L150,D2!L150,D3!L150,D4!L150,D5!L150,D6!L150)</f>
        <v/>
      </c>
      <c r="M150" s="21">
        <f>CHOOSE(Controls!$B$6,D1!M150,D2!M150,D3!M150,D4!M150,D5!M150,D6!M150)</f>
        <v/>
      </c>
      <c r="N150" s="21">
        <f>CHOOSE(Controls!$B$6,D1!N150,D2!N150,D3!N150,D4!N150,D5!N150,D6!N150)</f>
        <v/>
      </c>
      <c r="O150" s="21">
        <f>CHOOSE(Controls!$B$6,D1!O150,D2!O150,D3!O150,D4!O150,D5!O150,D6!O150)</f>
        <v/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>
        <f>CHOOSE(Controls!$B$6,D1!E151,D2!E151,D3!E151,D4!E151,D5!E151,D6!E151)</f>
        <v/>
      </c>
      <c r="F151" s="21">
        <f>CHOOSE(Controls!$B$6,D1!F151,D2!F151,D3!F151,D4!F151,D5!F151,D6!F151)</f>
        <v/>
      </c>
      <c r="G151" s="21">
        <f>CHOOSE(Controls!$B$6,D1!G151,D2!G151,D3!G151,D4!G151,D5!G151,D6!G151)</f>
        <v/>
      </c>
      <c r="H151" s="21">
        <f>CHOOSE(Controls!$B$6,D1!H151,D2!H151,D3!H151,D4!H151,D5!H151,D6!H151)</f>
        <v/>
      </c>
      <c r="I151" s="21">
        <f>CHOOSE(Controls!$B$6,D1!I151,D2!I151,D3!I151,D4!I151,D5!I151,D6!I151)</f>
        <v/>
      </c>
      <c r="J151" s="21">
        <f>CHOOSE(Controls!$B$6,D1!J151,D2!J151,D3!J151,D4!J151,D5!J151,D6!J151)</f>
        <v/>
      </c>
      <c r="K151" s="21">
        <f>CHOOSE(Controls!$B$6,D1!K151,D2!K151,D3!K151,D4!K151,D5!K151,D6!K151)</f>
        <v/>
      </c>
      <c r="L151" s="21">
        <f>CHOOSE(Controls!$B$6,D1!L151,D2!L151,D3!L151,D4!L151,D5!L151,D6!L151)</f>
        <v/>
      </c>
      <c r="M151" s="21">
        <f>CHOOSE(Controls!$B$6,D1!M151,D2!M151,D3!M151,D4!M151,D5!M151,D6!M151)</f>
        <v/>
      </c>
      <c r="N151" s="21">
        <f>CHOOSE(Controls!$B$6,D1!N151,D2!N151,D3!N151,D4!N151,D5!N151,D6!N151)</f>
        <v/>
      </c>
      <c r="O151" s="21">
        <f>CHOOSE(Controls!$B$6,D1!O151,D2!O151,D3!O151,D4!O151,D5!O151,D6!O151)</f>
        <v/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>
        <f>CHOOSE(Controls!$B$6,D1!E152,D2!E152,D3!E152,D4!E152,D5!E152,D6!E152)</f>
        <v/>
      </c>
      <c r="F152" s="25">
        <f>CHOOSE(Controls!$B$6,D1!F152,D2!F152,D3!F152,D4!F152,D5!F152,D6!F152)</f>
        <v/>
      </c>
      <c r="G152" s="25">
        <f>CHOOSE(Controls!$B$6,D1!G152,D2!G152,D3!G152,D4!G152,D5!G152,D6!G152)</f>
        <v/>
      </c>
      <c r="H152" s="25">
        <f>CHOOSE(Controls!$B$6,D1!H152,D2!H152,D3!H152,D4!H152,D5!H152,D6!H152)</f>
        <v/>
      </c>
      <c r="I152" s="25">
        <f>CHOOSE(Controls!$B$6,D1!I152,D2!I152,D3!I152,D4!I152,D5!I152,D6!I152)</f>
        <v/>
      </c>
      <c r="J152" s="25">
        <f>CHOOSE(Controls!$B$6,D1!J152,D2!J152,D3!J152,D4!J152,D5!J152,D6!J152)</f>
        <v/>
      </c>
      <c r="K152" s="25">
        <f>CHOOSE(Controls!$B$6,D1!K152,D2!K152,D3!K152,D4!K152,D5!K152,D6!K152)</f>
        <v/>
      </c>
      <c r="L152" s="25">
        <f>CHOOSE(Controls!$B$6,D1!L152,D2!L152,D3!L152,D4!L152,D5!L152,D6!L152)</f>
        <v/>
      </c>
      <c r="M152" s="25">
        <f>CHOOSE(Controls!$B$6,D1!M152,D2!M152,D3!M152,D4!M152,D5!M152,D6!M152)</f>
        <v/>
      </c>
      <c r="N152" s="25">
        <f>CHOOSE(Controls!$B$6,D1!N152,D2!N152,D3!N152,D4!N152,D5!N152,D6!N152)</f>
        <v/>
      </c>
      <c r="O152" s="25">
        <f>CHOOSE(Controls!$B$6,D1!O152,D2!O152,D3!O152,D4!O152,D5!O152,D6!O152)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Base/Run-rate  (data block D1)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100</v>
      </c>
      <c r="G4" s="15" t="n">
        <v>1000</v>
      </c>
      <c r="H4" s="15" t="n">
        <v>9000</v>
      </c>
      <c r="I4" s="15" t="n">
        <v>47000</v>
      </c>
      <c r="J4" s="15" t="n">
        <v>80000</v>
      </c>
      <c r="K4" s="15" t="n">
        <v>115000</v>
      </c>
      <c r="L4" s="15" t="n">
        <v>150000</v>
      </c>
      <c r="M4" s="15" t="n">
        <v>185000</v>
      </c>
      <c r="N4" s="15" t="n">
        <v>215000</v>
      </c>
      <c r="O4" s="15" t="n">
        <v>245000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5</v>
      </c>
      <c r="G29" s="15" t="n">
        <v>60</v>
      </c>
      <c r="H29" s="15" t="n">
        <v>300</v>
      </c>
      <c r="I29" s="15" t="n">
        <v>1000</v>
      </c>
      <c r="J29" s="15" t="n">
        <v>1700</v>
      </c>
      <c r="K29" s="15" t="n">
        <v>2400</v>
      </c>
      <c r="L29" s="15" t="n">
        <v>3100</v>
      </c>
      <c r="M29" s="15" t="n">
        <v>3700</v>
      </c>
      <c r="N29" s="15" t="n">
        <v>4200</v>
      </c>
      <c r="O29" s="15" t="n">
        <v>4600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2000</v>
      </c>
      <c r="G31" s="15" t="n">
        <v>40000</v>
      </c>
      <c r="H31" s="15" t="n">
        <v>250000</v>
      </c>
      <c r="I31" s="15" t="n">
        <v>900000</v>
      </c>
      <c r="J31" s="15" t="n">
        <v>1600000</v>
      </c>
      <c r="K31" s="15" t="n">
        <v>2300000</v>
      </c>
      <c r="L31" s="15" t="n">
        <v>3000000</v>
      </c>
      <c r="M31" s="15" t="n">
        <v>3600000</v>
      </c>
      <c r="N31" s="15" t="n">
        <v>4100000</v>
      </c>
      <c r="O31" s="15" t="n">
        <v>4500000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0.72</v>
      </c>
      <c r="G33" s="15" t="n">
        <v>16.8</v>
      </c>
      <c r="H33" s="15" t="n">
        <v>120</v>
      </c>
      <c r="I33" s="15" t="n">
        <v>486</v>
      </c>
      <c r="J33" s="15" t="n">
        <v>921.6</v>
      </c>
      <c r="K33" s="15" t="n">
        <v>1380</v>
      </c>
      <c r="L33" s="15" t="n">
        <v>1872</v>
      </c>
      <c r="M33" s="15" t="n">
        <v>2332.8</v>
      </c>
      <c r="N33" s="15" t="n">
        <v>2706</v>
      </c>
      <c r="O33" s="15" t="n">
        <v>3024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8</v>
      </c>
      <c r="G34" s="15" t="n">
        <v>120</v>
      </c>
      <c r="H34" s="15" t="n">
        <v>1300</v>
      </c>
      <c r="I34" s="15" t="n">
        <v>6600</v>
      </c>
      <c r="J34" s="15" t="n">
        <v>11200</v>
      </c>
      <c r="K34" s="15" t="n">
        <v>16100</v>
      </c>
      <c r="L34" s="15" t="n">
        <v>21000</v>
      </c>
      <c r="M34" s="15" t="n">
        <v>25900</v>
      </c>
      <c r="N34" s="15" t="n">
        <v>30100</v>
      </c>
      <c r="O34" s="15" t="n">
        <v>34300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33333.33333333334</v>
      </c>
      <c r="G36" s="15" t="n">
        <v>476190.4761904762</v>
      </c>
      <c r="H36" s="15" t="n">
        <v>4710144.927536231</v>
      </c>
      <c r="I36" s="15" t="n">
        <v>21153846.15384615</v>
      </c>
      <c r="J36" s="15" t="n">
        <v>33333333.33333333</v>
      </c>
      <c r="K36" s="15" t="n">
        <v>46264367.81609195</v>
      </c>
      <c r="L36" s="15" t="n">
        <v>58333333.33333334</v>
      </c>
      <c r="M36" s="15" t="n">
        <v>69623655.91397849</v>
      </c>
      <c r="N36" s="15" t="n">
        <v>78385416.66666667</v>
      </c>
      <c r="O36" s="15" t="n">
        <v>86616161.61616161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350000</v>
      </c>
      <c r="I37" s="15" t="n">
        <v>1100000</v>
      </c>
      <c r="J37" s="15" t="n">
        <v>1800000</v>
      </c>
      <c r="K37" s="15" t="n">
        <v>2500000</v>
      </c>
      <c r="L37" s="15" t="n">
        <v>3100000</v>
      </c>
      <c r="M37" s="15" t="n">
        <v>3600000</v>
      </c>
      <c r="N37" s="15" t="n">
        <v>4000000</v>
      </c>
      <c r="O37" s="15" t="n">
        <v>4300000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84</v>
      </c>
      <c r="I39" s="15" t="n">
        <v>290.4</v>
      </c>
      <c r="J39" s="15" t="n">
        <v>518.4</v>
      </c>
      <c r="K39" s="15" t="n">
        <v>750</v>
      </c>
      <c r="L39" s="15" t="n">
        <v>967.2</v>
      </c>
      <c r="M39" s="15" t="n">
        <v>1166.4</v>
      </c>
      <c r="N39" s="15" t="n">
        <v>1344</v>
      </c>
      <c r="O39" s="15" t="n">
        <v>1444.8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208.9942448275863</v>
      </c>
      <c r="I42" s="15" t="n">
        <v>807.0939130434782</v>
      </c>
      <c r="J42" s="15" t="n">
        <v>1661.652734976</v>
      </c>
      <c r="K42" s="15" t="n">
        <v>2387.504084810127</v>
      </c>
      <c r="L42" s="15" t="n">
        <v>2919.274877605264</v>
      </c>
      <c r="M42" s="15" t="n">
        <v>3484.791330221887</v>
      </c>
      <c r="N42" s="15" t="n">
        <v>3753.977692553846</v>
      </c>
      <c r="O42" s="15" t="n">
        <v>4111.71117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10</v>
      </c>
      <c r="G43" s="15" t="n">
        <v>130</v>
      </c>
      <c r="H43" s="15" t="n">
        <v>1150</v>
      </c>
      <c r="I43" s="15" t="n">
        <v>4400</v>
      </c>
      <c r="J43" s="15" t="n">
        <v>6600</v>
      </c>
      <c r="K43" s="15" t="n">
        <v>8600</v>
      </c>
      <c r="L43" s="15" t="n">
        <v>10500</v>
      </c>
      <c r="M43" s="15" t="n">
        <v>12000</v>
      </c>
      <c r="N43" s="15" t="n">
        <v>13300</v>
      </c>
      <c r="O43" s="15" t="n">
        <v>14400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55</v>
      </c>
      <c r="H45" s="15" t="n">
        <v>640</v>
      </c>
      <c r="I45" s="15" t="n">
        <v>2600</v>
      </c>
      <c r="J45" s="15" t="n">
        <v>4000</v>
      </c>
      <c r="K45" s="15" t="n">
        <v>5300</v>
      </c>
      <c r="L45" s="15" t="n">
        <v>6600</v>
      </c>
      <c r="M45" s="15" t="n">
        <v>7700</v>
      </c>
      <c r="N45" s="15" t="n">
        <v>8600</v>
      </c>
      <c r="O45" s="15" t="n">
        <v>9400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15</v>
      </c>
      <c r="H47" s="15" t="n">
        <v>90</v>
      </c>
      <c r="I47" s="15" t="n">
        <v>260</v>
      </c>
      <c r="J47" s="15" t="n">
        <v>420</v>
      </c>
      <c r="K47" s="15" t="n">
        <v>560</v>
      </c>
      <c r="L47" s="15" t="n">
        <v>690</v>
      </c>
      <c r="M47" s="15" t="n">
        <v>800</v>
      </c>
      <c r="N47" s="15" t="n">
        <v>890</v>
      </c>
      <c r="O47" s="15" t="n">
        <v>960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9.720000000000001</v>
      </c>
      <c r="H50" s="15" t="n">
        <v>80.19</v>
      </c>
      <c r="I50" s="15" t="n">
        <v>305.76</v>
      </c>
      <c r="J50" s="15" t="n">
        <v>564.48</v>
      </c>
      <c r="K50" s="15" t="n">
        <v>839.7311999999999</v>
      </c>
      <c r="L50" s="15" t="n">
        <v>1116.972</v>
      </c>
      <c r="M50" s="15" t="n">
        <v>1372.8</v>
      </c>
      <c r="N50" s="15" t="n">
        <v>1603.602</v>
      </c>
      <c r="O50" s="15" t="n">
        <v>1824.768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15</v>
      </c>
      <c r="H52" s="15" t="n">
        <v>75</v>
      </c>
      <c r="I52" s="15" t="n">
        <v>170</v>
      </c>
      <c r="J52" s="15" t="n">
        <v>160</v>
      </c>
      <c r="K52" s="15" t="n">
        <v>140</v>
      </c>
      <c r="L52" s="15" t="n">
        <v>130</v>
      </c>
      <c r="M52" s="15" t="n">
        <v>110</v>
      </c>
      <c r="N52" s="15" t="n">
        <v>90</v>
      </c>
      <c r="O52" s="15" t="n">
        <v>70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0.375</v>
      </c>
      <c r="H53" s="15" t="n">
        <v>1.875</v>
      </c>
      <c r="I53" s="15" t="n">
        <v>5.1</v>
      </c>
      <c r="J53" s="15" t="n">
        <v>4.8</v>
      </c>
      <c r="K53" s="15" t="n">
        <v>4.48</v>
      </c>
      <c r="L53" s="15" t="n">
        <v>4.16</v>
      </c>
      <c r="M53" s="15" t="n">
        <v>3.74</v>
      </c>
      <c r="N53" s="15" t="n">
        <v>3.06</v>
      </c>
      <c r="O53" s="15" t="n">
        <v>2.45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20</v>
      </c>
      <c r="H54" s="15" t="n">
        <v>150</v>
      </c>
      <c r="I54" s="15" t="n">
        <v>600</v>
      </c>
      <c r="J54" s="15" t="n">
        <v>1050</v>
      </c>
      <c r="K54" s="15" t="n">
        <v>1500</v>
      </c>
      <c r="L54" s="15" t="n">
        <v>1950</v>
      </c>
      <c r="M54" s="15" t="n">
        <v>2350</v>
      </c>
      <c r="N54" s="15" t="n">
        <v>2700</v>
      </c>
      <c r="O54" s="15" t="n">
        <v>3000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9.6</v>
      </c>
      <c r="H56" s="15" t="n">
        <v>81</v>
      </c>
      <c r="I56" s="15" t="n">
        <v>360</v>
      </c>
      <c r="J56" s="15" t="n">
        <v>655.2</v>
      </c>
      <c r="K56" s="15" t="n">
        <v>972</v>
      </c>
      <c r="L56" s="15" t="n">
        <v>1310.4</v>
      </c>
      <c r="M56" s="15" t="n">
        <v>1635.6</v>
      </c>
      <c r="N56" s="15" t="n">
        <v>1944</v>
      </c>
      <c r="O56" s="15" t="n">
        <v>2232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500</v>
      </c>
      <c r="G57" s="15" t="n">
        <v>3000</v>
      </c>
      <c r="H57" s="15" t="n">
        <v>9000</v>
      </c>
      <c r="I57" s="15" t="n">
        <v>20000</v>
      </c>
      <c r="J57" s="15" t="n">
        <v>30000</v>
      </c>
      <c r="K57" s="15" t="n">
        <v>38000</v>
      </c>
      <c r="L57" s="15" t="n">
        <v>45000</v>
      </c>
      <c r="M57" s="15" t="n">
        <v>50000</v>
      </c>
      <c r="N57" s="15" t="n">
        <v>54000</v>
      </c>
      <c r="O57" s="15" t="n">
        <v>57000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1.8</v>
      </c>
      <c r="G59" s="15" t="n">
        <v>11.52</v>
      </c>
      <c r="H59" s="15" t="n">
        <v>36.72</v>
      </c>
      <c r="I59" s="15" t="n">
        <v>86.40000000000001</v>
      </c>
      <c r="J59" s="15" t="n">
        <v>135</v>
      </c>
      <c r="K59" s="15" t="n">
        <v>175.56</v>
      </c>
      <c r="L59" s="15" t="n">
        <v>213.3</v>
      </c>
      <c r="M59" s="15" t="n">
        <v>243</v>
      </c>
      <c r="N59" s="15" t="n">
        <v>268.92</v>
      </c>
      <c r="O59" s="15" t="n">
        <v>287.28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17.72</v>
      </c>
      <c r="G60" s="21" t="n">
        <v>300.115</v>
      </c>
      <c r="H60" s="21" t="n">
        <v>3188.779244827586</v>
      </c>
      <c r="I60" s="21" t="n">
        <v>13998.75391304348</v>
      </c>
      <c r="J60" s="21" t="n">
        <v>23319.132734976</v>
      </c>
      <c r="K60" s="21" t="n">
        <v>32789.27528481012</v>
      </c>
      <c r="L60" s="21" t="n">
        <v>41925.30687760528</v>
      </c>
      <c r="M60" s="21" t="n">
        <v>50563.13133022188</v>
      </c>
      <c r="N60" s="21" t="n">
        <v>57976.55969255384</v>
      </c>
      <c r="O60" s="21" t="n">
        <v>64889.00917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82.28</v>
      </c>
      <c r="G62" s="21" t="n">
        <v>699.885</v>
      </c>
      <c r="H62" s="21" t="n">
        <v>5811.220755172414</v>
      </c>
      <c r="I62" s="21" t="n">
        <v>33001.24608695653</v>
      </c>
      <c r="J62" s="21" t="n">
        <v>56680.867265024</v>
      </c>
      <c r="K62" s="21" t="n">
        <v>82210.72471518988</v>
      </c>
      <c r="L62" s="21" t="n">
        <v>108074.6931223947</v>
      </c>
      <c r="M62" s="21" t="n">
        <v>134436.8686697781</v>
      </c>
      <c r="N62" s="21" t="n">
        <v>157023.4403074462</v>
      </c>
      <c r="O62" s="21" t="n">
        <v>180110.99083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23.66515289131093</v>
      </c>
      <c r="G64" s="22" t="n">
        <v>184.4837401041781</v>
      </c>
      <c r="H64" s="22" t="n">
        <v>1401.404743476602</v>
      </c>
      <c r="I64" s="22" t="n">
        <v>10794.69046433905</v>
      </c>
      <c r="J64" s="22" t="n">
        <v>19156.81561255772</v>
      </c>
      <c r="K64" s="22" t="n">
        <v>30990.37723722057</v>
      </c>
      <c r="L64" s="22" t="n">
        <v>45447.07122129093</v>
      </c>
      <c r="M64" s="22" t="n">
        <v>59996.76834076789</v>
      </c>
      <c r="N64" s="22" t="n">
        <v>76295.27359442975</v>
      </c>
      <c r="O64" s="22" t="n">
        <v>90412.2565284954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18.68301544050863</v>
      </c>
      <c r="G65" s="22" t="n">
        <v>151.2161804132607</v>
      </c>
      <c r="H65" s="22" t="n">
        <v>1208.107537479829</v>
      </c>
      <c r="I65" s="22" t="n">
        <v>9386.687360294822</v>
      </c>
      <c r="J65" s="22" t="n">
        <v>16857.9977390508</v>
      </c>
      <c r="K65" s="22" t="n">
        <v>27459.82793171443</v>
      </c>
      <c r="L65" s="22" t="n">
        <v>40663.16898747084</v>
      </c>
      <c r="M65" s="22" t="n">
        <v>53770.68860729197</v>
      </c>
      <c r="N65" s="22" t="n">
        <v>68470.1173283344</v>
      </c>
      <c r="O65" s="22" t="n">
        <v>81229.76172482008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4.982137450802301</v>
      </c>
      <c r="G66" s="22" t="n">
        <v>33.26755969091735</v>
      </c>
      <c r="H66" s="22" t="n">
        <v>193.2972059967728</v>
      </c>
      <c r="I66" s="22" t="n">
        <v>1408.003104044224</v>
      </c>
      <c r="J66" s="22" t="n">
        <v>2298.817873506926</v>
      </c>
      <c r="K66" s="22" t="n">
        <v>3530.549305506143</v>
      </c>
      <c r="L66" s="22" t="n">
        <v>4783.902233820098</v>
      </c>
      <c r="M66" s="22" t="n">
        <v>6226.079733475911</v>
      </c>
      <c r="N66" s="22" t="n">
        <v>7825.156266095356</v>
      </c>
      <c r="O66" s="22" t="n">
        <v>9182.494803675314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12.45534362700575</v>
      </c>
      <c r="G67" s="15" t="n">
        <v>60.48647216530428</v>
      </c>
      <c r="H67" s="15" t="n">
        <v>241.6215074959658</v>
      </c>
      <c r="I67" s="15" t="n">
        <v>1173.335920036853</v>
      </c>
      <c r="J67" s="15" t="n">
        <v>1532.545249004618</v>
      </c>
      <c r="K67" s="15" t="n">
        <v>1961.416280836745</v>
      </c>
      <c r="L67" s="15" t="n">
        <v>2391.951116910049</v>
      </c>
      <c r="M67" s="15" t="n">
        <v>2830.036242489051</v>
      </c>
      <c r="N67" s="15" t="n">
        <v>3260.481777539732</v>
      </c>
      <c r="O67" s="15" t="n">
        <v>3531.728770644352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2761939.368278734</v>
      </c>
      <c r="H68" s="15" t="n">
        <v>2206589.109552199</v>
      </c>
      <c r="I68" s="15" t="n">
        <v>3214618.959005076</v>
      </c>
      <c r="J68" s="15" t="n">
        <v>2469855.356977628</v>
      </c>
      <c r="K68" s="15" t="n">
        <v>2239059.681320485</v>
      </c>
      <c r="L68" s="15" t="n">
        <v>2113964.752019486</v>
      </c>
      <c r="M68" s="15" t="n">
        <v>2095547.014060756</v>
      </c>
      <c r="N68" s="15" t="n">
        <v>2126863.520900021</v>
      </c>
      <c r="O68" s="15" t="n">
        <v>2103471.572748274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23.68515289131093</v>
      </c>
      <c r="G70" s="22" t="n">
        <v>184.8837401041781</v>
      </c>
      <c r="H70" s="22" t="n">
        <v>1457.804743476602</v>
      </c>
      <c r="I70" s="22" t="n">
        <v>11092.69046433905</v>
      </c>
      <c r="J70" s="22" t="n">
        <v>19780.41561255772</v>
      </c>
      <c r="K70" s="22" t="n">
        <v>31982.37723722057</v>
      </c>
      <c r="L70" s="22" t="n">
        <v>46796.67122129093</v>
      </c>
      <c r="M70" s="22" t="n">
        <v>61701.96834076788</v>
      </c>
      <c r="N70" s="22" t="n">
        <v>78295.27359442975</v>
      </c>
      <c r="O70" s="22" t="n">
        <v>92676.2565284954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10.65831880108992</v>
      </c>
      <c r="G71" s="22" t="n">
        <v>73.95349604167124</v>
      </c>
      <c r="H71" s="22" t="n">
        <v>510.2316602168107</v>
      </c>
      <c r="I71" s="22" t="n">
        <v>3327.807139301714</v>
      </c>
      <c r="J71" s="22" t="n">
        <v>5538.516371516163</v>
      </c>
      <c r="K71" s="22" t="n">
        <v>8315.41808167735</v>
      </c>
      <c r="L71" s="22" t="n">
        <v>11699.16780532273</v>
      </c>
      <c r="M71" s="22" t="n">
        <v>14808.47240178429</v>
      </c>
      <c r="N71" s="22" t="n">
        <v>18007.91292671884</v>
      </c>
      <c r="O71" s="22" t="n">
        <v>20388.77643626899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5.921288222827733</v>
      </c>
      <c r="G72" s="22" t="n">
        <v>36.97674802083562</v>
      </c>
      <c r="H72" s="22" t="n">
        <v>218.6707115214903</v>
      </c>
      <c r="I72" s="22" t="n">
        <v>1331.122855720685</v>
      </c>
      <c r="J72" s="22" t="n">
        <v>2175.845717381349</v>
      </c>
      <c r="K72" s="22" t="n">
        <v>3198.237723722058</v>
      </c>
      <c r="L72" s="22" t="n">
        <v>4679.667122129094</v>
      </c>
      <c r="M72" s="22" t="n">
        <v>5553.177150669109</v>
      </c>
      <c r="N72" s="22" t="n">
        <v>7046.574623498677</v>
      </c>
      <c r="O72" s="22" t="n">
        <v>7414.100522279632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40.26475991522859</v>
      </c>
      <c r="G73" s="22" t="n">
        <v>295.8139841666849</v>
      </c>
      <c r="H73" s="22" t="n">
        <v>2186.707115214903</v>
      </c>
      <c r="I73" s="22" t="n">
        <v>15751.62045936145</v>
      </c>
      <c r="J73" s="22" t="n">
        <v>27494.77770145523</v>
      </c>
      <c r="K73" s="22" t="n">
        <v>43496.03304261998</v>
      </c>
      <c r="L73" s="22" t="n">
        <v>63175.50614874277</v>
      </c>
      <c r="M73" s="22" t="n">
        <v>82063.61789322129</v>
      </c>
      <c r="N73" s="22" t="n">
        <v>103349.7611446473</v>
      </c>
      <c r="O73" s="22" t="n">
        <v>120479.133487044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3358566.567122717</v>
      </c>
      <c r="F74" s="15" t="n">
        <v>3155545.447901926</v>
      </c>
      <c r="G74" s="15" t="n">
        <v>2862715.975806628</v>
      </c>
      <c r="H74" s="15" t="n">
        <v>2822349.250838539</v>
      </c>
      <c r="I74" s="15" t="n">
        <v>4051153.262870609</v>
      </c>
      <c r="J74" s="15" t="n">
        <v>4176724.043189813</v>
      </c>
      <c r="K74" s="15" t="n">
        <v>4555605.565696159</v>
      </c>
      <c r="L74" s="15" t="n">
        <v>5105091.405959012</v>
      </c>
      <c r="M74" s="15" t="n">
        <v>5419767.489391774</v>
      </c>
      <c r="N74" s="15" t="n">
        <v>5930671.886887036</v>
      </c>
      <c r="O74" s="15" t="n">
        <v>6138599.161393358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1798076.923076923</v>
      </c>
      <c r="F75" s="15" t="n">
        <v>12760000</v>
      </c>
      <c r="G75" s="15" t="n">
        <v>103333333.3333333</v>
      </c>
      <c r="H75" s="15" t="n">
        <v>774782608.6956522</v>
      </c>
      <c r="I75" s="15" t="n">
        <v>3888181818.181818</v>
      </c>
      <c r="J75" s="15" t="n">
        <v>6582857142.857143</v>
      </c>
      <c r="K75" s="15" t="n">
        <v>9547804878.048782</v>
      </c>
      <c r="L75" s="15" t="n">
        <v>12375000000</v>
      </c>
      <c r="M75" s="15" t="n">
        <v>15141538461.53846</v>
      </c>
      <c r="N75" s="15" t="n">
        <v>17426315789.47369</v>
      </c>
      <c r="O75" s="15" t="n">
        <v>19626486486.48649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3269230.769230769</v>
      </c>
      <c r="F77" s="15" t="n">
        <v>22000000</v>
      </c>
      <c r="G77" s="15" t="n">
        <v>166666666.6666667</v>
      </c>
      <c r="H77" s="15" t="n">
        <v>1173913043.478261</v>
      </c>
      <c r="I77" s="15" t="n">
        <v>5554545454.545454</v>
      </c>
      <c r="J77" s="15" t="n">
        <v>9142857142.857143</v>
      </c>
      <c r="K77" s="15" t="n">
        <v>12902439024.39025</v>
      </c>
      <c r="L77" s="15" t="n">
        <v>16500000000</v>
      </c>
      <c r="M77" s="15" t="n">
        <v>19923076923.07692</v>
      </c>
      <c r="N77" s="15" t="n">
        <v>22631578947.36842</v>
      </c>
      <c r="O77" s="15" t="n">
        <v>25162162162.16216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8.5</v>
      </c>
      <c r="F79" s="15" t="n">
        <v>55.00000000000001</v>
      </c>
      <c r="G79" s="15" t="n">
        <v>400</v>
      </c>
      <c r="H79" s="15" t="n">
        <v>2700</v>
      </c>
      <c r="I79" s="15" t="n">
        <v>12220</v>
      </c>
      <c r="J79" s="15" t="n">
        <v>19200</v>
      </c>
      <c r="K79" s="15" t="n">
        <v>26450</v>
      </c>
      <c r="L79" s="15" t="n">
        <v>33000</v>
      </c>
      <c r="M79" s="15" t="n">
        <v>38850</v>
      </c>
      <c r="N79" s="15" t="n">
        <v>43000</v>
      </c>
      <c r="O79" s="15" t="n">
        <v>46550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3</v>
      </c>
      <c r="G80" s="15" t="n">
        <v>20</v>
      </c>
      <c r="H80" s="15" t="n">
        <v>120</v>
      </c>
      <c r="I80" s="15" t="n">
        <v>480</v>
      </c>
      <c r="J80" s="15" t="n">
        <v>800</v>
      </c>
      <c r="K80" s="15" t="n">
        <v>1150</v>
      </c>
      <c r="L80" s="15" t="n">
        <v>1500</v>
      </c>
      <c r="M80" s="15" t="n">
        <v>1850</v>
      </c>
      <c r="N80" s="15" t="n">
        <v>2150</v>
      </c>
      <c r="O80" s="15" t="n">
        <v>2450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0.054</v>
      </c>
      <c r="G82" s="15" t="n">
        <v>0.32</v>
      </c>
      <c r="H82" s="15" t="n">
        <v>1.68</v>
      </c>
      <c r="I82" s="15" t="n">
        <v>5.76</v>
      </c>
      <c r="J82" s="15" t="n">
        <v>8.800000000000001</v>
      </c>
      <c r="K82" s="15" t="n">
        <v>11.5</v>
      </c>
      <c r="L82" s="15" t="n">
        <v>13.5</v>
      </c>
      <c r="M82" s="15" t="n">
        <v>16.65</v>
      </c>
      <c r="N82" s="15" t="n">
        <v>17.2</v>
      </c>
      <c r="O82" s="15" t="n">
        <v>19.6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1</v>
      </c>
      <c r="G83" s="15" t="n">
        <v>6</v>
      </c>
      <c r="H83" s="15" t="n">
        <v>35</v>
      </c>
      <c r="I83" s="15" t="n">
        <v>120</v>
      </c>
      <c r="J83" s="15" t="n">
        <v>190</v>
      </c>
      <c r="K83" s="15" t="n">
        <v>260</v>
      </c>
      <c r="L83" s="15" t="n">
        <v>330</v>
      </c>
      <c r="M83" s="15" t="n">
        <v>400</v>
      </c>
      <c r="N83" s="15" t="n">
        <v>460</v>
      </c>
      <c r="O83" s="15" t="n">
        <v>520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2</v>
      </c>
      <c r="G84" s="15" t="n">
        <v>10</v>
      </c>
      <c r="H84" s="15" t="n">
        <v>55</v>
      </c>
      <c r="I84" s="15" t="n">
        <v>200</v>
      </c>
      <c r="J84" s="15" t="n">
        <v>320</v>
      </c>
      <c r="K84" s="15" t="n">
        <v>440</v>
      </c>
      <c r="L84" s="15" t="n">
        <v>560</v>
      </c>
      <c r="M84" s="15" t="n">
        <v>680</v>
      </c>
      <c r="N84" s="15" t="n">
        <v>780</v>
      </c>
      <c r="O84" s="15" t="n">
        <v>880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2.013237995761429</v>
      </c>
      <c r="G87" s="15" t="n">
        <v>11.8325593666674</v>
      </c>
      <c r="H87" s="15" t="n">
        <v>76.5347490325216</v>
      </c>
      <c r="I87" s="15" t="n">
        <v>472.5486137808434</v>
      </c>
      <c r="J87" s="15" t="n">
        <v>769.8537756407466</v>
      </c>
      <c r="K87" s="15" t="n">
        <v>1130.89685910812</v>
      </c>
      <c r="L87" s="15" t="n">
        <v>1579.387653718569</v>
      </c>
      <c r="M87" s="15" t="n">
        <v>1969.526829437311</v>
      </c>
      <c r="N87" s="15" t="n">
        <v>2377.044506326887</v>
      </c>
      <c r="O87" s="15" t="n">
        <v>2650.540936714969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120000</v>
      </c>
      <c r="G88" s="15" t="n">
        <v>700000</v>
      </c>
      <c r="H88" s="15" t="n">
        <v>3500000</v>
      </c>
      <c r="I88" s="15" t="n">
        <v>12000000</v>
      </c>
      <c r="J88" s="15" t="n">
        <v>19000000</v>
      </c>
      <c r="K88" s="15" t="n">
        <v>26000000</v>
      </c>
      <c r="L88" s="15" t="n">
        <v>33000000</v>
      </c>
      <c r="M88" s="15" t="n">
        <v>39000000</v>
      </c>
      <c r="N88" s="15" t="n">
        <v>44000000</v>
      </c>
      <c r="O88" s="15" t="n">
        <v>48000000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0.48</v>
      </c>
      <c r="G90" s="15" t="n">
        <v>2.66</v>
      </c>
      <c r="H90" s="15" t="n">
        <v>12.6</v>
      </c>
      <c r="I90" s="15" t="n">
        <v>42</v>
      </c>
      <c r="J90" s="15" t="n">
        <v>64.59999999999999</v>
      </c>
      <c r="K90" s="15" t="n">
        <v>85.8</v>
      </c>
      <c r="L90" s="15" t="n">
        <v>105.6</v>
      </c>
      <c r="M90" s="15" t="n">
        <v>124.8</v>
      </c>
      <c r="N90" s="15" t="n">
        <v>136.4</v>
      </c>
      <c r="O90" s="15" t="n">
        <v>144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84.8</v>
      </c>
      <c r="G91" s="15" t="n">
        <v>747.9</v>
      </c>
      <c r="H91" s="15" t="n">
        <v>6424</v>
      </c>
      <c r="I91" s="15" t="n">
        <v>35342.00000000001</v>
      </c>
      <c r="J91" s="15" t="n">
        <v>61142.00000000001</v>
      </c>
      <c r="K91" s="15" t="n">
        <v>88719.99999999999</v>
      </c>
      <c r="L91" s="15" t="n">
        <v>116478</v>
      </c>
      <c r="M91" s="15" t="n">
        <v>144676</v>
      </c>
      <c r="N91" s="15" t="n">
        <v>168647</v>
      </c>
      <c r="O91" s="15" t="n">
        <v>193038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2.3744</v>
      </c>
      <c r="G93" s="15" t="n">
        <v>20.1933</v>
      </c>
      <c r="H93" s="15" t="n">
        <v>167.024</v>
      </c>
      <c r="I93" s="15" t="n">
        <v>883.5500000000002</v>
      </c>
      <c r="J93" s="15" t="n">
        <v>1467.408</v>
      </c>
      <c r="K93" s="15" t="n">
        <v>2129.28</v>
      </c>
      <c r="L93" s="15" t="n">
        <v>2678.994</v>
      </c>
      <c r="M93" s="15" t="n">
        <v>3327.547999999999</v>
      </c>
      <c r="N93" s="15" t="n">
        <v>3710.234</v>
      </c>
      <c r="O93" s="15" t="n">
        <v>4246.835999999999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1.6</v>
      </c>
      <c r="G95" s="15" t="n">
        <v>36</v>
      </c>
      <c r="H95" s="15" t="n">
        <v>454.9999999999999</v>
      </c>
      <c r="I95" s="15" t="n">
        <v>2508</v>
      </c>
      <c r="J95" s="15" t="n">
        <v>4480</v>
      </c>
      <c r="K95" s="15" t="n">
        <v>6440</v>
      </c>
      <c r="L95" s="15" t="n">
        <v>8400</v>
      </c>
      <c r="M95" s="15" t="n">
        <v>10101</v>
      </c>
      <c r="N95" s="15" t="n">
        <v>11739</v>
      </c>
      <c r="O95" s="15" t="n">
        <v>13034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0.48</v>
      </c>
      <c r="G97" s="15" t="n">
        <v>10.8</v>
      </c>
      <c r="H97" s="15" t="n">
        <v>127.4</v>
      </c>
      <c r="I97" s="15" t="n">
        <v>501.6</v>
      </c>
      <c r="J97" s="15" t="n">
        <v>896</v>
      </c>
      <c r="K97" s="15" t="n">
        <v>1159.2</v>
      </c>
      <c r="L97" s="15" t="n">
        <v>1512</v>
      </c>
      <c r="M97" s="15" t="n">
        <v>1717.17</v>
      </c>
      <c r="N97" s="15" t="n">
        <v>1995.63</v>
      </c>
      <c r="O97" s="15" t="n">
        <v>1955.1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0.3333333333333333</v>
      </c>
      <c r="G99" s="15" t="n">
        <v>3</v>
      </c>
      <c r="H99" s="15" t="n">
        <v>12</v>
      </c>
      <c r="I99" s="15" t="n">
        <v>33.33333333333334</v>
      </c>
      <c r="J99" s="15" t="n">
        <v>53.125</v>
      </c>
      <c r="K99" s="15" t="n">
        <v>70.58823529411765</v>
      </c>
      <c r="L99" s="15" t="n">
        <v>86.11111111111111</v>
      </c>
      <c r="M99" s="15" t="n">
        <v>97.36842105263158</v>
      </c>
      <c r="N99" s="15" t="n">
        <v>105</v>
      </c>
      <c r="O99" s="15" t="n">
        <v>109.5238095238095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0.06</v>
      </c>
      <c r="G101" s="15" t="n">
        <v>0.57</v>
      </c>
      <c r="H101" s="15" t="n">
        <v>2.4</v>
      </c>
      <c r="I101" s="15" t="n">
        <v>7.000000000000001</v>
      </c>
      <c r="J101" s="15" t="n">
        <v>11.58125</v>
      </c>
      <c r="K101" s="15" t="n">
        <v>15.88235294117647</v>
      </c>
      <c r="L101" s="15" t="n">
        <v>19.97777777777778</v>
      </c>
      <c r="M101" s="15" t="n">
        <v>23.17368421052631</v>
      </c>
      <c r="N101" s="15" t="n">
        <v>25.62</v>
      </c>
      <c r="O101" s="15" t="n">
        <v>27.38095238095238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20</v>
      </c>
      <c r="G102" s="15" t="n">
        <v>150</v>
      </c>
      <c r="H102" s="15" t="n">
        <v>800</v>
      </c>
      <c r="I102" s="15" t="n">
        <v>2600</v>
      </c>
      <c r="J102" s="15" t="n">
        <v>4200</v>
      </c>
      <c r="K102" s="15" t="n">
        <v>5800</v>
      </c>
      <c r="L102" s="15" t="n">
        <v>7300</v>
      </c>
      <c r="M102" s="15" t="n">
        <v>8600</v>
      </c>
      <c r="N102" s="15" t="n">
        <v>9700</v>
      </c>
      <c r="O102" s="15" t="n">
        <v>10600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0.12</v>
      </c>
      <c r="G104" s="15" t="n">
        <v>0.825</v>
      </c>
      <c r="H104" s="15" t="n">
        <v>4</v>
      </c>
      <c r="I104" s="15" t="n">
        <v>11.7</v>
      </c>
      <c r="J104" s="15" t="n">
        <v>17.64</v>
      </c>
      <c r="K104" s="15" t="n">
        <v>23.2</v>
      </c>
      <c r="L104" s="15" t="n">
        <v>27.74</v>
      </c>
      <c r="M104" s="15" t="n">
        <v>30.96</v>
      </c>
      <c r="N104" s="15" t="n">
        <v>33.95</v>
      </c>
      <c r="O104" s="15" t="n">
        <v>36.04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9.693948051948052</v>
      </c>
      <c r="F105" s="21" t="n">
        <v>63.58163799576143</v>
      </c>
      <c r="G105" s="21" t="n">
        <v>463.2008593666674</v>
      </c>
      <c r="H105" s="21" t="n">
        <v>3181.638749032521</v>
      </c>
      <c r="I105" s="21" t="n">
        <v>14464.15861378085</v>
      </c>
      <c r="J105" s="21" t="n">
        <v>22945.88302564074</v>
      </c>
      <c r="K105" s="21" t="n">
        <v>31705.7592120493</v>
      </c>
      <c r="L105" s="21" t="n">
        <v>39827.19943149634</v>
      </c>
      <c r="M105" s="21" t="n">
        <v>47139.82851364784</v>
      </c>
      <c r="N105" s="21" t="n">
        <v>52536.07850632688</v>
      </c>
      <c r="O105" s="21" t="n">
        <v>57029.49788909592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0.03060519480519486</v>
      </c>
      <c r="F106" s="25" t="n">
        <v>0.3641836200423857</v>
      </c>
      <c r="G106" s="25" t="n">
        <v>0.5367991406333326</v>
      </c>
      <c r="H106" s="25" t="n">
        <v>0.6464845834408309</v>
      </c>
      <c r="I106" s="25" t="n">
        <v>0.6922519443876416</v>
      </c>
      <c r="J106" s="25" t="n">
        <v>0.7131764621794907</v>
      </c>
      <c r="K106" s="25" t="n">
        <v>0.72429774598218</v>
      </c>
      <c r="L106" s="25" t="n">
        <v>0.7344853371233577</v>
      </c>
      <c r="M106" s="25" t="n">
        <v>0.7451901161424441</v>
      </c>
      <c r="N106" s="25" t="n">
        <v>0.7556461464822005</v>
      </c>
      <c r="O106" s="25" t="n">
        <v>0.7672265392281798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10.5</v>
      </c>
      <c r="F115" s="15" t="n">
        <v>36</v>
      </c>
      <c r="G115" s="15" t="n">
        <v>1050</v>
      </c>
      <c r="H115" s="15" t="n">
        <v>1215</v>
      </c>
      <c r="I115" s="15" t="n">
        <v>6063</v>
      </c>
      <c r="J115" s="15" t="n">
        <v>8400</v>
      </c>
      <c r="K115" s="15" t="n">
        <v>10350</v>
      </c>
      <c r="L115" s="15" t="n">
        <v>11700</v>
      </c>
      <c r="M115" s="15" t="n">
        <v>12765</v>
      </c>
      <c r="N115" s="15" t="n">
        <v>13545</v>
      </c>
      <c r="O115" s="15" t="n">
        <v>13965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41</v>
      </c>
      <c r="F117" s="15" t="n">
        <v>145</v>
      </c>
      <c r="G117" s="15" t="n">
        <v>4050</v>
      </c>
      <c r="H117" s="15" t="n">
        <v>4950</v>
      </c>
      <c r="I117" s="15" t="n">
        <v>24440</v>
      </c>
      <c r="J117" s="15" t="n">
        <v>34400</v>
      </c>
      <c r="K117" s="15" t="n">
        <v>42550</v>
      </c>
      <c r="L117" s="15" t="n">
        <v>48000</v>
      </c>
      <c r="M117" s="15" t="n">
        <v>52725</v>
      </c>
      <c r="N117" s="15" t="n">
        <v>55900</v>
      </c>
      <c r="O117" s="15" t="n">
        <v>57575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63</v>
      </c>
      <c r="F118" s="21" t="n">
        <v>226.6</v>
      </c>
      <c r="G118" s="21" t="n">
        <v>4376.5</v>
      </c>
      <c r="H118" s="21" t="n">
        <v>6236</v>
      </c>
      <c r="I118" s="21" t="n">
        <v>28150</v>
      </c>
      <c r="J118" s="21" t="n">
        <v>39946</v>
      </c>
      <c r="K118" s="21" t="n">
        <v>49680</v>
      </c>
      <c r="L118" s="21" t="n">
        <v>56532</v>
      </c>
      <c r="M118" s="21" t="n">
        <v>62347.5</v>
      </c>
      <c r="N118" s="21" t="n">
        <v>66359.5</v>
      </c>
      <c r="O118" s="21" t="n">
        <v>68869.5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5.25</v>
      </c>
      <c r="F142" s="15" t="n">
        <v>23.25</v>
      </c>
      <c r="G142" s="15" t="n">
        <v>543</v>
      </c>
      <c r="H142" s="15" t="n">
        <v>1132.5</v>
      </c>
      <c r="I142" s="15" t="n">
        <v>3639</v>
      </c>
      <c r="J142" s="15" t="n">
        <v>7231.5</v>
      </c>
      <c r="K142" s="15" t="n">
        <v>9375</v>
      </c>
      <c r="L142" s="15" t="n">
        <v>11025</v>
      </c>
      <c r="M142" s="15" t="n">
        <v>12232.5</v>
      </c>
      <c r="N142" s="15" t="n">
        <v>13155</v>
      </c>
      <c r="O142" s="15" t="n">
        <v>13755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5.75</v>
      </c>
      <c r="F147" s="21" t="n">
        <v>25.75</v>
      </c>
      <c r="G147" s="21" t="n">
        <v>555.5</v>
      </c>
      <c r="H147" s="21" t="n">
        <v>1189</v>
      </c>
      <c r="I147" s="21" t="n">
        <v>3975</v>
      </c>
      <c r="J147" s="21" t="n">
        <v>8205.5</v>
      </c>
      <c r="K147" s="21" t="n">
        <v>11172.33333333333</v>
      </c>
      <c r="L147" s="21" t="n">
        <v>13905.66666666667</v>
      </c>
      <c r="M147" s="21" t="n">
        <v>16319.16666666667</v>
      </c>
      <c r="N147" s="21" t="n">
        <v>18328.33333333334</v>
      </c>
      <c r="O147" s="21" t="n">
        <v>19755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0.3060519480519481</v>
      </c>
      <c r="F149" s="21" t="n">
        <v>36.41836200423857</v>
      </c>
      <c r="G149" s="21" t="n">
        <v>536.7991406333326</v>
      </c>
      <c r="H149" s="21" t="n">
        <v>5818.361250967479</v>
      </c>
      <c r="I149" s="21" t="n">
        <v>32535.84138621915</v>
      </c>
      <c r="J149" s="21" t="n">
        <v>57054.11697435926</v>
      </c>
      <c r="K149" s="21" t="n">
        <v>83294.24078795071</v>
      </c>
      <c r="L149" s="21" t="n">
        <v>110172.8005685036</v>
      </c>
      <c r="M149" s="21" t="n">
        <v>137860.1714863522</v>
      </c>
      <c r="N149" s="21" t="n">
        <v>162463.9214936731</v>
      </c>
      <c r="O149" s="21" t="n">
        <v>187970.5021109041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-75.80394805194805</v>
      </c>
      <c r="F150" s="21" t="n">
        <v>-244.2716379957614</v>
      </c>
      <c r="G150" s="21" t="n">
        <v>-4514.000859366668</v>
      </c>
      <c r="H150" s="21" t="n">
        <v>-2191.738749032521</v>
      </c>
      <c r="I150" s="21" t="n">
        <v>-1922.158613780848</v>
      </c>
      <c r="J150" s="21" t="n">
        <v>5269.116974359262</v>
      </c>
      <c r="K150" s="21" t="n">
        <v>17741.90745461737</v>
      </c>
      <c r="L150" s="21" t="n">
        <v>34081.93390183698</v>
      </c>
      <c r="M150" s="21" t="n">
        <v>52737.50481968549</v>
      </c>
      <c r="N150" s="21" t="n">
        <v>70598.78816033978</v>
      </c>
      <c r="O150" s="21" t="n">
        <v>91561.80211090409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-84.34794805194805</v>
      </c>
      <c r="F151" s="21" t="n">
        <v>-276.6446379957614</v>
      </c>
      <c r="G151" s="21" t="n">
        <v>-4593.650859366668</v>
      </c>
      <c r="H151" s="21" t="n">
        <v>-2434.343749032521</v>
      </c>
      <c r="I151" s="21" t="n">
        <v>-3150.308613780848</v>
      </c>
      <c r="J151" s="21" t="n">
        <v>3529.366974359262</v>
      </c>
      <c r="K151" s="21" t="n">
        <v>15698.90745461737</v>
      </c>
      <c r="L151" s="21" t="n">
        <v>31820.14990183698</v>
      </c>
      <c r="M151" s="21" t="n">
        <v>50332.10481968549</v>
      </c>
      <c r="N151" s="21" t="n">
        <v>68128.86416033978</v>
      </c>
      <c r="O151" s="21" t="n">
        <v>89054.87011090408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-7.580394805194805</v>
      </c>
      <c r="F152" s="25" t="n">
        <v>-2.442716379957614</v>
      </c>
      <c r="G152" s="25" t="n">
        <v>-4.514000859366668</v>
      </c>
      <c r="H152" s="25" t="n">
        <v>-0.2435265276702802</v>
      </c>
      <c r="I152" s="25" t="n">
        <v>-0.04089699178257124</v>
      </c>
      <c r="J152" s="25" t="n">
        <v>0.06586396217949077</v>
      </c>
      <c r="K152" s="25" t="n">
        <v>0.1542774561271076</v>
      </c>
      <c r="L152" s="25" t="n">
        <v>0.2272128926789132</v>
      </c>
      <c r="M152" s="25" t="n">
        <v>0.2850675936199216</v>
      </c>
      <c r="N152" s="25" t="n">
        <v>0.3283664565597199</v>
      </c>
      <c r="O152" s="25" t="n">
        <v>0.3737216412689963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Base/Recognized  (data block D2)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85</v>
      </c>
      <c r="G4" s="15" t="n">
        <v>600</v>
      </c>
      <c r="H4" s="15" t="n">
        <v>4680</v>
      </c>
      <c r="I4" s="15" t="n">
        <v>23500</v>
      </c>
      <c r="J4" s="15" t="n">
        <v>49600</v>
      </c>
      <c r="K4" s="15" t="n">
        <v>82800</v>
      </c>
      <c r="L4" s="15" t="n">
        <v>120000</v>
      </c>
      <c r="M4" s="15" t="n">
        <v>157250</v>
      </c>
      <c r="N4" s="15" t="n">
        <v>189200</v>
      </c>
      <c r="O4" s="15" t="n">
        <v>220500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4.25</v>
      </c>
      <c r="G29" s="15" t="n">
        <v>36</v>
      </c>
      <c r="H29" s="15" t="n">
        <v>156</v>
      </c>
      <c r="I29" s="15" t="n">
        <v>500</v>
      </c>
      <c r="J29" s="15" t="n">
        <v>1054</v>
      </c>
      <c r="K29" s="15" t="n">
        <v>1728</v>
      </c>
      <c r="L29" s="15" t="n">
        <v>2480</v>
      </c>
      <c r="M29" s="15" t="n">
        <v>3145</v>
      </c>
      <c r="N29" s="15" t="n">
        <v>3696</v>
      </c>
      <c r="O29" s="15" t="n">
        <v>4140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1700</v>
      </c>
      <c r="G31" s="15" t="n">
        <v>24000</v>
      </c>
      <c r="H31" s="15" t="n">
        <v>130000</v>
      </c>
      <c r="I31" s="15" t="n">
        <v>450000</v>
      </c>
      <c r="J31" s="15" t="n">
        <v>992000</v>
      </c>
      <c r="K31" s="15" t="n">
        <v>1656000</v>
      </c>
      <c r="L31" s="15" t="n">
        <v>2400000</v>
      </c>
      <c r="M31" s="15" t="n">
        <v>3060000</v>
      </c>
      <c r="N31" s="15" t="n">
        <v>3608000</v>
      </c>
      <c r="O31" s="15" t="n">
        <v>4050000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0.612</v>
      </c>
      <c r="G33" s="15" t="n">
        <v>10.08</v>
      </c>
      <c r="H33" s="15" t="n">
        <v>62.4</v>
      </c>
      <c r="I33" s="15" t="n">
        <v>243</v>
      </c>
      <c r="J33" s="15" t="n">
        <v>571.3920000000001</v>
      </c>
      <c r="K33" s="15" t="n">
        <v>993.6</v>
      </c>
      <c r="L33" s="15" t="n">
        <v>1497.6</v>
      </c>
      <c r="M33" s="15" t="n">
        <v>1982.88</v>
      </c>
      <c r="N33" s="15" t="n">
        <v>2381.28</v>
      </c>
      <c r="O33" s="15" t="n">
        <v>2721.6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6.8</v>
      </c>
      <c r="G34" s="15" t="n">
        <v>72</v>
      </c>
      <c r="H34" s="15" t="n">
        <v>676</v>
      </c>
      <c r="I34" s="15" t="n">
        <v>3300</v>
      </c>
      <c r="J34" s="15" t="n">
        <v>6944</v>
      </c>
      <c r="K34" s="15" t="n">
        <v>11592</v>
      </c>
      <c r="L34" s="15" t="n">
        <v>16800</v>
      </c>
      <c r="M34" s="15" t="n">
        <v>22015</v>
      </c>
      <c r="N34" s="15" t="n">
        <v>26488</v>
      </c>
      <c r="O34" s="15" t="n">
        <v>30870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28333.33333333333</v>
      </c>
      <c r="G36" s="15" t="n">
        <v>285714.2857142857</v>
      </c>
      <c r="H36" s="15" t="n">
        <v>2449275.362318841</v>
      </c>
      <c r="I36" s="15" t="n">
        <v>10576923.07692308</v>
      </c>
      <c r="J36" s="15" t="n">
        <v>20666666.66666667</v>
      </c>
      <c r="K36" s="15" t="n">
        <v>33310344.82758621</v>
      </c>
      <c r="L36" s="15" t="n">
        <v>46666666.66666666</v>
      </c>
      <c r="M36" s="15" t="n">
        <v>59180107.52688172</v>
      </c>
      <c r="N36" s="15" t="n">
        <v>68979166.66666667</v>
      </c>
      <c r="O36" s="15" t="n">
        <v>77954545.45454545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182000</v>
      </c>
      <c r="I37" s="15" t="n">
        <v>550000</v>
      </c>
      <c r="J37" s="15" t="n">
        <v>1116000</v>
      </c>
      <c r="K37" s="15" t="n">
        <v>1800000</v>
      </c>
      <c r="L37" s="15" t="n">
        <v>2480000</v>
      </c>
      <c r="M37" s="15" t="n">
        <v>3060000</v>
      </c>
      <c r="N37" s="15" t="n">
        <v>3520000</v>
      </c>
      <c r="O37" s="15" t="n">
        <v>3870000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43.68</v>
      </c>
      <c r="I39" s="15" t="n">
        <v>145.2</v>
      </c>
      <c r="J39" s="15" t="n">
        <v>321.408</v>
      </c>
      <c r="K39" s="15" t="n">
        <v>540</v>
      </c>
      <c r="L39" s="15" t="n">
        <v>773.76</v>
      </c>
      <c r="M39" s="15" t="n">
        <v>991.4400000000001</v>
      </c>
      <c r="N39" s="15" t="n">
        <v>1182.72</v>
      </c>
      <c r="O39" s="15" t="n">
        <v>1300.32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108.6770073103449</v>
      </c>
      <c r="I42" s="15" t="n">
        <v>403.5469565217391</v>
      </c>
      <c r="J42" s="15" t="n">
        <v>1030.22469568512</v>
      </c>
      <c r="K42" s="15" t="n">
        <v>1719.002941063291</v>
      </c>
      <c r="L42" s="15" t="n">
        <v>2335.419902084211</v>
      </c>
      <c r="M42" s="15" t="n">
        <v>2962.072630688604</v>
      </c>
      <c r="N42" s="15" t="n">
        <v>3303.500369447385</v>
      </c>
      <c r="O42" s="15" t="n">
        <v>3700.540053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8.5</v>
      </c>
      <c r="G43" s="15" t="n">
        <v>78</v>
      </c>
      <c r="H43" s="15" t="n">
        <v>598</v>
      </c>
      <c r="I43" s="15" t="n">
        <v>2200</v>
      </c>
      <c r="J43" s="15" t="n">
        <v>4092</v>
      </c>
      <c r="K43" s="15" t="n">
        <v>6192</v>
      </c>
      <c r="L43" s="15" t="n">
        <v>8400</v>
      </c>
      <c r="M43" s="15" t="n">
        <v>10200</v>
      </c>
      <c r="N43" s="15" t="n">
        <v>11704</v>
      </c>
      <c r="O43" s="15" t="n">
        <v>12960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33</v>
      </c>
      <c r="H45" s="15" t="n">
        <v>332.8</v>
      </c>
      <c r="I45" s="15" t="n">
        <v>1300</v>
      </c>
      <c r="J45" s="15" t="n">
        <v>2480</v>
      </c>
      <c r="K45" s="15" t="n">
        <v>3816</v>
      </c>
      <c r="L45" s="15" t="n">
        <v>5280</v>
      </c>
      <c r="M45" s="15" t="n">
        <v>6545</v>
      </c>
      <c r="N45" s="15" t="n">
        <v>7568</v>
      </c>
      <c r="O45" s="15" t="n">
        <v>8460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9</v>
      </c>
      <c r="H47" s="15" t="n">
        <v>46.8</v>
      </c>
      <c r="I47" s="15" t="n">
        <v>130</v>
      </c>
      <c r="J47" s="15" t="n">
        <v>260.4</v>
      </c>
      <c r="K47" s="15" t="n">
        <v>403.2</v>
      </c>
      <c r="L47" s="15" t="n">
        <v>552</v>
      </c>
      <c r="M47" s="15" t="n">
        <v>680</v>
      </c>
      <c r="N47" s="15" t="n">
        <v>783.2</v>
      </c>
      <c r="O47" s="15" t="n">
        <v>864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5.832000000000001</v>
      </c>
      <c r="H50" s="15" t="n">
        <v>41.69880000000001</v>
      </c>
      <c r="I50" s="15" t="n">
        <v>152.88</v>
      </c>
      <c r="J50" s="15" t="n">
        <v>349.9776</v>
      </c>
      <c r="K50" s="15" t="n">
        <v>604.606464</v>
      </c>
      <c r="L50" s="15" t="n">
        <v>893.5776</v>
      </c>
      <c r="M50" s="15" t="n">
        <v>1166.88</v>
      </c>
      <c r="N50" s="15" t="n">
        <v>1411.16976</v>
      </c>
      <c r="O50" s="15" t="n">
        <v>1642.2912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9</v>
      </c>
      <c r="H52" s="15" t="n">
        <v>37.8</v>
      </c>
      <c r="I52" s="15" t="n">
        <v>83.19999999999999</v>
      </c>
      <c r="J52" s="15" t="n">
        <v>130.4</v>
      </c>
      <c r="K52" s="15" t="n">
        <v>142.8</v>
      </c>
      <c r="L52" s="15" t="n">
        <v>148.8</v>
      </c>
      <c r="M52" s="15" t="n">
        <v>128</v>
      </c>
      <c r="N52" s="15" t="n">
        <v>103.2</v>
      </c>
      <c r="O52" s="15" t="n">
        <v>80.79999999999995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0.225</v>
      </c>
      <c r="H53" s="15" t="n">
        <v>0.9450000000000001</v>
      </c>
      <c r="I53" s="15" t="n">
        <v>2.496</v>
      </c>
      <c r="J53" s="15" t="n">
        <v>3.911999999999999</v>
      </c>
      <c r="K53" s="15" t="n">
        <v>4.5696</v>
      </c>
      <c r="L53" s="15" t="n">
        <v>4.7616</v>
      </c>
      <c r="M53" s="15" t="n">
        <v>4.352</v>
      </c>
      <c r="N53" s="15" t="n">
        <v>3.508800000000001</v>
      </c>
      <c r="O53" s="15" t="n">
        <v>2.827999999999999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12</v>
      </c>
      <c r="H54" s="15" t="n">
        <v>78</v>
      </c>
      <c r="I54" s="15" t="n">
        <v>300</v>
      </c>
      <c r="J54" s="15" t="n">
        <v>651</v>
      </c>
      <c r="K54" s="15" t="n">
        <v>1080</v>
      </c>
      <c r="L54" s="15" t="n">
        <v>1560</v>
      </c>
      <c r="M54" s="15" t="n">
        <v>1997.5</v>
      </c>
      <c r="N54" s="15" t="n">
        <v>2376</v>
      </c>
      <c r="O54" s="15" t="n">
        <v>2700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5.76</v>
      </c>
      <c r="H56" s="15" t="n">
        <v>42.12</v>
      </c>
      <c r="I56" s="15" t="n">
        <v>180</v>
      </c>
      <c r="J56" s="15" t="n">
        <v>406.224</v>
      </c>
      <c r="K56" s="15" t="n">
        <v>699.84</v>
      </c>
      <c r="L56" s="15" t="n">
        <v>1048.32</v>
      </c>
      <c r="M56" s="15" t="n">
        <v>1390.26</v>
      </c>
      <c r="N56" s="15" t="n">
        <v>1710.72</v>
      </c>
      <c r="O56" s="15" t="n">
        <v>2008.8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425</v>
      </c>
      <c r="G57" s="15" t="n">
        <v>1800</v>
      </c>
      <c r="H57" s="15" t="n">
        <v>4680</v>
      </c>
      <c r="I57" s="15" t="n">
        <v>10000</v>
      </c>
      <c r="J57" s="15" t="n">
        <v>18600</v>
      </c>
      <c r="K57" s="15" t="n">
        <v>27360</v>
      </c>
      <c r="L57" s="15" t="n">
        <v>36000</v>
      </c>
      <c r="M57" s="15" t="n">
        <v>42500</v>
      </c>
      <c r="N57" s="15" t="n">
        <v>47520</v>
      </c>
      <c r="O57" s="15" t="n">
        <v>51300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1.53</v>
      </c>
      <c r="G59" s="15" t="n">
        <v>6.912</v>
      </c>
      <c r="H59" s="15" t="n">
        <v>19.0944</v>
      </c>
      <c r="I59" s="15" t="n">
        <v>43.2</v>
      </c>
      <c r="J59" s="15" t="n">
        <v>83.7</v>
      </c>
      <c r="K59" s="15" t="n">
        <v>126.4032</v>
      </c>
      <c r="L59" s="15" t="n">
        <v>170.64</v>
      </c>
      <c r="M59" s="15" t="n">
        <v>206.55</v>
      </c>
      <c r="N59" s="15" t="n">
        <v>236.6496</v>
      </c>
      <c r="O59" s="15" t="n">
        <v>258.552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15.062</v>
      </c>
      <c r="G60" s="21" t="n">
        <v>180.069</v>
      </c>
      <c r="H60" s="21" t="n">
        <v>1658.135207310345</v>
      </c>
      <c r="I60" s="21" t="n">
        <v>6999.322956521739</v>
      </c>
      <c r="J60" s="21" t="n">
        <v>14458.79829568512</v>
      </c>
      <c r="K60" s="21" t="n">
        <v>23609.62220506329</v>
      </c>
      <c r="L60" s="21" t="n">
        <v>33541.67910208421</v>
      </c>
      <c r="M60" s="21" t="n">
        <v>42979.8346306886</v>
      </c>
      <c r="N60" s="21" t="n">
        <v>51020.18852944738</v>
      </c>
      <c r="O60" s="21" t="n">
        <v>58400.73125300001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69.938</v>
      </c>
      <c r="G62" s="21" t="n">
        <v>419.931</v>
      </c>
      <c r="H62" s="21" t="n">
        <v>3021.864792689656</v>
      </c>
      <c r="I62" s="21" t="n">
        <v>16500.67704347826</v>
      </c>
      <c r="J62" s="21" t="n">
        <v>35141.20170431488</v>
      </c>
      <c r="K62" s="21" t="n">
        <v>59190.37779493671</v>
      </c>
      <c r="L62" s="21" t="n">
        <v>86458.32089791579</v>
      </c>
      <c r="M62" s="21" t="n">
        <v>114270.1653693114</v>
      </c>
      <c r="N62" s="21" t="n">
        <v>138179.8114705526</v>
      </c>
      <c r="O62" s="21" t="n">
        <v>162099.268747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20.11537995761429</v>
      </c>
      <c r="G64" s="22" t="n">
        <v>110.6902440625068</v>
      </c>
      <c r="H64" s="22" t="n">
        <v>728.7377012568123</v>
      </c>
      <c r="I64" s="22" t="n">
        <v>5397.362895541492</v>
      </c>
      <c r="J64" s="22" t="n">
        <v>11876.90933354272</v>
      </c>
      <c r="K64" s="22" t="n">
        <v>22312.56497292217</v>
      </c>
      <c r="L64" s="22" t="n">
        <v>36357.05412617635</v>
      </c>
      <c r="M64" s="22" t="n">
        <v>50996.72960074702</v>
      </c>
      <c r="N64" s="22" t="n">
        <v>67139.44428125361</v>
      </c>
      <c r="O64" s="22" t="n">
        <v>81370.71814161693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15.88056312443234</v>
      </c>
      <c r="G65" s="22" t="n">
        <v>90.72970824795644</v>
      </c>
      <c r="H65" s="22" t="n">
        <v>628.2221562558726</v>
      </c>
      <c r="I65" s="22" t="n">
        <v>4693.359039601297</v>
      </c>
      <c r="J65" s="22" t="n">
        <v>10451.68021351759</v>
      </c>
      <c r="K65" s="22" t="n">
        <v>19770.62719119686</v>
      </c>
      <c r="L65" s="22" t="n">
        <v>32529.99579710516</v>
      </c>
      <c r="M65" s="22" t="n">
        <v>45704.6161516129</v>
      </c>
      <c r="N65" s="22" t="n">
        <v>60253.34743189427</v>
      </c>
      <c r="O65" s="22" t="n">
        <v>73106.50458035896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4.234816833181956</v>
      </c>
      <c r="G66" s="22" t="n">
        <v>19.96053581455041</v>
      </c>
      <c r="H66" s="22" t="n">
        <v>100.5155450009397</v>
      </c>
      <c r="I66" s="22" t="n">
        <v>704.0038559401946</v>
      </c>
      <c r="J66" s="22" t="n">
        <v>1425.229120025126</v>
      </c>
      <c r="K66" s="22" t="n">
        <v>2541.937781725312</v>
      </c>
      <c r="L66" s="22" t="n">
        <v>3827.058329071195</v>
      </c>
      <c r="M66" s="22" t="n">
        <v>5292.113449134124</v>
      </c>
      <c r="N66" s="22" t="n">
        <v>6886.096849359343</v>
      </c>
      <c r="O66" s="22" t="n">
        <v>8264.21356125797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10.58704208295489</v>
      </c>
      <c r="G67" s="15" t="n">
        <v>36.29188329918258</v>
      </c>
      <c r="H67" s="15" t="n">
        <v>125.6444312511746</v>
      </c>
      <c r="I67" s="15" t="n">
        <v>586.6698799501622</v>
      </c>
      <c r="J67" s="15" t="n">
        <v>950.1527466834173</v>
      </c>
      <c r="K67" s="15" t="n">
        <v>1412.187656514061</v>
      </c>
      <c r="L67" s="15" t="n">
        <v>1913.529164535597</v>
      </c>
      <c r="M67" s="15" t="n">
        <v>2405.506113242784</v>
      </c>
      <c r="N67" s="15" t="n">
        <v>2869.207020566394</v>
      </c>
      <c r="O67" s="15" t="n">
        <v>3178.543677406911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2761939.368278735</v>
      </c>
      <c r="H68" s="15" t="n">
        <v>2206611.016002363</v>
      </c>
      <c r="I68" s="15" t="n">
        <v>3214629.479178971</v>
      </c>
      <c r="J68" s="15" t="n">
        <v>2469789.573141892</v>
      </c>
      <c r="K68" s="15" t="n">
        <v>2239008.841505044</v>
      </c>
      <c r="L68" s="15" t="n">
        <v>2113929.700105609</v>
      </c>
      <c r="M68" s="15" t="n">
        <v>2095525.503184254</v>
      </c>
      <c r="N68" s="15" t="n">
        <v>2126850.961103002</v>
      </c>
      <c r="O68" s="15" t="n">
        <v>2103463.488456694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20.13237995761429</v>
      </c>
      <c r="G70" s="22" t="n">
        <v>110.9302440625068</v>
      </c>
      <c r="H70" s="22" t="n">
        <v>758.0657012568123</v>
      </c>
      <c r="I70" s="22" t="n">
        <v>5546.362895541492</v>
      </c>
      <c r="J70" s="22" t="n">
        <v>12263.54133354272</v>
      </c>
      <c r="K70" s="22" t="n">
        <v>23026.80497292217</v>
      </c>
      <c r="L70" s="22" t="n">
        <v>37436.73412617635</v>
      </c>
      <c r="M70" s="22" t="n">
        <v>52446.14960074702</v>
      </c>
      <c r="N70" s="22" t="n">
        <v>68899.44428125361</v>
      </c>
      <c r="O70" s="22" t="n">
        <v>83408.31814161694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9.059570980926431</v>
      </c>
      <c r="G71" s="22" t="n">
        <v>44.37209762500274</v>
      </c>
      <c r="H71" s="22" t="n">
        <v>265.3229954398843</v>
      </c>
      <c r="I71" s="22" t="n">
        <v>1663.908868662448</v>
      </c>
      <c r="J71" s="22" t="n">
        <v>3433.791573391961</v>
      </c>
      <c r="K71" s="22" t="n">
        <v>5986.969292959765</v>
      </c>
      <c r="L71" s="22" t="n">
        <v>9359.183531544088</v>
      </c>
      <c r="M71" s="22" t="n">
        <v>12587.07590417928</v>
      </c>
      <c r="N71" s="22" t="n">
        <v>15846.87218468833</v>
      </c>
      <c r="O71" s="22" t="n">
        <v>18349.82999115573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5.033094989403573</v>
      </c>
      <c r="G72" s="22" t="n">
        <v>22.18604881250137</v>
      </c>
      <c r="H72" s="22" t="n">
        <v>113.7098551885218</v>
      </c>
      <c r="I72" s="22" t="n">
        <v>665.5635474649789</v>
      </c>
      <c r="J72" s="22" t="n">
        <v>1348.989546689699</v>
      </c>
      <c r="K72" s="22" t="n">
        <v>2302.680497292217</v>
      </c>
      <c r="L72" s="22" t="n">
        <v>3743.673412617635</v>
      </c>
      <c r="M72" s="22" t="n">
        <v>4720.153464067232</v>
      </c>
      <c r="N72" s="22" t="n">
        <v>6200.949985312825</v>
      </c>
      <c r="O72" s="22" t="n">
        <v>6672.665451329355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34.22504592794429</v>
      </c>
      <c r="G73" s="22" t="n">
        <v>177.488390500011</v>
      </c>
      <c r="H73" s="22" t="n">
        <v>1137.098551885219</v>
      </c>
      <c r="I73" s="22" t="n">
        <v>7875.835311668918</v>
      </c>
      <c r="J73" s="22" t="n">
        <v>17046.32245362438</v>
      </c>
      <c r="K73" s="22" t="n">
        <v>31316.45476317416</v>
      </c>
      <c r="L73" s="22" t="n">
        <v>50539.59107033807</v>
      </c>
      <c r="M73" s="22" t="n">
        <v>69753.37896899354</v>
      </c>
      <c r="N73" s="22" t="n">
        <v>90947.26645125476</v>
      </c>
      <c r="O73" s="22" t="n">
        <v>108430.813584102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3358566.567122717</v>
      </c>
      <c r="F74" s="15" t="n">
        <v>3155545.447901926</v>
      </c>
      <c r="G74" s="15" t="n">
        <v>2862715.975806628</v>
      </c>
      <c r="H74" s="15" t="n">
        <v>2822376.186367956</v>
      </c>
      <c r="I74" s="15" t="n">
        <v>4051166.164524578</v>
      </c>
      <c r="J74" s="15" t="n">
        <v>4176616.304581467</v>
      </c>
      <c r="K74" s="15" t="n">
        <v>4555505.33504963</v>
      </c>
      <c r="L74" s="15" t="n">
        <v>5105009.199024048</v>
      </c>
      <c r="M74" s="15" t="n">
        <v>5419713.392764</v>
      </c>
      <c r="N74" s="15" t="n">
        <v>5930637.759032703</v>
      </c>
      <c r="O74" s="15" t="n">
        <v>6138576.145203937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1798076.923076923</v>
      </c>
      <c r="F75" s="15" t="n">
        <v>10846000</v>
      </c>
      <c r="G75" s="15" t="n">
        <v>62000000</v>
      </c>
      <c r="H75" s="15" t="n">
        <v>402886956.5217392</v>
      </c>
      <c r="I75" s="15" t="n">
        <v>1944090909.090909</v>
      </c>
      <c r="J75" s="15" t="n">
        <v>4081371428.571428</v>
      </c>
      <c r="K75" s="15" t="n">
        <v>6874419512.195122</v>
      </c>
      <c r="L75" s="15" t="n">
        <v>9900000000</v>
      </c>
      <c r="M75" s="15" t="n">
        <v>12870307692.30769</v>
      </c>
      <c r="N75" s="15" t="n">
        <v>15335157894.73684</v>
      </c>
      <c r="O75" s="15" t="n">
        <v>17663837837.83784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3269230.769230769</v>
      </c>
      <c r="F77" s="15" t="n">
        <v>18700000</v>
      </c>
      <c r="G77" s="15" t="n">
        <v>100000000</v>
      </c>
      <c r="H77" s="15" t="n">
        <v>610434782.6086957</v>
      </c>
      <c r="I77" s="15" t="n">
        <v>2777272727.272727</v>
      </c>
      <c r="J77" s="15" t="n">
        <v>5668571428.571428</v>
      </c>
      <c r="K77" s="15" t="n">
        <v>9289756097.560976</v>
      </c>
      <c r="L77" s="15" t="n">
        <v>13200000000</v>
      </c>
      <c r="M77" s="15" t="n">
        <v>16934615384.61539</v>
      </c>
      <c r="N77" s="15" t="n">
        <v>19915789473.68421</v>
      </c>
      <c r="O77" s="15" t="n">
        <v>22645945945.94595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8.5</v>
      </c>
      <c r="F79" s="15" t="n">
        <v>46.75000000000001</v>
      </c>
      <c r="G79" s="15" t="n">
        <v>240</v>
      </c>
      <c r="H79" s="15" t="n">
        <v>1404</v>
      </c>
      <c r="I79" s="15" t="n">
        <v>6110</v>
      </c>
      <c r="J79" s="15" t="n">
        <v>11904</v>
      </c>
      <c r="K79" s="15" t="n">
        <v>19044</v>
      </c>
      <c r="L79" s="15" t="n">
        <v>26400</v>
      </c>
      <c r="M79" s="15" t="n">
        <v>33022.5</v>
      </c>
      <c r="N79" s="15" t="n">
        <v>37840</v>
      </c>
      <c r="O79" s="15" t="n">
        <v>41895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2.55</v>
      </c>
      <c r="G80" s="15" t="n">
        <v>12</v>
      </c>
      <c r="H80" s="15" t="n">
        <v>62.40000000000001</v>
      </c>
      <c r="I80" s="15" t="n">
        <v>240</v>
      </c>
      <c r="J80" s="15" t="n">
        <v>496</v>
      </c>
      <c r="K80" s="15" t="n">
        <v>828</v>
      </c>
      <c r="L80" s="15" t="n">
        <v>1200</v>
      </c>
      <c r="M80" s="15" t="n">
        <v>1572.5</v>
      </c>
      <c r="N80" s="15" t="n">
        <v>1892</v>
      </c>
      <c r="O80" s="15" t="n">
        <v>2205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0.0459</v>
      </c>
      <c r="G82" s="15" t="n">
        <v>0.192</v>
      </c>
      <c r="H82" s="15" t="n">
        <v>0.8736000000000002</v>
      </c>
      <c r="I82" s="15" t="n">
        <v>2.88</v>
      </c>
      <c r="J82" s="15" t="n">
        <v>5.456</v>
      </c>
      <c r="K82" s="15" t="n">
        <v>8.279999999999999</v>
      </c>
      <c r="L82" s="15" t="n">
        <v>10.8</v>
      </c>
      <c r="M82" s="15" t="n">
        <v>14.1525</v>
      </c>
      <c r="N82" s="15" t="n">
        <v>15.136</v>
      </c>
      <c r="O82" s="15" t="n">
        <v>17.64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0.85</v>
      </c>
      <c r="G83" s="15" t="n">
        <v>3.6</v>
      </c>
      <c r="H83" s="15" t="n">
        <v>18.2</v>
      </c>
      <c r="I83" s="15" t="n">
        <v>60</v>
      </c>
      <c r="J83" s="15" t="n">
        <v>117.8</v>
      </c>
      <c r="K83" s="15" t="n">
        <v>187.2</v>
      </c>
      <c r="L83" s="15" t="n">
        <v>264</v>
      </c>
      <c r="M83" s="15" t="n">
        <v>340</v>
      </c>
      <c r="N83" s="15" t="n">
        <v>404.8</v>
      </c>
      <c r="O83" s="15" t="n">
        <v>468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1.7</v>
      </c>
      <c r="G84" s="15" t="n">
        <v>6</v>
      </c>
      <c r="H84" s="15" t="n">
        <v>28.6</v>
      </c>
      <c r="I84" s="15" t="n">
        <v>100</v>
      </c>
      <c r="J84" s="15" t="n">
        <v>198.4</v>
      </c>
      <c r="K84" s="15" t="n">
        <v>316.8</v>
      </c>
      <c r="L84" s="15" t="n">
        <v>448</v>
      </c>
      <c r="M84" s="15" t="n">
        <v>578</v>
      </c>
      <c r="N84" s="15" t="n">
        <v>686.4</v>
      </c>
      <c r="O84" s="15" t="n">
        <v>792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1.711252296397215</v>
      </c>
      <c r="G87" s="15" t="n">
        <v>7.099535620000438</v>
      </c>
      <c r="H87" s="15" t="n">
        <v>39.79844931598265</v>
      </c>
      <c r="I87" s="15" t="n">
        <v>236.2750593500675</v>
      </c>
      <c r="J87" s="15" t="n">
        <v>477.2970287014826</v>
      </c>
      <c r="K87" s="15" t="n">
        <v>814.227823842528</v>
      </c>
      <c r="L87" s="15" t="n">
        <v>1263.489776758452</v>
      </c>
      <c r="M87" s="15" t="n">
        <v>1674.081095255845</v>
      </c>
      <c r="N87" s="15" t="n">
        <v>2091.78712837886</v>
      </c>
      <c r="O87" s="15" t="n">
        <v>2385.477898850244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102000</v>
      </c>
      <c r="G88" s="15" t="n">
        <v>420000</v>
      </c>
      <c r="H88" s="15" t="n">
        <v>1820000</v>
      </c>
      <c r="I88" s="15" t="n">
        <v>6000000</v>
      </c>
      <c r="J88" s="15" t="n">
        <v>11780000</v>
      </c>
      <c r="K88" s="15" t="n">
        <v>18720000</v>
      </c>
      <c r="L88" s="15" t="n">
        <v>26400000</v>
      </c>
      <c r="M88" s="15" t="n">
        <v>33150000</v>
      </c>
      <c r="N88" s="15" t="n">
        <v>38720000</v>
      </c>
      <c r="O88" s="15" t="n">
        <v>43200000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0.408</v>
      </c>
      <c r="G90" s="15" t="n">
        <v>1.596</v>
      </c>
      <c r="H90" s="15" t="n">
        <v>6.552</v>
      </c>
      <c r="I90" s="15" t="n">
        <v>21</v>
      </c>
      <c r="J90" s="15" t="n">
        <v>40.052</v>
      </c>
      <c r="K90" s="15" t="n">
        <v>61.776</v>
      </c>
      <c r="L90" s="15" t="n">
        <v>84.48</v>
      </c>
      <c r="M90" s="15" t="n">
        <v>106.08</v>
      </c>
      <c r="N90" s="15" t="n">
        <v>120.032</v>
      </c>
      <c r="O90" s="15" t="n">
        <v>129.6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72.08</v>
      </c>
      <c r="G91" s="15" t="n">
        <v>448.74</v>
      </c>
      <c r="H91" s="15" t="n">
        <v>3340.48</v>
      </c>
      <c r="I91" s="15" t="n">
        <v>17671</v>
      </c>
      <c r="J91" s="15" t="n">
        <v>37908.04</v>
      </c>
      <c r="K91" s="15" t="n">
        <v>63878.39999999999</v>
      </c>
      <c r="L91" s="15" t="n">
        <v>93182.40000000001</v>
      </c>
      <c r="M91" s="15" t="n">
        <v>122974.6</v>
      </c>
      <c r="N91" s="15" t="n">
        <v>148409.36</v>
      </c>
      <c r="O91" s="15" t="n">
        <v>173734.2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2.01824</v>
      </c>
      <c r="G93" s="15" t="n">
        <v>12.11598</v>
      </c>
      <c r="H93" s="15" t="n">
        <v>86.85248000000001</v>
      </c>
      <c r="I93" s="15" t="n">
        <v>441.775</v>
      </c>
      <c r="J93" s="15" t="n">
        <v>909.79296</v>
      </c>
      <c r="K93" s="15" t="n">
        <v>1533.0816</v>
      </c>
      <c r="L93" s="15" t="n">
        <v>2143.1952</v>
      </c>
      <c r="M93" s="15" t="n">
        <v>2828.4158</v>
      </c>
      <c r="N93" s="15" t="n">
        <v>3265.00592</v>
      </c>
      <c r="O93" s="15" t="n">
        <v>3822.1524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1.36</v>
      </c>
      <c r="G95" s="15" t="n">
        <v>21.6</v>
      </c>
      <c r="H95" s="15" t="n">
        <v>236.6</v>
      </c>
      <c r="I95" s="15" t="n">
        <v>1254</v>
      </c>
      <c r="J95" s="15" t="n">
        <v>2777.6</v>
      </c>
      <c r="K95" s="15" t="n">
        <v>4636.8</v>
      </c>
      <c r="L95" s="15" t="n">
        <v>6720</v>
      </c>
      <c r="M95" s="15" t="n">
        <v>8585.85</v>
      </c>
      <c r="N95" s="15" t="n">
        <v>10330.32</v>
      </c>
      <c r="O95" s="15" t="n">
        <v>11730.6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0.408</v>
      </c>
      <c r="G97" s="15" t="n">
        <v>6.48</v>
      </c>
      <c r="H97" s="15" t="n">
        <v>66.248</v>
      </c>
      <c r="I97" s="15" t="n">
        <v>250.8</v>
      </c>
      <c r="J97" s="15" t="n">
        <v>555.5200000000001</v>
      </c>
      <c r="K97" s="15" t="n">
        <v>834.624</v>
      </c>
      <c r="L97" s="15" t="n">
        <v>1209.6</v>
      </c>
      <c r="M97" s="15" t="n">
        <v>1459.5945</v>
      </c>
      <c r="N97" s="15" t="n">
        <v>1756.1544</v>
      </c>
      <c r="O97" s="15" t="n">
        <v>1759.59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0.2833333333333333</v>
      </c>
      <c r="G99" s="15" t="n">
        <v>1.8</v>
      </c>
      <c r="H99" s="15" t="n">
        <v>6.24</v>
      </c>
      <c r="I99" s="15" t="n">
        <v>16.66666666666667</v>
      </c>
      <c r="J99" s="15" t="n">
        <v>32.9375</v>
      </c>
      <c r="K99" s="15" t="n">
        <v>50.8235294117647</v>
      </c>
      <c r="L99" s="15" t="n">
        <v>68.88888888888889</v>
      </c>
      <c r="M99" s="15" t="n">
        <v>82.76315789473684</v>
      </c>
      <c r="N99" s="15" t="n">
        <v>92.40000000000001</v>
      </c>
      <c r="O99" s="15" t="n">
        <v>98.57142857142857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0.051</v>
      </c>
      <c r="G101" s="15" t="n">
        <v>0.342</v>
      </c>
      <c r="H101" s="15" t="n">
        <v>1.248</v>
      </c>
      <c r="I101" s="15" t="n">
        <v>3.5</v>
      </c>
      <c r="J101" s="15" t="n">
        <v>7.180375</v>
      </c>
      <c r="K101" s="15" t="n">
        <v>11.43529411764706</v>
      </c>
      <c r="L101" s="15" t="n">
        <v>15.98222222222222</v>
      </c>
      <c r="M101" s="15" t="n">
        <v>19.69763157894737</v>
      </c>
      <c r="N101" s="15" t="n">
        <v>22.5456</v>
      </c>
      <c r="O101" s="15" t="n">
        <v>24.64285714285714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17</v>
      </c>
      <c r="G102" s="15" t="n">
        <v>90</v>
      </c>
      <c r="H102" s="15" t="n">
        <v>416</v>
      </c>
      <c r="I102" s="15" t="n">
        <v>1300</v>
      </c>
      <c r="J102" s="15" t="n">
        <v>2604</v>
      </c>
      <c r="K102" s="15" t="n">
        <v>4176</v>
      </c>
      <c r="L102" s="15" t="n">
        <v>5840</v>
      </c>
      <c r="M102" s="15" t="n">
        <v>7310</v>
      </c>
      <c r="N102" s="15" t="n">
        <v>8536</v>
      </c>
      <c r="O102" s="15" t="n">
        <v>9540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0.102</v>
      </c>
      <c r="G104" s="15" t="n">
        <v>0.495</v>
      </c>
      <c r="H104" s="15" t="n">
        <v>2.08</v>
      </c>
      <c r="I104" s="15" t="n">
        <v>5.85</v>
      </c>
      <c r="J104" s="15" t="n">
        <v>10.9368</v>
      </c>
      <c r="K104" s="15" t="n">
        <v>16.704</v>
      </c>
      <c r="L104" s="15" t="n">
        <v>22.192</v>
      </c>
      <c r="M104" s="15" t="n">
        <v>26.316</v>
      </c>
      <c r="N104" s="15" t="n">
        <v>29.876</v>
      </c>
      <c r="O104" s="15" t="n">
        <v>32.436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9.693948051948052</v>
      </c>
      <c r="F105" s="21" t="n">
        <v>54.04439229639723</v>
      </c>
      <c r="G105" s="21" t="n">
        <v>277.9205156200005</v>
      </c>
      <c r="H105" s="21" t="n">
        <v>1654.452529315982</v>
      </c>
      <c r="I105" s="21" t="n">
        <v>7232.080059350068</v>
      </c>
      <c r="J105" s="21" t="n">
        <v>14226.43516370148</v>
      </c>
      <c r="K105" s="21" t="n">
        <v>22828.12871796018</v>
      </c>
      <c r="L105" s="21" t="n">
        <v>31861.73919898067</v>
      </c>
      <c r="M105" s="21" t="n">
        <v>40068.8375268348</v>
      </c>
      <c r="N105" s="21" t="n">
        <v>46231.73704837886</v>
      </c>
      <c r="O105" s="21" t="n">
        <v>51326.53915599309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0.03060519480519486</v>
      </c>
      <c r="F106" s="25" t="n">
        <v>0.3641836200423856</v>
      </c>
      <c r="G106" s="25" t="n">
        <v>0.5367991406333326</v>
      </c>
      <c r="H106" s="25" t="n">
        <v>0.6464845022829098</v>
      </c>
      <c r="I106" s="25" t="n">
        <v>0.6922519123680821</v>
      </c>
      <c r="J106" s="25" t="n">
        <v>0.7131767104092444</v>
      </c>
      <c r="K106" s="25" t="n">
        <v>0.7242979623434761</v>
      </c>
      <c r="L106" s="25" t="n">
        <v>0.7344855066751611</v>
      </c>
      <c r="M106" s="25" t="n">
        <v>0.7451902224048661</v>
      </c>
      <c r="N106" s="25" t="n">
        <v>0.7556462101037058</v>
      </c>
      <c r="O106" s="25" t="n">
        <v>0.7672265797914145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10.5</v>
      </c>
      <c r="F115" s="15" t="n">
        <v>30.6</v>
      </c>
      <c r="G115" s="15" t="n">
        <v>630</v>
      </c>
      <c r="H115" s="15" t="n">
        <v>631.8</v>
      </c>
      <c r="I115" s="15" t="n">
        <v>3031.5</v>
      </c>
      <c r="J115" s="15" t="n">
        <v>5208</v>
      </c>
      <c r="K115" s="15" t="n">
        <v>7452</v>
      </c>
      <c r="L115" s="15" t="n">
        <v>9360</v>
      </c>
      <c r="M115" s="15" t="n">
        <v>10850.25</v>
      </c>
      <c r="N115" s="15" t="n">
        <v>11919.6</v>
      </c>
      <c r="O115" s="15" t="n">
        <v>12568.5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41</v>
      </c>
      <c r="F117" s="15" t="n">
        <v>123.25</v>
      </c>
      <c r="G117" s="15" t="n">
        <v>2430</v>
      </c>
      <c r="H117" s="15" t="n">
        <v>2574</v>
      </c>
      <c r="I117" s="15" t="n">
        <v>12220</v>
      </c>
      <c r="J117" s="15" t="n">
        <v>21328</v>
      </c>
      <c r="K117" s="15" t="n">
        <v>30636</v>
      </c>
      <c r="L117" s="15" t="n">
        <v>38400</v>
      </c>
      <c r="M117" s="15" t="n">
        <v>44816.25</v>
      </c>
      <c r="N117" s="15" t="n">
        <v>49192</v>
      </c>
      <c r="O117" s="15" t="n">
        <v>51817.5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63</v>
      </c>
      <c r="F118" s="21" t="n">
        <v>204.85</v>
      </c>
      <c r="G118" s="21" t="n">
        <v>2756.5</v>
      </c>
      <c r="H118" s="21" t="n">
        <v>3860</v>
      </c>
      <c r="I118" s="21" t="n">
        <v>15930</v>
      </c>
      <c r="J118" s="21" t="n">
        <v>26874</v>
      </c>
      <c r="K118" s="21" t="n">
        <v>37766</v>
      </c>
      <c r="L118" s="21" t="n">
        <v>46932</v>
      </c>
      <c r="M118" s="21" t="n">
        <v>54438.75</v>
      </c>
      <c r="N118" s="21" t="n">
        <v>59651.5</v>
      </c>
      <c r="O118" s="21" t="n">
        <v>63112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5.25</v>
      </c>
      <c r="F142" s="15" t="n">
        <v>20.55</v>
      </c>
      <c r="G142" s="15" t="n">
        <v>330.3</v>
      </c>
      <c r="H142" s="15" t="n">
        <v>630.9</v>
      </c>
      <c r="I142" s="15" t="n">
        <v>1831.65</v>
      </c>
      <c r="J142" s="15" t="n">
        <v>4119.75</v>
      </c>
      <c r="K142" s="15" t="n">
        <v>6330</v>
      </c>
      <c r="L142" s="15" t="n">
        <v>8406</v>
      </c>
      <c r="M142" s="15" t="n">
        <v>10105.125</v>
      </c>
      <c r="N142" s="15" t="n">
        <v>11384.925</v>
      </c>
      <c r="O142" s="15" t="n">
        <v>12244.05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5.75</v>
      </c>
      <c r="F147" s="21" t="n">
        <v>23.05</v>
      </c>
      <c r="G147" s="21" t="n">
        <v>342.8</v>
      </c>
      <c r="H147" s="21" t="n">
        <v>687.4</v>
      </c>
      <c r="I147" s="21" t="n">
        <v>2167.65</v>
      </c>
      <c r="J147" s="21" t="n">
        <v>5093.75</v>
      </c>
      <c r="K147" s="21" t="n">
        <v>8127.333333333334</v>
      </c>
      <c r="L147" s="21" t="n">
        <v>11286.66666666667</v>
      </c>
      <c r="M147" s="21" t="n">
        <v>14191.79166666667</v>
      </c>
      <c r="N147" s="21" t="n">
        <v>16558.25833333333</v>
      </c>
      <c r="O147" s="21" t="n">
        <v>18244.05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0.3060519480519481</v>
      </c>
      <c r="F149" s="21" t="n">
        <v>30.95560770360277</v>
      </c>
      <c r="G149" s="21" t="n">
        <v>322.0794843799995</v>
      </c>
      <c r="H149" s="21" t="n">
        <v>3025.547470684018</v>
      </c>
      <c r="I149" s="21" t="n">
        <v>16267.91994064993</v>
      </c>
      <c r="J149" s="21" t="n">
        <v>35373.56483629852</v>
      </c>
      <c r="K149" s="21" t="n">
        <v>59971.87128203982</v>
      </c>
      <c r="L149" s="21" t="n">
        <v>88138.26080101934</v>
      </c>
      <c r="M149" s="21" t="n">
        <v>117181.1624731652</v>
      </c>
      <c r="N149" s="21" t="n">
        <v>142968.2629516211</v>
      </c>
      <c r="O149" s="21" t="n">
        <v>169173.4608440069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-75.80394805194805</v>
      </c>
      <c r="F150" s="21" t="n">
        <v>-225.2843922963972</v>
      </c>
      <c r="G150" s="21" t="n">
        <v>-2896.020515620001</v>
      </c>
      <c r="H150" s="21" t="n">
        <v>-2106.952529315982</v>
      </c>
      <c r="I150" s="21" t="n">
        <v>-4162.730059350068</v>
      </c>
      <c r="J150" s="21" t="n">
        <v>-227.6851637014843</v>
      </c>
      <c r="K150" s="21" t="n">
        <v>9378.537948706487</v>
      </c>
      <c r="L150" s="21" t="n">
        <v>24266.39413435267</v>
      </c>
      <c r="M150" s="21" t="n">
        <v>42094.62080649853</v>
      </c>
      <c r="N150" s="21" t="n">
        <v>59581.20461828781</v>
      </c>
      <c r="O150" s="21" t="n">
        <v>80033.21084400691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-84.34794805194805</v>
      </c>
      <c r="F151" s="21" t="n">
        <v>-257.6573922963972</v>
      </c>
      <c r="G151" s="21" t="n">
        <v>-2975.670515620001</v>
      </c>
      <c r="H151" s="21" t="n">
        <v>-2349.557529315982</v>
      </c>
      <c r="I151" s="21" t="n">
        <v>-5390.880059350067</v>
      </c>
      <c r="J151" s="21" t="n">
        <v>-1967.435163701484</v>
      </c>
      <c r="K151" s="21" t="n">
        <v>7335.537948706487</v>
      </c>
      <c r="L151" s="21" t="n">
        <v>22004.61013435267</v>
      </c>
      <c r="M151" s="21" t="n">
        <v>39689.22080649852</v>
      </c>
      <c r="N151" s="21" t="n">
        <v>57111.28061828781</v>
      </c>
      <c r="O151" s="21" t="n">
        <v>77526.27884400691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-7.580394805194805</v>
      </c>
      <c r="F152" s="25" t="n">
        <v>-2.650404615251732</v>
      </c>
      <c r="G152" s="25" t="n">
        <v>-4.826700859366668</v>
      </c>
      <c r="H152" s="25" t="n">
        <v>-0.4502035319051244</v>
      </c>
      <c r="I152" s="25" t="n">
        <v>-0.1771374493340454</v>
      </c>
      <c r="J152" s="25" t="n">
        <v>-0.004590426687529925</v>
      </c>
      <c r="K152" s="25" t="n">
        <v>0.1132673665302716</v>
      </c>
      <c r="L152" s="25" t="n">
        <v>0.2022199511196056</v>
      </c>
      <c r="M152" s="25" t="n">
        <v>0.2676923421716917</v>
      </c>
      <c r="N152" s="25" t="n">
        <v>0.3149112294835508</v>
      </c>
      <c r="O152" s="25" t="n">
        <v>0.3629624074558137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Best/Run-rate  (data block D3)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100</v>
      </c>
      <c r="G4" s="15" t="n">
        <v>1000</v>
      </c>
      <c r="H4" s="15" t="n">
        <v>9000</v>
      </c>
      <c r="I4" s="15" t="n">
        <v>47000</v>
      </c>
      <c r="J4" s="15" t="n">
        <v>92000</v>
      </c>
      <c r="K4" s="15" t="n">
        <v>140000</v>
      </c>
      <c r="L4" s="15" t="n">
        <v>190000</v>
      </c>
      <c r="M4" s="15" t="n">
        <v>245000</v>
      </c>
      <c r="N4" s="15" t="n">
        <v>300000</v>
      </c>
      <c r="O4" s="15" t="n">
        <v>355000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5</v>
      </c>
      <c r="G29" s="15" t="n">
        <v>60</v>
      </c>
      <c r="H29" s="15" t="n">
        <v>300</v>
      </c>
      <c r="I29" s="15" t="n">
        <v>1000</v>
      </c>
      <c r="J29" s="15" t="n">
        <v>1700</v>
      </c>
      <c r="K29" s="15" t="n">
        <v>2400</v>
      </c>
      <c r="L29" s="15" t="n">
        <v>3100</v>
      </c>
      <c r="M29" s="15" t="n">
        <v>3700</v>
      </c>
      <c r="N29" s="15" t="n">
        <v>4200</v>
      </c>
      <c r="O29" s="15" t="n">
        <v>4600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2000</v>
      </c>
      <c r="G31" s="15" t="n">
        <v>40000</v>
      </c>
      <c r="H31" s="15" t="n">
        <v>250000</v>
      </c>
      <c r="I31" s="15" t="n">
        <v>900000</v>
      </c>
      <c r="J31" s="15" t="n">
        <v>1600000</v>
      </c>
      <c r="K31" s="15" t="n">
        <v>2300000</v>
      </c>
      <c r="L31" s="15" t="n">
        <v>3000000</v>
      </c>
      <c r="M31" s="15" t="n">
        <v>3600000</v>
      </c>
      <c r="N31" s="15" t="n">
        <v>4100000</v>
      </c>
      <c r="O31" s="15" t="n">
        <v>4500000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0.72</v>
      </c>
      <c r="G33" s="15" t="n">
        <v>16.8</v>
      </c>
      <c r="H33" s="15" t="n">
        <v>120</v>
      </c>
      <c r="I33" s="15" t="n">
        <v>486</v>
      </c>
      <c r="J33" s="15" t="n">
        <v>921.6</v>
      </c>
      <c r="K33" s="15" t="n">
        <v>1380</v>
      </c>
      <c r="L33" s="15" t="n">
        <v>1872</v>
      </c>
      <c r="M33" s="15" t="n">
        <v>2332.8</v>
      </c>
      <c r="N33" s="15" t="n">
        <v>2706</v>
      </c>
      <c r="O33" s="15" t="n">
        <v>3024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8</v>
      </c>
      <c r="G34" s="15" t="n">
        <v>120</v>
      </c>
      <c r="H34" s="15" t="n">
        <v>1300</v>
      </c>
      <c r="I34" s="15" t="n">
        <v>6600</v>
      </c>
      <c r="J34" s="15" t="n">
        <v>11200</v>
      </c>
      <c r="K34" s="15" t="n">
        <v>16100</v>
      </c>
      <c r="L34" s="15" t="n">
        <v>21000</v>
      </c>
      <c r="M34" s="15" t="n">
        <v>25900</v>
      </c>
      <c r="N34" s="15" t="n">
        <v>30100</v>
      </c>
      <c r="O34" s="15" t="n">
        <v>34300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33333.33333333334</v>
      </c>
      <c r="G36" s="15" t="n">
        <v>476190.4761904762</v>
      </c>
      <c r="H36" s="15" t="n">
        <v>4710144.927536231</v>
      </c>
      <c r="I36" s="15" t="n">
        <v>21153846.15384615</v>
      </c>
      <c r="J36" s="15" t="n">
        <v>33333333.33333333</v>
      </c>
      <c r="K36" s="15" t="n">
        <v>46264367.81609195</v>
      </c>
      <c r="L36" s="15" t="n">
        <v>58333333.33333334</v>
      </c>
      <c r="M36" s="15" t="n">
        <v>69623655.91397849</v>
      </c>
      <c r="N36" s="15" t="n">
        <v>78385416.66666667</v>
      </c>
      <c r="O36" s="15" t="n">
        <v>86616161.61616161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350000</v>
      </c>
      <c r="I37" s="15" t="n">
        <v>1100000</v>
      </c>
      <c r="J37" s="15" t="n">
        <v>1800000</v>
      </c>
      <c r="K37" s="15" t="n">
        <v>2500000</v>
      </c>
      <c r="L37" s="15" t="n">
        <v>3100000</v>
      </c>
      <c r="M37" s="15" t="n">
        <v>3600000</v>
      </c>
      <c r="N37" s="15" t="n">
        <v>4000000</v>
      </c>
      <c r="O37" s="15" t="n">
        <v>4300000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84</v>
      </c>
      <c r="I39" s="15" t="n">
        <v>290.4</v>
      </c>
      <c r="J39" s="15" t="n">
        <v>518.4</v>
      </c>
      <c r="K39" s="15" t="n">
        <v>750</v>
      </c>
      <c r="L39" s="15" t="n">
        <v>967.2</v>
      </c>
      <c r="M39" s="15" t="n">
        <v>1166.4</v>
      </c>
      <c r="N39" s="15" t="n">
        <v>1344</v>
      </c>
      <c r="O39" s="15" t="n">
        <v>1444.8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208.9942448275863</v>
      </c>
      <c r="I42" s="15" t="n">
        <v>807.0939130434782</v>
      </c>
      <c r="J42" s="15" t="n">
        <v>1661.652734976</v>
      </c>
      <c r="K42" s="15" t="n">
        <v>2387.504084810127</v>
      </c>
      <c r="L42" s="15" t="n">
        <v>2919.274877605264</v>
      </c>
      <c r="M42" s="15" t="n">
        <v>3484.791330221887</v>
      </c>
      <c r="N42" s="15" t="n">
        <v>3753.977692553846</v>
      </c>
      <c r="O42" s="15" t="n">
        <v>4111.71117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10</v>
      </c>
      <c r="G43" s="15" t="n">
        <v>130</v>
      </c>
      <c r="H43" s="15" t="n">
        <v>1150</v>
      </c>
      <c r="I43" s="15" t="n">
        <v>4400</v>
      </c>
      <c r="J43" s="15" t="n">
        <v>6600</v>
      </c>
      <c r="K43" s="15" t="n">
        <v>8600</v>
      </c>
      <c r="L43" s="15" t="n">
        <v>10500</v>
      </c>
      <c r="M43" s="15" t="n">
        <v>12000</v>
      </c>
      <c r="N43" s="15" t="n">
        <v>13300</v>
      </c>
      <c r="O43" s="15" t="n">
        <v>14400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55</v>
      </c>
      <c r="H45" s="15" t="n">
        <v>640</v>
      </c>
      <c r="I45" s="15" t="n">
        <v>2600</v>
      </c>
      <c r="J45" s="15" t="n">
        <v>4000</v>
      </c>
      <c r="K45" s="15" t="n">
        <v>5300</v>
      </c>
      <c r="L45" s="15" t="n">
        <v>6600</v>
      </c>
      <c r="M45" s="15" t="n">
        <v>7700</v>
      </c>
      <c r="N45" s="15" t="n">
        <v>8600</v>
      </c>
      <c r="O45" s="15" t="n">
        <v>9400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15</v>
      </c>
      <c r="H47" s="15" t="n">
        <v>90</v>
      </c>
      <c r="I47" s="15" t="n">
        <v>260</v>
      </c>
      <c r="J47" s="15" t="n">
        <v>420</v>
      </c>
      <c r="K47" s="15" t="n">
        <v>560</v>
      </c>
      <c r="L47" s="15" t="n">
        <v>690</v>
      </c>
      <c r="M47" s="15" t="n">
        <v>800</v>
      </c>
      <c r="N47" s="15" t="n">
        <v>890</v>
      </c>
      <c r="O47" s="15" t="n">
        <v>960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9.720000000000001</v>
      </c>
      <c r="H50" s="15" t="n">
        <v>80.19</v>
      </c>
      <c r="I50" s="15" t="n">
        <v>305.76</v>
      </c>
      <c r="J50" s="15" t="n">
        <v>564.48</v>
      </c>
      <c r="K50" s="15" t="n">
        <v>839.7311999999999</v>
      </c>
      <c r="L50" s="15" t="n">
        <v>1116.972</v>
      </c>
      <c r="M50" s="15" t="n">
        <v>1372.8</v>
      </c>
      <c r="N50" s="15" t="n">
        <v>1603.602</v>
      </c>
      <c r="O50" s="15" t="n">
        <v>1824.768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15</v>
      </c>
      <c r="H52" s="15" t="n">
        <v>75</v>
      </c>
      <c r="I52" s="15" t="n">
        <v>170</v>
      </c>
      <c r="J52" s="15" t="n">
        <v>160</v>
      </c>
      <c r="K52" s="15" t="n">
        <v>140</v>
      </c>
      <c r="L52" s="15" t="n">
        <v>130</v>
      </c>
      <c r="M52" s="15" t="n">
        <v>110</v>
      </c>
      <c r="N52" s="15" t="n">
        <v>90</v>
      </c>
      <c r="O52" s="15" t="n">
        <v>70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0.375</v>
      </c>
      <c r="H53" s="15" t="n">
        <v>1.875</v>
      </c>
      <c r="I53" s="15" t="n">
        <v>5.1</v>
      </c>
      <c r="J53" s="15" t="n">
        <v>4.8</v>
      </c>
      <c r="K53" s="15" t="n">
        <v>4.48</v>
      </c>
      <c r="L53" s="15" t="n">
        <v>4.16</v>
      </c>
      <c r="M53" s="15" t="n">
        <v>3.74</v>
      </c>
      <c r="N53" s="15" t="n">
        <v>3.06</v>
      </c>
      <c r="O53" s="15" t="n">
        <v>2.45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20</v>
      </c>
      <c r="H54" s="15" t="n">
        <v>150</v>
      </c>
      <c r="I54" s="15" t="n">
        <v>600</v>
      </c>
      <c r="J54" s="15" t="n">
        <v>1050</v>
      </c>
      <c r="K54" s="15" t="n">
        <v>1500</v>
      </c>
      <c r="L54" s="15" t="n">
        <v>1950</v>
      </c>
      <c r="M54" s="15" t="n">
        <v>2350</v>
      </c>
      <c r="N54" s="15" t="n">
        <v>2700</v>
      </c>
      <c r="O54" s="15" t="n">
        <v>3000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9.6</v>
      </c>
      <c r="H56" s="15" t="n">
        <v>81</v>
      </c>
      <c r="I56" s="15" t="n">
        <v>360</v>
      </c>
      <c r="J56" s="15" t="n">
        <v>655.2</v>
      </c>
      <c r="K56" s="15" t="n">
        <v>972</v>
      </c>
      <c r="L56" s="15" t="n">
        <v>1310.4</v>
      </c>
      <c r="M56" s="15" t="n">
        <v>1635.6</v>
      </c>
      <c r="N56" s="15" t="n">
        <v>1944</v>
      </c>
      <c r="O56" s="15" t="n">
        <v>2232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500</v>
      </c>
      <c r="G57" s="15" t="n">
        <v>3000</v>
      </c>
      <c r="H57" s="15" t="n">
        <v>9000</v>
      </c>
      <c r="I57" s="15" t="n">
        <v>20000</v>
      </c>
      <c r="J57" s="15" t="n">
        <v>30000</v>
      </c>
      <c r="K57" s="15" t="n">
        <v>38000</v>
      </c>
      <c r="L57" s="15" t="n">
        <v>45000</v>
      </c>
      <c r="M57" s="15" t="n">
        <v>50000</v>
      </c>
      <c r="N57" s="15" t="n">
        <v>54000</v>
      </c>
      <c r="O57" s="15" t="n">
        <v>57000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1.8</v>
      </c>
      <c r="G59" s="15" t="n">
        <v>11.52</v>
      </c>
      <c r="H59" s="15" t="n">
        <v>36.72</v>
      </c>
      <c r="I59" s="15" t="n">
        <v>86.40000000000001</v>
      </c>
      <c r="J59" s="15" t="n">
        <v>135</v>
      </c>
      <c r="K59" s="15" t="n">
        <v>175.56</v>
      </c>
      <c r="L59" s="15" t="n">
        <v>213.3</v>
      </c>
      <c r="M59" s="15" t="n">
        <v>243</v>
      </c>
      <c r="N59" s="15" t="n">
        <v>268.92</v>
      </c>
      <c r="O59" s="15" t="n">
        <v>287.28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17.72</v>
      </c>
      <c r="G60" s="21" t="n">
        <v>300.115</v>
      </c>
      <c r="H60" s="21" t="n">
        <v>3188.779244827586</v>
      </c>
      <c r="I60" s="21" t="n">
        <v>13998.75391304348</v>
      </c>
      <c r="J60" s="21" t="n">
        <v>23319.132734976</v>
      </c>
      <c r="K60" s="21" t="n">
        <v>32789.27528481012</v>
      </c>
      <c r="L60" s="21" t="n">
        <v>41925.30687760528</v>
      </c>
      <c r="M60" s="21" t="n">
        <v>50563.13133022188</v>
      </c>
      <c r="N60" s="21" t="n">
        <v>57976.55969255384</v>
      </c>
      <c r="O60" s="21" t="n">
        <v>64889.00917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82.28</v>
      </c>
      <c r="G62" s="21" t="n">
        <v>699.885</v>
      </c>
      <c r="H62" s="21" t="n">
        <v>5811.220755172414</v>
      </c>
      <c r="I62" s="21" t="n">
        <v>33001.24608695653</v>
      </c>
      <c r="J62" s="21" t="n">
        <v>68680.867265024</v>
      </c>
      <c r="K62" s="21" t="n">
        <v>107210.7247151899</v>
      </c>
      <c r="L62" s="21" t="n">
        <v>148074.6931223947</v>
      </c>
      <c r="M62" s="21" t="n">
        <v>194436.8686697781</v>
      </c>
      <c r="N62" s="21" t="n">
        <v>242023.4403074462</v>
      </c>
      <c r="O62" s="21" t="n">
        <v>290110.99083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23.66515289131093</v>
      </c>
      <c r="G64" s="22" t="n">
        <v>184.4837401041781</v>
      </c>
      <c r="H64" s="22" t="n">
        <v>1401.404743476602</v>
      </c>
      <c r="I64" s="22" t="n">
        <v>10794.69046433905</v>
      </c>
      <c r="J64" s="22" t="n">
        <v>23212.53667758359</v>
      </c>
      <c r="K64" s="22" t="n">
        <v>40414.44488307316</v>
      </c>
      <c r="L64" s="22" t="n">
        <v>62267.68663393783</v>
      </c>
      <c r="M64" s="22" t="n">
        <v>86773.6944627858</v>
      </c>
      <c r="N64" s="22" t="n">
        <v>117595.465736628</v>
      </c>
      <c r="O64" s="22" t="n">
        <v>145630.1428568291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18.68301544050863</v>
      </c>
      <c r="G65" s="22" t="n">
        <v>151.2161804132607</v>
      </c>
      <c r="H65" s="22" t="n">
        <v>1208.107537479829</v>
      </c>
      <c r="I65" s="22" t="n">
        <v>9386.687360294822</v>
      </c>
      <c r="J65" s="22" t="n">
        <v>20427.03227627356</v>
      </c>
      <c r="K65" s="22" t="n">
        <v>35810.26761791292</v>
      </c>
      <c r="L65" s="22" t="n">
        <v>55713.19330404964</v>
      </c>
      <c r="M65" s="22" t="n">
        <v>77768.87711287408</v>
      </c>
      <c r="N65" s="22" t="n">
        <v>105534.3923277431</v>
      </c>
      <c r="O65" s="22" t="n">
        <v>130839.5814729324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4.982137450802301</v>
      </c>
      <c r="G66" s="22" t="n">
        <v>33.26755969091735</v>
      </c>
      <c r="H66" s="22" t="n">
        <v>193.2972059967728</v>
      </c>
      <c r="I66" s="22" t="n">
        <v>1408.003104044224</v>
      </c>
      <c r="J66" s="22" t="n">
        <v>2785.50440131003</v>
      </c>
      <c r="K66" s="22" t="n">
        <v>4604.177265160235</v>
      </c>
      <c r="L66" s="22" t="n">
        <v>6554.493329888192</v>
      </c>
      <c r="M66" s="22" t="n">
        <v>9004.817349911733</v>
      </c>
      <c r="N66" s="22" t="n">
        <v>12061.07340888492</v>
      </c>
      <c r="O66" s="22" t="n">
        <v>14790.56138389671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12.45534362700575</v>
      </c>
      <c r="G67" s="15" t="n">
        <v>60.48647216530428</v>
      </c>
      <c r="H67" s="15" t="n">
        <v>241.6215074959658</v>
      </c>
      <c r="I67" s="15" t="n">
        <v>1173.335920036853</v>
      </c>
      <c r="J67" s="15" t="n">
        <v>1857.002934206687</v>
      </c>
      <c r="K67" s="15" t="n">
        <v>2557.876258422352</v>
      </c>
      <c r="L67" s="15" t="n">
        <v>3277.246664944096</v>
      </c>
      <c r="M67" s="15" t="n">
        <v>4093.098795414424</v>
      </c>
      <c r="N67" s="15" t="n">
        <v>5025.447253702053</v>
      </c>
      <c r="O67" s="15" t="n">
        <v>5688.677455344887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2761939.368278734</v>
      </c>
      <c r="H68" s="15" t="n">
        <v>2206589.109552199</v>
      </c>
      <c r="I68" s="15" t="n">
        <v>3214618.959005076</v>
      </c>
      <c r="J68" s="15" t="n">
        <v>2992752.512823025</v>
      </c>
      <c r="K68" s="15" t="n">
        <v>2919950.066692183</v>
      </c>
      <c r="L68" s="15" t="n">
        <v>2896373.543918777</v>
      </c>
      <c r="M68" s="15" t="n">
        <v>3030802.514190614</v>
      </c>
      <c r="N68" s="15" t="n">
        <v>3278178.247685618</v>
      </c>
      <c r="O68" s="15" t="n">
        <v>3388134.279538348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23.68515289131093</v>
      </c>
      <c r="G70" s="22" t="n">
        <v>184.8837401041781</v>
      </c>
      <c r="H70" s="22" t="n">
        <v>1457.804743476602</v>
      </c>
      <c r="I70" s="22" t="n">
        <v>11092.69046433905</v>
      </c>
      <c r="J70" s="22" t="n">
        <v>23836.13667758358</v>
      </c>
      <c r="K70" s="22" t="n">
        <v>41406.44488307316</v>
      </c>
      <c r="L70" s="22" t="n">
        <v>63617.28663393783</v>
      </c>
      <c r="M70" s="22" t="n">
        <v>88478.8944627858</v>
      </c>
      <c r="N70" s="22" t="n">
        <v>119595.465736628</v>
      </c>
      <c r="O70" s="22" t="n">
        <v>147894.1428568291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10.65831880108992</v>
      </c>
      <c r="G71" s="22" t="n">
        <v>73.95349604167124</v>
      </c>
      <c r="H71" s="22" t="n">
        <v>510.2316602168107</v>
      </c>
      <c r="I71" s="22" t="n">
        <v>3327.807139301714</v>
      </c>
      <c r="J71" s="22" t="n">
        <v>6674.118269723404</v>
      </c>
      <c r="K71" s="22" t="n">
        <v>10765.67566959902</v>
      </c>
      <c r="L71" s="22" t="n">
        <v>15904.32165848446</v>
      </c>
      <c r="M71" s="22" t="n">
        <v>21234.93467106859</v>
      </c>
      <c r="N71" s="22" t="n">
        <v>27506.95711942445</v>
      </c>
      <c r="O71" s="22" t="n">
        <v>32536.7114285024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5.921288222827733</v>
      </c>
      <c r="G72" s="22" t="n">
        <v>36.97674802083562</v>
      </c>
      <c r="H72" s="22" t="n">
        <v>218.6707115214903</v>
      </c>
      <c r="I72" s="22" t="n">
        <v>1331.122855720685</v>
      </c>
      <c r="J72" s="22" t="n">
        <v>2621.975034534194</v>
      </c>
      <c r="K72" s="22" t="n">
        <v>4140.644488307315</v>
      </c>
      <c r="L72" s="22" t="n">
        <v>6361.728663393784</v>
      </c>
      <c r="M72" s="22" t="n">
        <v>7963.100501650722</v>
      </c>
      <c r="N72" s="22" t="n">
        <v>10763.59191629652</v>
      </c>
      <c r="O72" s="22" t="n">
        <v>11831.53142854633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40.26475991522859</v>
      </c>
      <c r="G73" s="22" t="n">
        <v>295.8139841666849</v>
      </c>
      <c r="H73" s="22" t="n">
        <v>2186.707115214903</v>
      </c>
      <c r="I73" s="22" t="n">
        <v>15751.62045936145</v>
      </c>
      <c r="J73" s="22" t="n">
        <v>33132.22998184118</v>
      </c>
      <c r="K73" s="22" t="n">
        <v>56312.76504097949</v>
      </c>
      <c r="L73" s="22" t="n">
        <v>85883.33695581608</v>
      </c>
      <c r="M73" s="22" t="n">
        <v>117676.9296355051</v>
      </c>
      <c r="N73" s="22" t="n">
        <v>157866.014772349</v>
      </c>
      <c r="O73" s="22" t="n">
        <v>192262.3857138778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3731740.630136352</v>
      </c>
      <c r="F74" s="15" t="n">
        <v>3506161.608779918</v>
      </c>
      <c r="G74" s="15" t="n">
        <v>3180795.528674031</v>
      </c>
      <c r="H74" s="15" t="n">
        <v>3135943.612042821</v>
      </c>
      <c r="I74" s="15" t="n">
        <v>4501281.403189565</v>
      </c>
      <c r="J74" s="15" t="n">
        <v>4862906.138303649</v>
      </c>
      <c r="K74" s="15" t="n">
        <v>5383077.254304362</v>
      </c>
      <c r="L74" s="15" t="n">
        <v>6087778.625257209</v>
      </c>
      <c r="M74" s="15" t="n">
        <v>6520553.446803942</v>
      </c>
      <c r="N74" s="15" t="n">
        <v>7213694.758717244</v>
      </c>
      <c r="O74" s="15" t="n">
        <v>7511851.420397381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1618269.230769231</v>
      </c>
      <c r="F75" s="15" t="n">
        <v>11484000</v>
      </c>
      <c r="G75" s="15" t="n">
        <v>93000000.00000001</v>
      </c>
      <c r="H75" s="15" t="n">
        <v>697304347.826087</v>
      </c>
      <c r="I75" s="15" t="n">
        <v>3499363636.363636</v>
      </c>
      <c r="J75" s="15" t="n">
        <v>6813257142.857143</v>
      </c>
      <c r="K75" s="15" t="n">
        <v>10461073170.73171</v>
      </c>
      <c r="L75" s="15" t="n">
        <v>14107500000</v>
      </c>
      <c r="M75" s="15" t="n">
        <v>18047076923.07692</v>
      </c>
      <c r="N75" s="15" t="n">
        <v>21884210526.3158</v>
      </c>
      <c r="O75" s="15" t="n">
        <v>25594540540.54054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2942307.692307692</v>
      </c>
      <c r="F77" s="15" t="n">
        <v>19800000</v>
      </c>
      <c r="G77" s="15" t="n">
        <v>150000000</v>
      </c>
      <c r="H77" s="15" t="n">
        <v>1056521739.130435</v>
      </c>
      <c r="I77" s="15" t="n">
        <v>4999090909.090909</v>
      </c>
      <c r="J77" s="15" t="n">
        <v>9462857142.857143</v>
      </c>
      <c r="K77" s="15" t="n">
        <v>14136585365.85366</v>
      </c>
      <c r="L77" s="15" t="n">
        <v>18810000000</v>
      </c>
      <c r="M77" s="15" t="n">
        <v>23746153846.15385</v>
      </c>
      <c r="N77" s="15" t="n">
        <v>28421052631.57895</v>
      </c>
      <c r="O77" s="15" t="n">
        <v>32813513513.51352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7.65</v>
      </c>
      <c r="F79" s="15" t="n">
        <v>49.50000000000001</v>
      </c>
      <c r="G79" s="15" t="n">
        <v>360.0000000000001</v>
      </c>
      <c r="H79" s="15" t="n">
        <v>2430</v>
      </c>
      <c r="I79" s="15" t="n">
        <v>10998</v>
      </c>
      <c r="J79" s="15" t="n">
        <v>19872</v>
      </c>
      <c r="K79" s="15" t="n">
        <v>28980</v>
      </c>
      <c r="L79" s="15" t="n">
        <v>37620</v>
      </c>
      <c r="M79" s="15" t="n">
        <v>46305</v>
      </c>
      <c r="N79" s="15" t="n">
        <v>54000.00000000001</v>
      </c>
      <c r="O79" s="15" t="n">
        <v>60705.00000000001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3</v>
      </c>
      <c r="G80" s="15" t="n">
        <v>20</v>
      </c>
      <c r="H80" s="15" t="n">
        <v>120</v>
      </c>
      <c r="I80" s="15" t="n">
        <v>480</v>
      </c>
      <c r="J80" s="15" t="n">
        <v>800</v>
      </c>
      <c r="K80" s="15" t="n">
        <v>1150</v>
      </c>
      <c r="L80" s="15" t="n">
        <v>1500</v>
      </c>
      <c r="M80" s="15" t="n">
        <v>1850</v>
      </c>
      <c r="N80" s="15" t="n">
        <v>2150</v>
      </c>
      <c r="O80" s="15" t="n">
        <v>2450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0.054</v>
      </c>
      <c r="G82" s="15" t="n">
        <v>0.32</v>
      </c>
      <c r="H82" s="15" t="n">
        <v>1.68</v>
      </c>
      <c r="I82" s="15" t="n">
        <v>5.76</v>
      </c>
      <c r="J82" s="15" t="n">
        <v>8.800000000000001</v>
      </c>
      <c r="K82" s="15" t="n">
        <v>11.5</v>
      </c>
      <c r="L82" s="15" t="n">
        <v>13.5</v>
      </c>
      <c r="M82" s="15" t="n">
        <v>16.65</v>
      </c>
      <c r="N82" s="15" t="n">
        <v>17.2</v>
      </c>
      <c r="O82" s="15" t="n">
        <v>19.6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1</v>
      </c>
      <c r="G83" s="15" t="n">
        <v>6</v>
      </c>
      <c r="H83" s="15" t="n">
        <v>35</v>
      </c>
      <c r="I83" s="15" t="n">
        <v>120</v>
      </c>
      <c r="J83" s="15" t="n">
        <v>190</v>
      </c>
      <c r="K83" s="15" t="n">
        <v>260</v>
      </c>
      <c r="L83" s="15" t="n">
        <v>330</v>
      </c>
      <c r="M83" s="15" t="n">
        <v>400</v>
      </c>
      <c r="N83" s="15" t="n">
        <v>460</v>
      </c>
      <c r="O83" s="15" t="n">
        <v>520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2</v>
      </c>
      <c r="G84" s="15" t="n">
        <v>10</v>
      </c>
      <c r="H84" s="15" t="n">
        <v>55</v>
      </c>
      <c r="I84" s="15" t="n">
        <v>200</v>
      </c>
      <c r="J84" s="15" t="n">
        <v>320</v>
      </c>
      <c r="K84" s="15" t="n">
        <v>440</v>
      </c>
      <c r="L84" s="15" t="n">
        <v>560</v>
      </c>
      <c r="M84" s="15" t="n">
        <v>680</v>
      </c>
      <c r="N84" s="15" t="n">
        <v>780</v>
      </c>
      <c r="O84" s="15" t="n">
        <v>880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2.013237995761429</v>
      </c>
      <c r="G87" s="15" t="n">
        <v>11.8325593666674</v>
      </c>
      <c r="H87" s="15" t="n">
        <v>76.5347490325216</v>
      </c>
      <c r="I87" s="15" t="n">
        <v>472.5486137808434</v>
      </c>
      <c r="J87" s="15" t="n">
        <v>927.7024394915532</v>
      </c>
      <c r="K87" s="15" t="n">
        <v>1464.131891065467</v>
      </c>
      <c r="L87" s="15" t="n">
        <v>2147.083423895402</v>
      </c>
      <c r="M87" s="15" t="n">
        <v>2824.246311252123</v>
      </c>
      <c r="N87" s="15" t="n">
        <v>3630.918339764026</v>
      </c>
      <c r="O87" s="15" t="n">
        <v>4229.772485705313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120000</v>
      </c>
      <c r="G88" s="15" t="n">
        <v>700000</v>
      </c>
      <c r="H88" s="15" t="n">
        <v>3500000</v>
      </c>
      <c r="I88" s="15" t="n">
        <v>12000000</v>
      </c>
      <c r="J88" s="15" t="n">
        <v>19000000</v>
      </c>
      <c r="K88" s="15" t="n">
        <v>26000000</v>
      </c>
      <c r="L88" s="15" t="n">
        <v>33000000</v>
      </c>
      <c r="M88" s="15" t="n">
        <v>39000000</v>
      </c>
      <c r="N88" s="15" t="n">
        <v>44000000</v>
      </c>
      <c r="O88" s="15" t="n">
        <v>48000000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0.48</v>
      </c>
      <c r="G90" s="15" t="n">
        <v>2.66</v>
      </c>
      <c r="H90" s="15" t="n">
        <v>12.6</v>
      </c>
      <c r="I90" s="15" t="n">
        <v>42</v>
      </c>
      <c r="J90" s="15" t="n">
        <v>64.59999999999999</v>
      </c>
      <c r="K90" s="15" t="n">
        <v>85.8</v>
      </c>
      <c r="L90" s="15" t="n">
        <v>105.6</v>
      </c>
      <c r="M90" s="15" t="n">
        <v>124.8</v>
      </c>
      <c r="N90" s="15" t="n">
        <v>136.4</v>
      </c>
      <c r="O90" s="15" t="n">
        <v>144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84.8</v>
      </c>
      <c r="G91" s="15" t="n">
        <v>747.9</v>
      </c>
      <c r="H91" s="15" t="n">
        <v>6424</v>
      </c>
      <c r="I91" s="15" t="n">
        <v>35342.00000000001</v>
      </c>
      <c r="J91" s="15" t="n">
        <v>73142</v>
      </c>
      <c r="K91" s="15" t="n">
        <v>113720</v>
      </c>
      <c r="L91" s="15" t="n">
        <v>156478</v>
      </c>
      <c r="M91" s="15" t="n">
        <v>204676</v>
      </c>
      <c r="N91" s="15" t="n">
        <v>253647</v>
      </c>
      <c r="O91" s="15" t="n">
        <v>303038.0000000001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2.3744</v>
      </c>
      <c r="G93" s="15" t="n">
        <v>20.1933</v>
      </c>
      <c r="H93" s="15" t="n">
        <v>167.024</v>
      </c>
      <c r="I93" s="15" t="n">
        <v>883.5500000000002</v>
      </c>
      <c r="J93" s="15" t="n">
        <v>1755.408</v>
      </c>
      <c r="K93" s="15" t="n">
        <v>2729.28</v>
      </c>
      <c r="L93" s="15" t="n">
        <v>3598.994</v>
      </c>
      <c r="M93" s="15" t="n">
        <v>4707.547999999999</v>
      </c>
      <c r="N93" s="15" t="n">
        <v>5580.234</v>
      </c>
      <c r="O93" s="15" t="n">
        <v>6666.836000000001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1.6</v>
      </c>
      <c r="G95" s="15" t="n">
        <v>36</v>
      </c>
      <c r="H95" s="15" t="n">
        <v>454.9999999999999</v>
      </c>
      <c r="I95" s="15" t="n">
        <v>2508</v>
      </c>
      <c r="J95" s="15" t="n">
        <v>4480</v>
      </c>
      <c r="K95" s="15" t="n">
        <v>6440</v>
      </c>
      <c r="L95" s="15" t="n">
        <v>8400</v>
      </c>
      <c r="M95" s="15" t="n">
        <v>10101</v>
      </c>
      <c r="N95" s="15" t="n">
        <v>11739</v>
      </c>
      <c r="O95" s="15" t="n">
        <v>13034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0.48</v>
      </c>
      <c r="G97" s="15" t="n">
        <v>10.8</v>
      </c>
      <c r="H97" s="15" t="n">
        <v>127.4</v>
      </c>
      <c r="I97" s="15" t="n">
        <v>501.6</v>
      </c>
      <c r="J97" s="15" t="n">
        <v>896</v>
      </c>
      <c r="K97" s="15" t="n">
        <v>1159.2</v>
      </c>
      <c r="L97" s="15" t="n">
        <v>1512</v>
      </c>
      <c r="M97" s="15" t="n">
        <v>1717.17</v>
      </c>
      <c r="N97" s="15" t="n">
        <v>1995.63</v>
      </c>
      <c r="O97" s="15" t="n">
        <v>1955.1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0.3333333333333333</v>
      </c>
      <c r="G99" s="15" t="n">
        <v>3</v>
      </c>
      <c r="H99" s="15" t="n">
        <v>12</v>
      </c>
      <c r="I99" s="15" t="n">
        <v>33.33333333333334</v>
      </c>
      <c r="J99" s="15" t="n">
        <v>53.125</v>
      </c>
      <c r="K99" s="15" t="n">
        <v>70.58823529411765</v>
      </c>
      <c r="L99" s="15" t="n">
        <v>86.11111111111111</v>
      </c>
      <c r="M99" s="15" t="n">
        <v>97.36842105263158</v>
      </c>
      <c r="N99" s="15" t="n">
        <v>105</v>
      </c>
      <c r="O99" s="15" t="n">
        <v>109.5238095238095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0.06</v>
      </c>
      <c r="G101" s="15" t="n">
        <v>0.57</v>
      </c>
      <c r="H101" s="15" t="n">
        <v>2.4</v>
      </c>
      <c r="I101" s="15" t="n">
        <v>7.000000000000001</v>
      </c>
      <c r="J101" s="15" t="n">
        <v>11.58125</v>
      </c>
      <c r="K101" s="15" t="n">
        <v>15.88235294117647</v>
      </c>
      <c r="L101" s="15" t="n">
        <v>19.97777777777778</v>
      </c>
      <c r="M101" s="15" t="n">
        <v>23.17368421052631</v>
      </c>
      <c r="N101" s="15" t="n">
        <v>25.62</v>
      </c>
      <c r="O101" s="15" t="n">
        <v>27.38095238095238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20</v>
      </c>
      <c r="G102" s="15" t="n">
        <v>150</v>
      </c>
      <c r="H102" s="15" t="n">
        <v>800</v>
      </c>
      <c r="I102" s="15" t="n">
        <v>2600</v>
      </c>
      <c r="J102" s="15" t="n">
        <v>4200</v>
      </c>
      <c r="K102" s="15" t="n">
        <v>5800</v>
      </c>
      <c r="L102" s="15" t="n">
        <v>7300</v>
      </c>
      <c r="M102" s="15" t="n">
        <v>8600</v>
      </c>
      <c r="N102" s="15" t="n">
        <v>9700</v>
      </c>
      <c r="O102" s="15" t="n">
        <v>10600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0.12</v>
      </c>
      <c r="G104" s="15" t="n">
        <v>0.825</v>
      </c>
      <c r="H104" s="15" t="n">
        <v>4</v>
      </c>
      <c r="I104" s="15" t="n">
        <v>11.7</v>
      </c>
      <c r="J104" s="15" t="n">
        <v>17.64</v>
      </c>
      <c r="K104" s="15" t="n">
        <v>23.2</v>
      </c>
      <c r="L104" s="15" t="n">
        <v>27.74</v>
      </c>
      <c r="M104" s="15" t="n">
        <v>30.96</v>
      </c>
      <c r="N104" s="15" t="n">
        <v>33.95</v>
      </c>
      <c r="O104" s="15" t="n">
        <v>36.04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8.843948051948054</v>
      </c>
      <c r="F105" s="21" t="n">
        <v>58.08163799576143</v>
      </c>
      <c r="G105" s="21" t="n">
        <v>423.2008593666675</v>
      </c>
      <c r="H105" s="21" t="n">
        <v>2911.638749032521</v>
      </c>
      <c r="I105" s="21" t="n">
        <v>13242.15861378085</v>
      </c>
      <c r="J105" s="21" t="n">
        <v>24063.73168949155</v>
      </c>
      <c r="K105" s="21" t="n">
        <v>35168.99424400664</v>
      </c>
      <c r="L105" s="21" t="n">
        <v>45934.89520167318</v>
      </c>
      <c r="M105" s="21" t="n">
        <v>56829.54799546265</v>
      </c>
      <c r="N105" s="21" t="n">
        <v>66659.95233976403</v>
      </c>
      <c r="O105" s="21" t="n">
        <v>75183.72943808626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0.1156051948051946</v>
      </c>
      <c r="F106" s="25" t="n">
        <v>0.4191836200423856</v>
      </c>
      <c r="G106" s="25" t="n">
        <v>0.5767991406333325</v>
      </c>
      <c r="H106" s="25" t="n">
        <v>0.676484583440831</v>
      </c>
      <c r="I106" s="25" t="n">
        <v>0.7182519443876416</v>
      </c>
      <c r="J106" s="25" t="n">
        <v>0.7384376990272657</v>
      </c>
      <c r="K106" s="25" t="n">
        <v>0.7487928982570955</v>
      </c>
      <c r="L106" s="25" t="n">
        <v>0.7582373936754043</v>
      </c>
      <c r="M106" s="25" t="n">
        <v>0.7680426612430096</v>
      </c>
      <c r="N106" s="25" t="n">
        <v>0.7778001588674532</v>
      </c>
      <c r="O106" s="25" t="n">
        <v>0.7882148466532781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9.24</v>
      </c>
      <c r="F115" s="15" t="n">
        <v>31.68</v>
      </c>
      <c r="G115" s="15" t="n">
        <v>924</v>
      </c>
      <c r="H115" s="15" t="n">
        <v>1069.2</v>
      </c>
      <c r="I115" s="15" t="n">
        <v>5335.44</v>
      </c>
      <c r="J115" s="15" t="n">
        <v>8500.799999999999</v>
      </c>
      <c r="K115" s="15" t="n">
        <v>11088</v>
      </c>
      <c r="L115" s="15" t="n">
        <v>13041.6</v>
      </c>
      <c r="M115" s="15" t="n">
        <v>14876.4</v>
      </c>
      <c r="N115" s="15" t="n">
        <v>16632</v>
      </c>
      <c r="O115" s="15" t="n">
        <v>17806.8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36.8</v>
      </c>
      <c r="F117" s="15" t="n">
        <v>130.6</v>
      </c>
      <c r="G117" s="15" t="n">
        <v>3630</v>
      </c>
      <c r="H117" s="15" t="n">
        <v>4464</v>
      </c>
      <c r="I117" s="15" t="n">
        <v>22014.8</v>
      </c>
      <c r="J117" s="15" t="n">
        <v>35696</v>
      </c>
      <c r="K117" s="15" t="n">
        <v>46760</v>
      </c>
      <c r="L117" s="15" t="n">
        <v>54872</v>
      </c>
      <c r="M117" s="15" t="n">
        <v>63063</v>
      </c>
      <c r="N117" s="15" t="n">
        <v>70440</v>
      </c>
      <c r="O117" s="15" t="n">
        <v>75331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58.8</v>
      </c>
      <c r="F118" s="21" t="n">
        <v>212.2</v>
      </c>
      <c r="G118" s="21" t="n">
        <v>3956.5</v>
      </c>
      <c r="H118" s="21" t="n">
        <v>5750</v>
      </c>
      <c r="I118" s="21" t="n">
        <v>25724.8</v>
      </c>
      <c r="J118" s="21" t="n">
        <v>41242</v>
      </c>
      <c r="K118" s="21" t="n">
        <v>53890</v>
      </c>
      <c r="L118" s="21" t="n">
        <v>63404</v>
      </c>
      <c r="M118" s="21" t="n">
        <v>72685.5</v>
      </c>
      <c r="N118" s="21" t="n">
        <v>80899.5</v>
      </c>
      <c r="O118" s="21" t="n">
        <v>86625.5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4.62</v>
      </c>
      <c r="F142" s="15" t="n">
        <v>20.46</v>
      </c>
      <c r="G142" s="15" t="n">
        <v>477.84</v>
      </c>
      <c r="H142" s="15" t="n">
        <v>996.6</v>
      </c>
      <c r="I142" s="15" t="n">
        <v>3202.32</v>
      </c>
      <c r="J142" s="15" t="n">
        <v>6918.119999999999</v>
      </c>
      <c r="K142" s="15" t="n">
        <v>9794.4</v>
      </c>
      <c r="L142" s="15" t="n">
        <v>12064.8</v>
      </c>
      <c r="M142" s="15" t="n">
        <v>13959</v>
      </c>
      <c r="N142" s="15" t="n">
        <v>15754.2</v>
      </c>
      <c r="O142" s="15" t="n">
        <v>17219.4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5.12</v>
      </c>
      <c r="F147" s="21" t="n">
        <v>22.96</v>
      </c>
      <c r="G147" s="21" t="n">
        <v>490.34</v>
      </c>
      <c r="H147" s="21" t="n">
        <v>1053.1</v>
      </c>
      <c r="I147" s="21" t="n">
        <v>3538.32</v>
      </c>
      <c r="J147" s="21" t="n">
        <v>7892.119999999999</v>
      </c>
      <c r="K147" s="21" t="n">
        <v>11591.73333333333</v>
      </c>
      <c r="L147" s="21" t="n">
        <v>14945.46666666667</v>
      </c>
      <c r="M147" s="21" t="n">
        <v>18045.66666666667</v>
      </c>
      <c r="N147" s="21" t="n">
        <v>20927.53333333333</v>
      </c>
      <c r="O147" s="21" t="n">
        <v>23219.4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1.156051948051946</v>
      </c>
      <c r="F149" s="21" t="n">
        <v>41.91836200423857</v>
      </c>
      <c r="G149" s="21" t="n">
        <v>576.7991406333325</v>
      </c>
      <c r="H149" s="21" t="n">
        <v>6088.361250967479</v>
      </c>
      <c r="I149" s="21" t="n">
        <v>33757.84138621915</v>
      </c>
      <c r="J149" s="21" t="n">
        <v>67936.26831050846</v>
      </c>
      <c r="K149" s="21" t="n">
        <v>104831.0057559934</v>
      </c>
      <c r="L149" s="21" t="n">
        <v>144065.1047983268</v>
      </c>
      <c r="M149" s="21" t="n">
        <v>188170.4520045373</v>
      </c>
      <c r="N149" s="21" t="n">
        <v>233340.047660236</v>
      </c>
      <c r="O149" s="21" t="n">
        <v>279816.2705619137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-70.12394805194806</v>
      </c>
      <c r="F150" s="21" t="n">
        <v>-221.5816379957614</v>
      </c>
      <c r="G150" s="21" t="n">
        <v>-3988.840859366668</v>
      </c>
      <c r="H150" s="21" t="n">
        <v>-1299.838749032521</v>
      </c>
      <c r="I150" s="21" t="n">
        <v>2161.721386219153</v>
      </c>
      <c r="J150" s="21" t="n">
        <v>15168.64831050846</v>
      </c>
      <c r="K150" s="21" t="n">
        <v>34649.27242266003</v>
      </c>
      <c r="L150" s="21" t="n">
        <v>60062.43813166016</v>
      </c>
      <c r="M150" s="21" t="n">
        <v>90983.28533787066</v>
      </c>
      <c r="N150" s="21" t="n">
        <v>124335.7143269026</v>
      </c>
      <c r="O150" s="21" t="n">
        <v>162187.1705619137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-78.66794805194806</v>
      </c>
      <c r="F151" s="21" t="n">
        <v>-253.9546379957614</v>
      </c>
      <c r="G151" s="21" t="n">
        <v>-4068.490859366668</v>
      </c>
      <c r="H151" s="21" t="n">
        <v>-1542.443749032521</v>
      </c>
      <c r="I151" s="21" t="n">
        <v>933.5713862191528</v>
      </c>
      <c r="J151" s="21" t="n">
        <v>13428.89831050846</v>
      </c>
      <c r="K151" s="21" t="n">
        <v>32606.27242266003</v>
      </c>
      <c r="L151" s="21" t="n">
        <v>57800.65413166016</v>
      </c>
      <c r="M151" s="21" t="n">
        <v>88577.88533787067</v>
      </c>
      <c r="N151" s="21" t="n">
        <v>121865.7903269026</v>
      </c>
      <c r="O151" s="21" t="n">
        <v>159680.2385619137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-7.012394805194806</v>
      </c>
      <c r="F152" s="25" t="n">
        <v>-2.215816379957614</v>
      </c>
      <c r="G152" s="25" t="n">
        <v>-3.988840859366668</v>
      </c>
      <c r="H152" s="25" t="n">
        <v>-0.1444265276702801</v>
      </c>
      <c r="I152" s="25" t="n">
        <v>0.04599407204721602</v>
      </c>
      <c r="J152" s="25" t="n">
        <v>0.1648766120707441</v>
      </c>
      <c r="K152" s="25" t="n">
        <v>0.2474948030190002</v>
      </c>
      <c r="L152" s="25" t="n">
        <v>0.3161180954297903</v>
      </c>
      <c r="M152" s="25" t="n">
        <v>0.3713603483178394</v>
      </c>
      <c r="N152" s="25" t="n">
        <v>0.4144523810896755</v>
      </c>
      <c r="O152" s="25" t="n">
        <v>0.4568652691884894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Best/Recognized  (data block D4)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85</v>
      </c>
      <c r="G4" s="15" t="n">
        <v>600</v>
      </c>
      <c r="H4" s="15" t="n">
        <v>4680</v>
      </c>
      <c r="I4" s="15" t="n">
        <v>23500</v>
      </c>
      <c r="J4" s="15" t="n">
        <v>57040</v>
      </c>
      <c r="K4" s="15" t="n">
        <v>100800</v>
      </c>
      <c r="L4" s="15" t="n">
        <v>152000</v>
      </c>
      <c r="M4" s="15" t="n">
        <v>208250</v>
      </c>
      <c r="N4" s="15" t="n">
        <v>264000</v>
      </c>
      <c r="O4" s="15" t="n">
        <v>319500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4.25</v>
      </c>
      <c r="G29" s="15" t="n">
        <v>36</v>
      </c>
      <c r="H29" s="15" t="n">
        <v>156</v>
      </c>
      <c r="I29" s="15" t="n">
        <v>500</v>
      </c>
      <c r="J29" s="15" t="n">
        <v>1054</v>
      </c>
      <c r="K29" s="15" t="n">
        <v>1728</v>
      </c>
      <c r="L29" s="15" t="n">
        <v>2480</v>
      </c>
      <c r="M29" s="15" t="n">
        <v>3145</v>
      </c>
      <c r="N29" s="15" t="n">
        <v>3696</v>
      </c>
      <c r="O29" s="15" t="n">
        <v>4140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1700</v>
      </c>
      <c r="G31" s="15" t="n">
        <v>24000</v>
      </c>
      <c r="H31" s="15" t="n">
        <v>130000</v>
      </c>
      <c r="I31" s="15" t="n">
        <v>450000</v>
      </c>
      <c r="J31" s="15" t="n">
        <v>992000</v>
      </c>
      <c r="K31" s="15" t="n">
        <v>1656000</v>
      </c>
      <c r="L31" s="15" t="n">
        <v>2400000</v>
      </c>
      <c r="M31" s="15" t="n">
        <v>3060000</v>
      </c>
      <c r="N31" s="15" t="n">
        <v>3608000</v>
      </c>
      <c r="O31" s="15" t="n">
        <v>4050000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0.612</v>
      </c>
      <c r="G33" s="15" t="n">
        <v>10.08</v>
      </c>
      <c r="H33" s="15" t="n">
        <v>62.4</v>
      </c>
      <c r="I33" s="15" t="n">
        <v>243</v>
      </c>
      <c r="J33" s="15" t="n">
        <v>571.3920000000001</v>
      </c>
      <c r="K33" s="15" t="n">
        <v>993.6</v>
      </c>
      <c r="L33" s="15" t="n">
        <v>1497.6</v>
      </c>
      <c r="M33" s="15" t="n">
        <v>1982.88</v>
      </c>
      <c r="N33" s="15" t="n">
        <v>2381.28</v>
      </c>
      <c r="O33" s="15" t="n">
        <v>2721.6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6.8</v>
      </c>
      <c r="G34" s="15" t="n">
        <v>72</v>
      </c>
      <c r="H34" s="15" t="n">
        <v>676</v>
      </c>
      <c r="I34" s="15" t="n">
        <v>3300</v>
      </c>
      <c r="J34" s="15" t="n">
        <v>6944</v>
      </c>
      <c r="K34" s="15" t="n">
        <v>11592</v>
      </c>
      <c r="L34" s="15" t="n">
        <v>16800</v>
      </c>
      <c r="M34" s="15" t="n">
        <v>22015</v>
      </c>
      <c r="N34" s="15" t="n">
        <v>26488</v>
      </c>
      <c r="O34" s="15" t="n">
        <v>30870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28333.33333333333</v>
      </c>
      <c r="G36" s="15" t="n">
        <v>285714.2857142857</v>
      </c>
      <c r="H36" s="15" t="n">
        <v>2449275.362318841</v>
      </c>
      <c r="I36" s="15" t="n">
        <v>10576923.07692308</v>
      </c>
      <c r="J36" s="15" t="n">
        <v>20666666.66666667</v>
      </c>
      <c r="K36" s="15" t="n">
        <v>33310344.82758621</v>
      </c>
      <c r="L36" s="15" t="n">
        <v>46666666.66666666</v>
      </c>
      <c r="M36" s="15" t="n">
        <v>59180107.52688172</v>
      </c>
      <c r="N36" s="15" t="n">
        <v>68979166.66666667</v>
      </c>
      <c r="O36" s="15" t="n">
        <v>77954545.45454545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182000</v>
      </c>
      <c r="I37" s="15" t="n">
        <v>550000</v>
      </c>
      <c r="J37" s="15" t="n">
        <v>1116000</v>
      </c>
      <c r="K37" s="15" t="n">
        <v>1800000</v>
      </c>
      <c r="L37" s="15" t="n">
        <v>2480000</v>
      </c>
      <c r="M37" s="15" t="n">
        <v>3060000</v>
      </c>
      <c r="N37" s="15" t="n">
        <v>3520000</v>
      </c>
      <c r="O37" s="15" t="n">
        <v>3870000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43.68</v>
      </c>
      <c r="I39" s="15" t="n">
        <v>145.2</v>
      </c>
      <c r="J39" s="15" t="n">
        <v>321.408</v>
      </c>
      <c r="K39" s="15" t="n">
        <v>540</v>
      </c>
      <c r="L39" s="15" t="n">
        <v>773.76</v>
      </c>
      <c r="M39" s="15" t="n">
        <v>991.4400000000001</v>
      </c>
      <c r="N39" s="15" t="n">
        <v>1182.72</v>
      </c>
      <c r="O39" s="15" t="n">
        <v>1300.32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108.6770073103449</v>
      </c>
      <c r="I42" s="15" t="n">
        <v>403.5469565217391</v>
      </c>
      <c r="J42" s="15" t="n">
        <v>1030.22469568512</v>
      </c>
      <c r="K42" s="15" t="n">
        <v>1719.002941063291</v>
      </c>
      <c r="L42" s="15" t="n">
        <v>2335.419902084211</v>
      </c>
      <c r="M42" s="15" t="n">
        <v>2962.072630688604</v>
      </c>
      <c r="N42" s="15" t="n">
        <v>3303.500369447385</v>
      </c>
      <c r="O42" s="15" t="n">
        <v>3700.540053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8.5</v>
      </c>
      <c r="G43" s="15" t="n">
        <v>78</v>
      </c>
      <c r="H43" s="15" t="n">
        <v>598</v>
      </c>
      <c r="I43" s="15" t="n">
        <v>2200</v>
      </c>
      <c r="J43" s="15" t="n">
        <v>4092</v>
      </c>
      <c r="K43" s="15" t="n">
        <v>6192</v>
      </c>
      <c r="L43" s="15" t="n">
        <v>8400</v>
      </c>
      <c r="M43" s="15" t="n">
        <v>10200</v>
      </c>
      <c r="N43" s="15" t="n">
        <v>11704</v>
      </c>
      <c r="O43" s="15" t="n">
        <v>12960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33</v>
      </c>
      <c r="H45" s="15" t="n">
        <v>332.8</v>
      </c>
      <c r="I45" s="15" t="n">
        <v>1300</v>
      </c>
      <c r="J45" s="15" t="n">
        <v>2480</v>
      </c>
      <c r="K45" s="15" t="n">
        <v>3816</v>
      </c>
      <c r="L45" s="15" t="n">
        <v>5280</v>
      </c>
      <c r="M45" s="15" t="n">
        <v>6545</v>
      </c>
      <c r="N45" s="15" t="n">
        <v>7568</v>
      </c>
      <c r="O45" s="15" t="n">
        <v>8460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9</v>
      </c>
      <c r="H47" s="15" t="n">
        <v>46.8</v>
      </c>
      <c r="I47" s="15" t="n">
        <v>130</v>
      </c>
      <c r="J47" s="15" t="n">
        <v>260.4</v>
      </c>
      <c r="K47" s="15" t="n">
        <v>403.2</v>
      </c>
      <c r="L47" s="15" t="n">
        <v>552</v>
      </c>
      <c r="M47" s="15" t="n">
        <v>680</v>
      </c>
      <c r="N47" s="15" t="n">
        <v>783.2</v>
      </c>
      <c r="O47" s="15" t="n">
        <v>864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5.832000000000001</v>
      </c>
      <c r="H50" s="15" t="n">
        <v>41.69880000000001</v>
      </c>
      <c r="I50" s="15" t="n">
        <v>152.88</v>
      </c>
      <c r="J50" s="15" t="n">
        <v>349.9776</v>
      </c>
      <c r="K50" s="15" t="n">
        <v>604.606464</v>
      </c>
      <c r="L50" s="15" t="n">
        <v>893.5776</v>
      </c>
      <c r="M50" s="15" t="n">
        <v>1166.88</v>
      </c>
      <c r="N50" s="15" t="n">
        <v>1411.16976</v>
      </c>
      <c r="O50" s="15" t="n">
        <v>1642.2912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9</v>
      </c>
      <c r="H52" s="15" t="n">
        <v>37.8</v>
      </c>
      <c r="I52" s="15" t="n">
        <v>83.19999999999999</v>
      </c>
      <c r="J52" s="15" t="n">
        <v>130.4</v>
      </c>
      <c r="K52" s="15" t="n">
        <v>142.8</v>
      </c>
      <c r="L52" s="15" t="n">
        <v>148.8</v>
      </c>
      <c r="M52" s="15" t="n">
        <v>128</v>
      </c>
      <c r="N52" s="15" t="n">
        <v>103.2</v>
      </c>
      <c r="O52" s="15" t="n">
        <v>80.79999999999995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0.225</v>
      </c>
      <c r="H53" s="15" t="n">
        <v>0.9450000000000001</v>
      </c>
      <c r="I53" s="15" t="n">
        <v>2.496</v>
      </c>
      <c r="J53" s="15" t="n">
        <v>3.911999999999999</v>
      </c>
      <c r="K53" s="15" t="n">
        <v>4.5696</v>
      </c>
      <c r="L53" s="15" t="n">
        <v>4.7616</v>
      </c>
      <c r="M53" s="15" t="n">
        <v>4.352</v>
      </c>
      <c r="N53" s="15" t="n">
        <v>3.508800000000001</v>
      </c>
      <c r="O53" s="15" t="n">
        <v>2.827999999999999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12</v>
      </c>
      <c r="H54" s="15" t="n">
        <v>78</v>
      </c>
      <c r="I54" s="15" t="n">
        <v>300</v>
      </c>
      <c r="J54" s="15" t="n">
        <v>651</v>
      </c>
      <c r="K54" s="15" t="n">
        <v>1080</v>
      </c>
      <c r="L54" s="15" t="n">
        <v>1560</v>
      </c>
      <c r="M54" s="15" t="n">
        <v>1997.5</v>
      </c>
      <c r="N54" s="15" t="n">
        <v>2376</v>
      </c>
      <c r="O54" s="15" t="n">
        <v>2700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5.76</v>
      </c>
      <c r="H56" s="15" t="n">
        <v>42.12</v>
      </c>
      <c r="I56" s="15" t="n">
        <v>180</v>
      </c>
      <c r="J56" s="15" t="n">
        <v>406.224</v>
      </c>
      <c r="K56" s="15" t="n">
        <v>699.84</v>
      </c>
      <c r="L56" s="15" t="n">
        <v>1048.32</v>
      </c>
      <c r="M56" s="15" t="n">
        <v>1390.26</v>
      </c>
      <c r="N56" s="15" t="n">
        <v>1710.72</v>
      </c>
      <c r="O56" s="15" t="n">
        <v>2008.8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425</v>
      </c>
      <c r="G57" s="15" t="n">
        <v>1800</v>
      </c>
      <c r="H57" s="15" t="n">
        <v>4680</v>
      </c>
      <c r="I57" s="15" t="n">
        <v>10000</v>
      </c>
      <c r="J57" s="15" t="n">
        <v>18600</v>
      </c>
      <c r="K57" s="15" t="n">
        <v>27360</v>
      </c>
      <c r="L57" s="15" t="n">
        <v>36000</v>
      </c>
      <c r="M57" s="15" t="n">
        <v>42500</v>
      </c>
      <c r="N57" s="15" t="n">
        <v>47520</v>
      </c>
      <c r="O57" s="15" t="n">
        <v>51300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1.53</v>
      </c>
      <c r="G59" s="15" t="n">
        <v>6.912</v>
      </c>
      <c r="H59" s="15" t="n">
        <v>19.0944</v>
      </c>
      <c r="I59" s="15" t="n">
        <v>43.2</v>
      </c>
      <c r="J59" s="15" t="n">
        <v>83.7</v>
      </c>
      <c r="K59" s="15" t="n">
        <v>126.4032</v>
      </c>
      <c r="L59" s="15" t="n">
        <v>170.64</v>
      </c>
      <c r="M59" s="15" t="n">
        <v>206.55</v>
      </c>
      <c r="N59" s="15" t="n">
        <v>236.6496</v>
      </c>
      <c r="O59" s="15" t="n">
        <v>258.552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15.062</v>
      </c>
      <c r="G60" s="21" t="n">
        <v>180.069</v>
      </c>
      <c r="H60" s="21" t="n">
        <v>1658.135207310345</v>
      </c>
      <c r="I60" s="21" t="n">
        <v>6999.322956521739</v>
      </c>
      <c r="J60" s="21" t="n">
        <v>14458.79829568512</v>
      </c>
      <c r="K60" s="21" t="n">
        <v>23609.62220506329</v>
      </c>
      <c r="L60" s="21" t="n">
        <v>33541.67910208421</v>
      </c>
      <c r="M60" s="21" t="n">
        <v>42979.8346306886</v>
      </c>
      <c r="N60" s="21" t="n">
        <v>51020.18852944738</v>
      </c>
      <c r="O60" s="21" t="n">
        <v>58400.73125300001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69.938</v>
      </c>
      <c r="G62" s="21" t="n">
        <v>419.931</v>
      </c>
      <c r="H62" s="21" t="n">
        <v>3021.864792689656</v>
      </c>
      <c r="I62" s="21" t="n">
        <v>16500.67704347826</v>
      </c>
      <c r="J62" s="21" t="n">
        <v>42581.20170431488</v>
      </c>
      <c r="K62" s="21" t="n">
        <v>77190.37779493671</v>
      </c>
      <c r="L62" s="21" t="n">
        <v>118458.3208979158</v>
      </c>
      <c r="M62" s="21" t="n">
        <v>165270.1653693114</v>
      </c>
      <c r="N62" s="21" t="n">
        <v>212979.8114705526</v>
      </c>
      <c r="O62" s="21" t="n">
        <v>261099.268747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20.11537995761429</v>
      </c>
      <c r="G64" s="22" t="n">
        <v>110.6902440625068</v>
      </c>
      <c r="H64" s="22" t="n">
        <v>728.7377012568123</v>
      </c>
      <c r="I64" s="22" t="n">
        <v>5397.362895541492</v>
      </c>
      <c r="J64" s="22" t="n">
        <v>14391.45639385875</v>
      </c>
      <c r="K64" s="22" t="n">
        <v>29097.89367793603</v>
      </c>
      <c r="L64" s="22" t="n">
        <v>49813.54645629388</v>
      </c>
      <c r="M64" s="22" t="n">
        <v>73757.11680446225</v>
      </c>
      <c r="N64" s="22" t="n">
        <v>103483.6133663881</v>
      </c>
      <c r="O64" s="22" t="n">
        <v>131066.8158371173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15.88056312443234</v>
      </c>
      <c r="G65" s="22" t="n">
        <v>90.72970824795644</v>
      </c>
      <c r="H65" s="22" t="n">
        <v>628.2221562558726</v>
      </c>
      <c r="I65" s="22" t="n">
        <v>4693.359039601297</v>
      </c>
      <c r="J65" s="22" t="n">
        <v>12664.4816265957</v>
      </c>
      <c r="K65" s="22" t="n">
        <v>25782.94376525977</v>
      </c>
      <c r="L65" s="22" t="n">
        <v>44570.01525036821</v>
      </c>
      <c r="M65" s="22" t="n">
        <v>66103.07638135768</v>
      </c>
      <c r="N65" s="22" t="n">
        <v>92869.90943137395</v>
      </c>
      <c r="O65" s="22" t="n">
        <v>117755.34235366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4.234816833181956</v>
      </c>
      <c r="G66" s="22" t="n">
        <v>19.96053581455041</v>
      </c>
      <c r="H66" s="22" t="n">
        <v>100.5155450009397</v>
      </c>
      <c r="I66" s="22" t="n">
        <v>704.0038559401946</v>
      </c>
      <c r="J66" s="22" t="n">
        <v>1726.97476726305</v>
      </c>
      <c r="K66" s="22" t="n">
        <v>3314.949912676258</v>
      </c>
      <c r="L66" s="22" t="n">
        <v>5243.531205925671</v>
      </c>
      <c r="M66" s="22" t="n">
        <v>7654.040423104571</v>
      </c>
      <c r="N66" s="22" t="n">
        <v>10613.70393501416</v>
      </c>
      <c r="O66" s="22" t="n">
        <v>13311.47348345722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10.58704208295489</v>
      </c>
      <c r="G67" s="15" t="n">
        <v>36.29188329918258</v>
      </c>
      <c r="H67" s="15" t="n">
        <v>125.6444312511746</v>
      </c>
      <c r="I67" s="15" t="n">
        <v>586.6698799501622</v>
      </c>
      <c r="J67" s="15" t="n">
        <v>1151.3165115087</v>
      </c>
      <c r="K67" s="15" t="n">
        <v>1841.638840375698</v>
      </c>
      <c r="L67" s="15" t="n">
        <v>2621.765602962836</v>
      </c>
      <c r="M67" s="15" t="n">
        <v>3479.109283229352</v>
      </c>
      <c r="N67" s="15" t="n">
        <v>4422.376639589235</v>
      </c>
      <c r="O67" s="15" t="n">
        <v>5119.797493637394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2761939.368278735</v>
      </c>
      <c r="H68" s="15" t="n">
        <v>2206611.016002363</v>
      </c>
      <c r="I68" s="15" t="n">
        <v>3214629.479178971</v>
      </c>
      <c r="J68" s="15" t="n">
        <v>2992686.72898729</v>
      </c>
      <c r="K68" s="15" t="n">
        <v>2919899.226876741</v>
      </c>
      <c r="L68" s="15" t="n">
        <v>2896338.4920049</v>
      </c>
      <c r="M68" s="15" t="n">
        <v>3030781.003314112</v>
      </c>
      <c r="N68" s="15" t="n">
        <v>3278165.687888599</v>
      </c>
      <c r="O68" s="15" t="n">
        <v>3388126.19524677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20.13237995761429</v>
      </c>
      <c r="G70" s="22" t="n">
        <v>110.9302440625068</v>
      </c>
      <c r="H70" s="22" t="n">
        <v>758.0657012568123</v>
      </c>
      <c r="I70" s="22" t="n">
        <v>5546.362895541492</v>
      </c>
      <c r="J70" s="22" t="n">
        <v>14778.08839385875</v>
      </c>
      <c r="K70" s="22" t="n">
        <v>29812.13367793603</v>
      </c>
      <c r="L70" s="22" t="n">
        <v>50893.22645629388</v>
      </c>
      <c r="M70" s="22" t="n">
        <v>75206.53680446224</v>
      </c>
      <c r="N70" s="22" t="n">
        <v>105243.6133663881</v>
      </c>
      <c r="O70" s="22" t="n">
        <v>133104.4158371173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9.059570980926431</v>
      </c>
      <c r="G71" s="22" t="n">
        <v>44.37209762500274</v>
      </c>
      <c r="H71" s="22" t="n">
        <v>265.3229954398843</v>
      </c>
      <c r="I71" s="22" t="n">
        <v>1663.908868662448</v>
      </c>
      <c r="J71" s="22" t="n">
        <v>4137.864750280451</v>
      </c>
      <c r="K71" s="22" t="n">
        <v>7751.154756263368</v>
      </c>
      <c r="L71" s="22" t="n">
        <v>12723.30661407347</v>
      </c>
      <c r="M71" s="22" t="n">
        <v>18049.56883307094</v>
      </c>
      <c r="N71" s="22" t="n">
        <v>24206.03107426926</v>
      </c>
      <c r="O71" s="22" t="n">
        <v>29282.9714841658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5.033094989403573</v>
      </c>
      <c r="G72" s="22" t="n">
        <v>22.18604881250137</v>
      </c>
      <c r="H72" s="22" t="n">
        <v>113.7098551885218</v>
      </c>
      <c r="I72" s="22" t="n">
        <v>665.5635474649789</v>
      </c>
      <c r="J72" s="22" t="n">
        <v>1625.589723324463</v>
      </c>
      <c r="K72" s="22" t="n">
        <v>2981.213367793603</v>
      </c>
      <c r="L72" s="22" t="n">
        <v>5089.322645629389</v>
      </c>
      <c r="M72" s="22" t="n">
        <v>6768.588312401602</v>
      </c>
      <c r="N72" s="22" t="n">
        <v>9471.92520297493</v>
      </c>
      <c r="O72" s="22" t="n">
        <v>10648.35326696938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34.22504592794429</v>
      </c>
      <c r="G73" s="22" t="n">
        <v>177.488390500011</v>
      </c>
      <c r="H73" s="22" t="n">
        <v>1137.098551885219</v>
      </c>
      <c r="I73" s="22" t="n">
        <v>7875.835311668918</v>
      </c>
      <c r="J73" s="22" t="n">
        <v>20541.54286746366</v>
      </c>
      <c r="K73" s="22" t="n">
        <v>40544.50180199299</v>
      </c>
      <c r="L73" s="22" t="n">
        <v>68705.85571599675</v>
      </c>
      <c r="M73" s="22" t="n">
        <v>100024.6939499348</v>
      </c>
      <c r="N73" s="22" t="n">
        <v>138921.5696436323</v>
      </c>
      <c r="O73" s="22" t="n">
        <v>173035.7405882524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3731740.630136352</v>
      </c>
      <c r="F74" s="15" t="n">
        <v>3506161.608779918</v>
      </c>
      <c r="G74" s="15" t="n">
        <v>3180795.528674031</v>
      </c>
      <c r="H74" s="15" t="n">
        <v>3135973.540408839</v>
      </c>
      <c r="I74" s="15" t="n">
        <v>4501295.738360642</v>
      </c>
      <c r="J74" s="15" t="n">
        <v>4862802.043029882</v>
      </c>
      <c r="K74" s="15" t="n">
        <v>5382985.77395237</v>
      </c>
      <c r="L74" s="15" t="n">
        <v>6087706.513910752</v>
      </c>
      <c r="M74" s="15" t="n">
        <v>6520508.059610572</v>
      </c>
      <c r="N74" s="15" t="n">
        <v>7213667.582833239</v>
      </c>
      <c r="O74" s="15" t="n">
        <v>7511833.771050248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1618269.230769231</v>
      </c>
      <c r="F75" s="15" t="n">
        <v>9761400</v>
      </c>
      <c r="G75" s="15" t="n">
        <v>55800000.00000001</v>
      </c>
      <c r="H75" s="15" t="n">
        <v>362598260.8695653</v>
      </c>
      <c r="I75" s="15" t="n">
        <v>1749681818.181818</v>
      </c>
      <c r="J75" s="15" t="n">
        <v>4224219428.571428</v>
      </c>
      <c r="K75" s="15" t="n">
        <v>7531972682.926831</v>
      </c>
      <c r="L75" s="15" t="n">
        <v>11286000000</v>
      </c>
      <c r="M75" s="15" t="n">
        <v>15340015384.61539</v>
      </c>
      <c r="N75" s="15" t="n">
        <v>19258105263.1579</v>
      </c>
      <c r="O75" s="15" t="n">
        <v>23035086486.48649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2942307.692307692</v>
      </c>
      <c r="F77" s="15" t="n">
        <v>16830000</v>
      </c>
      <c r="G77" s="15" t="n">
        <v>90000000.00000001</v>
      </c>
      <c r="H77" s="15" t="n">
        <v>549391304.3478262</v>
      </c>
      <c r="I77" s="15" t="n">
        <v>2499545454.545455</v>
      </c>
      <c r="J77" s="15" t="n">
        <v>5866971428.571428</v>
      </c>
      <c r="K77" s="15" t="n">
        <v>10178341463.41464</v>
      </c>
      <c r="L77" s="15" t="n">
        <v>15048000000</v>
      </c>
      <c r="M77" s="15" t="n">
        <v>20184230769.23077</v>
      </c>
      <c r="N77" s="15" t="n">
        <v>25010526315.78948</v>
      </c>
      <c r="O77" s="15" t="n">
        <v>29532162162.16217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7.65</v>
      </c>
      <c r="F79" s="15" t="n">
        <v>42.075</v>
      </c>
      <c r="G79" s="15" t="n">
        <v>216</v>
      </c>
      <c r="H79" s="15" t="n">
        <v>1263.6</v>
      </c>
      <c r="I79" s="15" t="n">
        <v>5499</v>
      </c>
      <c r="J79" s="15" t="n">
        <v>12320.64</v>
      </c>
      <c r="K79" s="15" t="n">
        <v>20865.6</v>
      </c>
      <c r="L79" s="15" t="n">
        <v>30096</v>
      </c>
      <c r="M79" s="15" t="n">
        <v>39359.25</v>
      </c>
      <c r="N79" s="15" t="n">
        <v>47520.00000000001</v>
      </c>
      <c r="O79" s="15" t="n">
        <v>54634.50000000001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2.55</v>
      </c>
      <c r="G80" s="15" t="n">
        <v>12</v>
      </c>
      <c r="H80" s="15" t="n">
        <v>62.40000000000001</v>
      </c>
      <c r="I80" s="15" t="n">
        <v>240</v>
      </c>
      <c r="J80" s="15" t="n">
        <v>496</v>
      </c>
      <c r="K80" s="15" t="n">
        <v>828</v>
      </c>
      <c r="L80" s="15" t="n">
        <v>1200</v>
      </c>
      <c r="M80" s="15" t="n">
        <v>1572.5</v>
      </c>
      <c r="N80" s="15" t="n">
        <v>1892</v>
      </c>
      <c r="O80" s="15" t="n">
        <v>2205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0.0459</v>
      </c>
      <c r="G82" s="15" t="n">
        <v>0.192</v>
      </c>
      <c r="H82" s="15" t="n">
        <v>0.8736000000000002</v>
      </c>
      <c r="I82" s="15" t="n">
        <v>2.88</v>
      </c>
      <c r="J82" s="15" t="n">
        <v>5.456</v>
      </c>
      <c r="K82" s="15" t="n">
        <v>8.279999999999999</v>
      </c>
      <c r="L82" s="15" t="n">
        <v>10.8</v>
      </c>
      <c r="M82" s="15" t="n">
        <v>14.1525</v>
      </c>
      <c r="N82" s="15" t="n">
        <v>15.136</v>
      </c>
      <c r="O82" s="15" t="n">
        <v>17.64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0.85</v>
      </c>
      <c r="G83" s="15" t="n">
        <v>3.6</v>
      </c>
      <c r="H83" s="15" t="n">
        <v>18.2</v>
      </c>
      <c r="I83" s="15" t="n">
        <v>60</v>
      </c>
      <c r="J83" s="15" t="n">
        <v>117.8</v>
      </c>
      <c r="K83" s="15" t="n">
        <v>187.2</v>
      </c>
      <c r="L83" s="15" t="n">
        <v>264</v>
      </c>
      <c r="M83" s="15" t="n">
        <v>340</v>
      </c>
      <c r="N83" s="15" t="n">
        <v>404.8</v>
      </c>
      <c r="O83" s="15" t="n">
        <v>468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1.7</v>
      </c>
      <c r="G84" s="15" t="n">
        <v>6</v>
      </c>
      <c r="H84" s="15" t="n">
        <v>28.6</v>
      </c>
      <c r="I84" s="15" t="n">
        <v>100</v>
      </c>
      <c r="J84" s="15" t="n">
        <v>198.4</v>
      </c>
      <c r="K84" s="15" t="n">
        <v>316.8</v>
      </c>
      <c r="L84" s="15" t="n">
        <v>448</v>
      </c>
      <c r="M84" s="15" t="n">
        <v>578</v>
      </c>
      <c r="N84" s="15" t="n">
        <v>686.4</v>
      </c>
      <c r="O84" s="15" t="n">
        <v>792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1.711252296397215</v>
      </c>
      <c r="G87" s="15" t="n">
        <v>7.099535620000438</v>
      </c>
      <c r="H87" s="15" t="n">
        <v>39.79844931598265</v>
      </c>
      <c r="I87" s="15" t="n">
        <v>236.2750593500675</v>
      </c>
      <c r="J87" s="15" t="n">
        <v>575.1632002889826</v>
      </c>
      <c r="K87" s="15" t="n">
        <v>1054.157046851818</v>
      </c>
      <c r="L87" s="15" t="n">
        <v>1717.646392899919</v>
      </c>
      <c r="M87" s="15" t="n">
        <v>2400.592654798435</v>
      </c>
      <c r="N87" s="15" t="n">
        <v>3195.196101803543</v>
      </c>
      <c r="O87" s="15" t="n">
        <v>3806.786292941554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102000</v>
      </c>
      <c r="G88" s="15" t="n">
        <v>420000</v>
      </c>
      <c r="H88" s="15" t="n">
        <v>1820000</v>
      </c>
      <c r="I88" s="15" t="n">
        <v>6000000</v>
      </c>
      <c r="J88" s="15" t="n">
        <v>11780000</v>
      </c>
      <c r="K88" s="15" t="n">
        <v>18720000</v>
      </c>
      <c r="L88" s="15" t="n">
        <v>26400000</v>
      </c>
      <c r="M88" s="15" t="n">
        <v>33150000</v>
      </c>
      <c r="N88" s="15" t="n">
        <v>38720000</v>
      </c>
      <c r="O88" s="15" t="n">
        <v>43200000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0.408</v>
      </c>
      <c r="G90" s="15" t="n">
        <v>1.596</v>
      </c>
      <c r="H90" s="15" t="n">
        <v>6.552</v>
      </c>
      <c r="I90" s="15" t="n">
        <v>21</v>
      </c>
      <c r="J90" s="15" t="n">
        <v>40.052</v>
      </c>
      <c r="K90" s="15" t="n">
        <v>61.776</v>
      </c>
      <c r="L90" s="15" t="n">
        <v>84.48</v>
      </c>
      <c r="M90" s="15" t="n">
        <v>106.08</v>
      </c>
      <c r="N90" s="15" t="n">
        <v>120.032</v>
      </c>
      <c r="O90" s="15" t="n">
        <v>129.6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72.08</v>
      </c>
      <c r="G91" s="15" t="n">
        <v>448.74</v>
      </c>
      <c r="H91" s="15" t="n">
        <v>3340.48</v>
      </c>
      <c r="I91" s="15" t="n">
        <v>17671</v>
      </c>
      <c r="J91" s="15" t="n">
        <v>45348.04</v>
      </c>
      <c r="K91" s="15" t="n">
        <v>81878.39999999999</v>
      </c>
      <c r="L91" s="15" t="n">
        <v>125182.4</v>
      </c>
      <c r="M91" s="15" t="n">
        <v>173974.6</v>
      </c>
      <c r="N91" s="15" t="n">
        <v>223209.36</v>
      </c>
      <c r="O91" s="15" t="n">
        <v>272734.2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2.01824</v>
      </c>
      <c r="G93" s="15" t="n">
        <v>12.11598</v>
      </c>
      <c r="H93" s="15" t="n">
        <v>86.85248000000001</v>
      </c>
      <c r="I93" s="15" t="n">
        <v>441.775</v>
      </c>
      <c r="J93" s="15" t="n">
        <v>1088.35296</v>
      </c>
      <c r="K93" s="15" t="n">
        <v>1965.0816</v>
      </c>
      <c r="L93" s="15" t="n">
        <v>2879.1952</v>
      </c>
      <c r="M93" s="15" t="n">
        <v>4001.415800000001</v>
      </c>
      <c r="N93" s="15" t="n">
        <v>4910.605919999999</v>
      </c>
      <c r="O93" s="15" t="n">
        <v>6000.152399999999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1.36</v>
      </c>
      <c r="G95" s="15" t="n">
        <v>21.6</v>
      </c>
      <c r="H95" s="15" t="n">
        <v>236.6</v>
      </c>
      <c r="I95" s="15" t="n">
        <v>1254</v>
      </c>
      <c r="J95" s="15" t="n">
        <v>2777.6</v>
      </c>
      <c r="K95" s="15" t="n">
        <v>4636.8</v>
      </c>
      <c r="L95" s="15" t="n">
        <v>6720</v>
      </c>
      <c r="M95" s="15" t="n">
        <v>8585.85</v>
      </c>
      <c r="N95" s="15" t="n">
        <v>10330.32</v>
      </c>
      <c r="O95" s="15" t="n">
        <v>11730.6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0.408</v>
      </c>
      <c r="G97" s="15" t="n">
        <v>6.48</v>
      </c>
      <c r="H97" s="15" t="n">
        <v>66.248</v>
      </c>
      <c r="I97" s="15" t="n">
        <v>250.8</v>
      </c>
      <c r="J97" s="15" t="n">
        <v>555.5200000000001</v>
      </c>
      <c r="K97" s="15" t="n">
        <v>834.624</v>
      </c>
      <c r="L97" s="15" t="n">
        <v>1209.6</v>
      </c>
      <c r="M97" s="15" t="n">
        <v>1459.5945</v>
      </c>
      <c r="N97" s="15" t="n">
        <v>1756.1544</v>
      </c>
      <c r="O97" s="15" t="n">
        <v>1759.59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0.2833333333333333</v>
      </c>
      <c r="G99" s="15" t="n">
        <v>1.8</v>
      </c>
      <c r="H99" s="15" t="n">
        <v>6.24</v>
      </c>
      <c r="I99" s="15" t="n">
        <v>16.66666666666667</v>
      </c>
      <c r="J99" s="15" t="n">
        <v>32.9375</v>
      </c>
      <c r="K99" s="15" t="n">
        <v>50.8235294117647</v>
      </c>
      <c r="L99" s="15" t="n">
        <v>68.88888888888889</v>
      </c>
      <c r="M99" s="15" t="n">
        <v>82.76315789473684</v>
      </c>
      <c r="N99" s="15" t="n">
        <v>92.40000000000001</v>
      </c>
      <c r="O99" s="15" t="n">
        <v>98.57142857142857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0.051</v>
      </c>
      <c r="G101" s="15" t="n">
        <v>0.342</v>
      </c>
      <c r="H101" s="15" t="n">
        <v>1.248</v>
      </c>
      <c r="I101" s="15" t="n">
        <v>3.5</v>
      </c>
      <c r="J101" s="15" t="n">
        <v>7.180375</v>
      </c>
      <c r="K101" s="15" t="n">
        <v>11.43529411764706</v>
      </c>
      <c r="L101" s="15" t="n">
        <v>15.98222222222222</v>
      </c>
      <c r="M101" s="15" t="n">
        <v>19.69763157894737</v>
      </c>
      <c r="N101" s="15" t="n">
        <v>22.5456</v>
      </c>
      <c r="O101" s="15" t="n">
        <v>24.64285714285714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17</v>
      </c>
      <c r="G102" s="15" t="n">
        <v>90</v>
      </c>
      <c r="H102" s="15" t="n">
        <v>416</v>
      </c>
      <c r="I102" s="15" t="n">
        <v>1300</v>
      </c>
      <c r="J102" s="15" t="n">
        <v>2604</v>
      </c>
      <c r="K102" s="15" t="n">
        <v>4176</v>
      </c>
      <c r="L102" s="15" t="n">
        <v>5840</v>
      </c>
      <c r="M102" s="15" t="n">
        <v>7310</v>
      </c>
      <c r="N102" s="15" t="n">
        <v>8536</v>
      </c>
      <c r="O102" s="15" t="n">
        <v>9540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0.102</v>
      </c>
      <c r="G104" s="15" t="n">
        <v>0.495</v>
      </c>
      <c r="H104" s="15" t="n">
        <v>2.08</v>
      </c>
      <c r="I104" s="15" t="n">
        <v>5.85</v>
      </c>
      <c r="J104" s="15" t="n">
        <v>10.9368</v>
      </c>
      <c r="K104" s="15" t="n">
        <v>16.704</v>
      </c>
      <c r="L104" s="15" t="n">
        <v>22.192</v>
      </c>
      <c r="M104" s="15" t="n">
        <v>26.316</v>
      </c>
      <c r="N104" s="15" t="n">
        <v>29.876</v>
      </c>
      <c r="O104" s="15" t="n">
        <v>32.436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8.843948051948054</v>
      </c>
      <c r="F105" s="21" t="n">
        <v>49.36939229639722</v>
      </c>
      <c r="G105" s="21" t="n">
        <v>253.9205156200005</v>
      </c>
      <c r="H105" s="21" t="n">
        <v>1514.052529315983</v>
      </c>
      <c r="I105" s="21" t="n">
        <v>6621.080059350068</v>
      </c>
      <c r="J105" s="21" t="n">
        <v>14919.50133528898</v>
      </c>
      <c r="K105" s="21" t="n">
        <v>25321.65794096947</v>
      </c>
      <c r="L105" s="21" t="n">
        <v>36747.89581512214</v>
      </c>
      <c r="M105" s="21" t="n">
        <v>48305.09908637738</v>
      </c>
      <c r="N105" s="21" t="n">
        <v>58660.74602180355</v>
      </c>
      <c r="O105" s="21" t="n">
        <v>67665.34755008441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0.1156051948051946</v>
      </c>
      <c r="F106" s="25" t="n">
        <v>0.4191836200423856</v>
      </c>
      <c r="G106" s="25" t="n">
        <v>0.5767991406333326</v>
      </c>
      <c r="H106" s="25" t="n">
        <v>0.6764845022829097</v>
      </c>
      <c r="I106" s="25" t="n">
        <v>0.7182519123680822</v>
      </c>
      <c r="J106" s="25" t="n">
        <v>0.7384379148792255</v>
      </c>
      <c r="K106" s="25" t="n">
        <v>0.7487930759824457</v>
      </c>
      <c r="L106" s="25" t="n">
        <v>0.7582375275320912</v>
      </c>
      <c r="M106" s="25" t="n">
        <v>0.7680427414819814</v>
      </c>
      <c r="N106" s="25" t="n">
        <v>0.7778002044628654</v>
      </c>
      <c r="O106" s="25" t="n">
        <v>0.7882148746476232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9.24</v>
      </c>
      <c r="F115" s="15" t="n">
        <v>26.928</v>
      </c>
      <c r="G115" s="15" t="n">
        <v>554.4</v>
      </c>
      <c r="H115" s="15" t="n">
        <v>555.984</v>
      </c>
      <c r="I115" s="15" t="n">
        <v>2667.72</v>
      </c>
      <c r="J115" s="15" t="n">
        <v>5270.496</v>
      </c>
      <c r="K115" s="15" t="n">
        <v>7983.36</v>
      </c>
      <c r="L115" s="15" t="n">
        <v>10433.28</v>
      </c>
      <c r="M115" s="15" t="n">
        <v>12644.94</v>
      </c>
      <c r="N115" s="15" t="n">
        <v>14636.16</v>
      </c>
      <c r="O115" s="15" t="n">
        <v>16026.12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36.8</v>
      </c>
      <c r="F117" s="15" t="n">
        <v>111.01</v>
      </c>
      <c r="G117" s="15" t="n">
        <v>2178</v>
      </c>
      <c r="H117" s="15" t="n">
        <v>2321.28</v>
      </c>
      <c r="I117" s="15" t="n">
        <v>11007.4</v>
      </c>
      <c r="J117" s="15" t="n">
        <v>22131.52</v>
      </c>
      <c r="K117" s="15" t="n">
        <v>33667.2</v>
      </c>
      <c r="L117" s="15" t="n">
        <v>43897.6</v>
      </c>
      <c r="M117" s="15" t="n">
        <v>53603.55</v>
      </c>
      <c r="N117" s="15" t="n">
        <v>61987.2</v>
      </c>
      <c r="O117" s="15" t="n">
        <v>67797.89999999999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58.8</v>
      </c>
      <c r="F118" s="21" t="n">
        <v>192.61</v>
      </c>
      <c r="G118" s="21" t="n">
        <v>2504.5</v>
      </c>
      <c r="H118" s="21" t="n">
        <v>3607.28</v>
      </c>
      <c r="I118" s="21" t="n">
        <v>14717.4</v>
      </c>
      <c r="J118" s="21" t="n">
        <v>27677.52</v>
      </c>
      <c r="K118" s="21" t="n">
        <v>40797.2</v>
      </c>
      <c r="L118" s="21" t="n">
        <v>52429.6</v>
      </c>
      <c r="M118" s="21" t="n">
        <v>63226.05</v>
      </c>
      <c r="N118" s="21" t="n">
        <v>72446.7</v>
      </c>
      <c r="O118" s="21" t="n">
        <v>79092.39999999999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4.62</v>
      </c>
      <c r="F142" s="15" t="n">
        <v>18.084</v>
      </c>
      <c r="G142" s="15" t="n">
        <v>290.664</v>
      </c>
      <c r="H142" s="15" t="n">
        <v>555.192</v>
      </c>
      <c r="I142" s="15" t="n">
        <v>1611.852</v>
      </c>
      <c r="J142" s="15" t="n">
        <v>3969.108</v>
      </c>
      <c r="K142" s="15" t="n">
        <v>6626.928</v>
      </c>
      <c r="L142" s="15" t="n">
        <v>9208.32</v>
      </c>
      <c r="M142" s="15" t="n">
        <v>11539.11</v>
      </c>
      <c r="N142" s="15" t="n">
        <v>13640.55</v>
      </c>
      <c r="O142" s="15" t="n">
        <v>15331.14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5.12</v>
      </c>
      <c r="F147" s="21" t="n">
        <v>20.584</v>
      </c>
      <c r="G147" s="21" t="n">
        <v>303.164</v>
      </c>
      <c r="H147" s="21" t="n">
        <v>611.692</v>
      </c>
      <c r="I147" s="21" t="n">
        <v>1947.852</v>
      </c>
      <c r="J147" s="21" t="n">
        <v>4943.108</v>
      </c>
      <c r="K147" s="21" t="n">
        <v>8424.261333333334</v>
      </c>
      <c r="L147" s="21" t="n">
        <v>12088.98666666667</v>
      </c>
      <c r="M147" s="21" t="n">
        <v>15625.77666666667</v>
      </c>
      <c r="N147" s="21" t="n">
        <v>18813.88333333333</v>
      </c>
      <c r="O147" s="21" t="n">
        <v>21331.14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1.156051948051946</v>
      </c>
      <c r="F149" s="21" t="n">
        <v>35.63060770360278</v>
      </c>
      <c r="G149" s="21" t="n">
        <v>346.0794843799995</v>
      </c>
      <c r="H149" s="21" t="n">
        <v>3165.947470684017</v>
      </c>
      <c r="I149" s="21" t="n">
        <v>16878.91994064993</v>
      </c>
      <c r="J149" s="21" t="n">
        <v>42120.49866471102</v>
      </c>
      <c r="K149" s="21" t="n">
        <v>75478.34205903053</v>
      </c>
      <c r="L149" s="21" t="n">
        <v>115252.1041848779</v>
      </c>
      <c r="M149" s="21" t="n">
        <v>159944.9009136226</v>
      </c>
      <c r="N149" s="21" t="n">
        <v>205339.2539781964</v>
      </c>
      <c r="O149" s="21" t="n">
        <v>251834.6524499156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-70.12394805194806</v>
      </c>
      <c r="F150" s="21" t="n">
        <v>-205.9033922963972</v>
      </c>
      <c r="G150" s="21" t="n">
        <v>-2580.38451562</v>
      </c>
      <c r="H150" s="21" t="n">
        <v>-1638.124529315983</v>
      </c>
      <c r="I150" s="21" t="n">
        <v>-2119.332059350068</v>
      </c>
      <c r="J150" s="21" t="n">
        <v>5866.370664711019</v>
      </c>
      <c r="K150" s="21" t="n">
        <v>21556.88072569719</v>
      </c>
      <c r="L150" s="21" t="n">
        <v>45080.31751821119</v>
      </c>
      <c r="M150" s="21" t="n">
        <v>74637.07424695593</v>
      </c>
      <c r="N150" s="21" t="n">
        <v>106901.3706448631</v>
      </c>
      <c r="O150" s="21" t="n">
        <v>143626.9124499156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-78.66794805194806</v>
      </c>
      <c r="F151" s="21" t="n">
        <v>-238.2763922963972</v>
      </c>
      <c r="G151" s="21" t="n">
        <v>-2660.034515620001</v>
      </c>
      <c r="H151" s="21" t="n">
        <v>-1880.729529315983</v>
      </c>
      <c r="I151" s="21" t="n">
        <v>-3347.482059350068</v>
      </c>
      <c r="J151" s="21" t="n">
        <v>4126.620664711019</v>
      </c>
      <c r="K151" s="21" t="n">
        <v>19513.88072569719</v>
      </c>
      <c r="L151" s="21" t="n">
        <v>42818.53351821119</v>
      </c>
      <c r="M151" s="21" t="n">
        <v>72231.67424695594</v>
      </c>
      <c r="N151" s="21" t="n">
        <v>104431.4466448631</v>
      </c>
      <c r="O151" s="21" t="n">
        <v>141119.9804499156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-7.012394805194806</v>
      </c>
      <c r="F152" s="25" t="n">
        <v>-2.42239285054585</v>
      </c>
      <c r="G152" s="25" t="n">
        <v>-4.300640859366667</v>
      </c>
      <c r="H152" s="25" t="n">
        <v>-0.3500266088282014</v>
      </c>
      <c r="I152" s="25" t="n">
        <v>-0.0901843429510667</v>
      </c>
      <c r="J152" s="25" t="n">
        <v>0.1028466105313994</v>
      </c>
      <c r="K152" s="25" t="n">
        <v>0.2138579437073134</v>
      </c>
      <c r="L152" s="25" t="n">
        <v>0.296581036304021</v>
      </c>
      <c r="M152" s="25" t="n">
        <v>0.3584013169121533</v>
      </c>
      <c r="N152" s="25" t="n">
        <v>0.4049294342608452</v>
      </c>
      <c r="O152" s="25" t="n">
        <v>0.4495365021906592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Worst/Run-rate  (data block D5)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100</v>
      </c>
      <c r="G4" s="15" t="n">
        <v>1000</v>
      </c>
      <c r="H4" s="15" t="n">
        <v>9000</v>
      </c>
      <c r="I4" s="15" t="n">
        <v>47000</v>
      </c>
      <c r="J4" s="15" t="n">
        <v>68000</v>
      </c>
      <c r="K4" s="15" t="n">
        <v>90000</v>
      </c>
      <c r="L4" s="15" t="n">
        <v>112000</v>
      </c>
      <c r="M4" s="15" t="n">
        <v>135000</v>
      </c>
      <c r="N4" s="15" t="n">
        <v>158000</v>
      </c>
      <c r="O4" s="15" t="n">
        <v>178000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5</v>
      </c>
      <c r="G29" s="15" t="n">
        <v>60</v>
      </c>
      <c r="H29" s="15" t="n">
        <v>300</v>
      </c>
      <c r="I29" s="15" t="n">
        <v>1000</v>
      </c>
      <c r="J29" s="15" t="n">
        <v>1700</v>
      </c>
      <c r="K29" s="15" t="n">
        <v>2400</v>
      </c>
      <c r="L29" s="15" t="n">
        <v>3100</v>
      </c>
      <c r="M29" s="15" t="n">
        <v>3700</v>
      </c>
      <c r="N29" s="15" t="n">
        <v>4200</v>
      </c>
      <c r="O29" s="15" t="n">
        <v>4600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2000</v>
      </c>
      <c r="G31" s="15" t="n">
        <v>40000</v>
      </c>
      <c r="H31" s="15" t="n">
        <v>250000</v>
      </c>
      <c r="I31" s="15" t="n">
        <v>900000</v>
      </c>
      <c r="J31" s="15" t="n">
        <v>1600000</v>
      </c>
      <c r="K31" s="15" t="n">
        <v>2300000</v>
      </c>
      <c r="L31" s="15" t="n">
        <v>3000000</v>
      </c>
      <c r="M31" s="15" t="n">
        <v>3600000</v>
      </c>
      <c r="N31" s="15" t="n">
        <v>4100000</v>
      </c>
      <c r="O31" s="15" t="n">
        <v>4500000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0.72</v>
      </c>
      <c r="G33" s="15" t="n">
        <v>16.8</v>
      </c>
      <c r="H33" s="15" t="n">
        <v>120</v>
      </c>
      <c r="I33" s="15" t="n">
        <v>486</v>
      </c>
      <c r="J33" s="15" t="n">
        <v>921.6</v>
      </c>
      <c r="K33" s="15" t="n">
        <v>1380</v>
      </c>
      <c r="L33" s="15" t="n">
        <v>1872</v>
      </c>
      <c r="M33" s="15" t="n">
        <v>2332.8</v>
      </c>
      <c r="N33" s="15" t="n">
        <v>2706</v>
      </c>
      <c r="O33" s="15" t="n">
        <v>3024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8</v>
      </c>
      <c r="G34" s="15" t="n">
        <v>120</v>
      </c>
      <c r="H34" s="15" t="n">
        <v>1300</v>
      </c>
      <c r="I34" s="15" t="n">
        <v>6600</v>
      </c>
      <c r="J34" s="15" t="n">
        <v>11200</v>
      </c>
      <c r="K34" s="15" t="n">
        <v>16100</v>
      </c>
      <c r="L34" s="15" t="n">
        <v>21000</v>
      </c>
      <c r="M34" s="15" t="n">
        <v>25900</v>
      </c>
      <c r="N34" s="15" t="n">
        <v>30100</v>
      </c>
      <c r="O34" s="15" t="n">
        <v>34300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33333.33333333334</v>
      </c>
      <c r="G36" s="15" t="n">
        <v>476190.4761904762</v>
      </c>
      <c r="H36" s="15" t="n">
        <v>4710144.927536231</v>
      </c>
      <c r="I36" s="15" t="n">
        <v>21153846.15384615</v>
      </c>
      <c r="J36" s="15" t="n">
        <v>33333333.33333333</v>
      </c>
      <c r="K36" s="15" t="n">
        <v>46264367.81609195</v>
      </c>
      <c r="L36" s="15" t="n">
        <v>58333333.33333334</v>
      </c>
      <c r="M36" s="15" t="n">
        <v>69623655.91397849</v>
      </c>
      <c r="N36" s="15" t="n">
        <v>78385416.66666667</v>
      </c>
      <c r="O36" s="15" t="n">
        <v>86616161.61616161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350000</v>
      </c>
      <c r="I37" s="15" t="n">
        <v>1100000</v>
      </c>
      <c r="J37" s="15" t="n">
        <v>1800000</v>
      </c>
      <c r="K37" s="15" t="n">
        <v>2500000</v>
      </c>
      <c r="L37" s="15" t="n">
        <v>3100000</v>
      </c>
      <c r="M37" s="15" t="n">
        <v>3600000</v>
      </c>
      <c r="N37" s="15" t="n">
        <v>4000000</v>
      </c>
      <c r="O37" s="15" t="n">
        <v>4300000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84</v>
      </c>
      <c r="I39" s="15" t="n">
        <v>290.4</v>
      </c>
      <c r="J39" s="15" t="n">
        <v>518.4</v>
      </c>
      <c r="K39" s="15" t="n">
        <v>750</v>
      </c>
      <c r="L39" s="15" t="n">
        <v>967.2</v>
      </c>
      <c r="M39" s="15" t="n">
        <v>1166.4</v>
      </c>
      <c r="N39" s="15" t="n">
        <v>1344</v>
      </c>
      <c r="O39" s="15" t="n">
        <v>1444.8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208.9942448275863</v>
      </c>
      <c r="I42" s="15" t="n">
        <v>807.0939130434782</v>
      </c>
      <c r="J42" s="15" t="n">
        <v>1661.652734976</v>
      </c>
      <c r="K42" s="15" t="n">
        <v>2387.504084810127</v>
      </c>
      <c r="L42" s="15" t="n">
        <v>2919.274877605264</v>
      </c>
      <c r="M42" s="15" t="n">
        <v>3484.791330221887</v>
      </c>
      <c r="N42" s="15" t="n">
        <v>3753.977692553846</v>
      </c>
      <c r="O42" s="15" t="n">
        <v>4111.71117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10</v>
      </c>
      <c r="G43" s="15" t="n">
        <v>130</v>
      </c>
      <c r="H43" s="15" t="n">
        <v>1150</v>
      </c>
      <c r="I43" s="15" t="n">
        <v>4400</v>
      </c>
      <c r="J43" s="15" t="n">
        <v>6600</v>
      </c>
      <c r="K43" s="15" t="n">
        <v>8600</v>
      </c>
      <c r="L43" s="15" t="n">
        <v>10500</v>
      </c>
      <c r="M43" s="15" t="n">
        <v>12000</v>
      </c>
      <c r="N43" s="15" t="n">
        <v>13300</v>
      </c>
      <c r="O43" s="15" t="n">
        <v>14400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55</v>
      </c>
      <c r="H45" s="15" t="n">
        <v>640</v>
      </c>
      <c r="I45" s="15" t="n">
        <v>2600</v>
      </c>
      <c r="J45" s="15" t="n">
        <v>4000</v>
      </c>
      <c r="K45" s="15" t="n">
        <v>5300</v>
      </c>
      <c r="L45" s="15" t="n">
        <v>6600</v>
      </c>
      <c r="M45" s="15" t="n">
        <v>7700</v>
      </c>
      <c r="N45" s="15" t="n">
        <v>8600</v>
      </c>
      <c r="O45" s="15" t="n">
        <v>9400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15</v>
      </c>
      <c r="H47" s="15" t="n">
        <v>90</v>
      </c>
      <c r="I47" s="15" t="n">
        <v>260</v>
      </c>
      <c r="J47" s="15" t="n">
        <v>420</v>
      </c>
      <c r="K47" s="15" t="n">
        <v>560</v>
      </c>
      <c r="L47" s="15" t="n">
        <v>690</v>
      </c>
      <c r="M47" s="15" t="n">
        <v>800</v>
      </c>
      <c r="N47" s="15" t="n">
        <v>890</v>
      </c>
      <c r="O47" s="15" t="n">
        <v>960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9.720000000000001</v>
      </c>
      <c r="H50" s="15" t="n">
        <v>80.19</v>
      </c>
      <c r="I50" s="15" t="n">
        <v>305.76</v>
      </c>
      <c r="J50" s="15" t="n">
        <v>564.48</v>
      </c>
      <c r="K50" s="15" t="n">
        <v>839.7311999999999</v>
      </c>
      <c r="L50" s="15" t="n">
        <v>1116.972</v>
      </c>
      <c r="M50" s="15" t="n">
        <v>1372.8</v>
      </c>
      <c r="N50" s="15" t="n">
        <v>1603.602</v>
      </c>
      <c r="O50" s="15" t="n">
        <v>1824.768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15</v>
      </c>
      <c r="H52" s="15" t="n">
        <v>75</v>
      </c>
      <c r="I52" s="15" t="n">
        <v>170</v>
      </c>
      <c r="J52" s="15" t="n">
        <v>160</v>
      </c>
      <c r="K52" s="15" t="n">
        <v>140</v>
      </c>
      <c r="L52" s="15" t="n">
        <v>130</v>
      </c>
      <c r="M52" s="15" t="n">
        <v>110</v>
      </c>
      <c r="N52" s="15" t="n">
        <v>90</v>
      </c>
      <c r="O52" s="15" t="n">
        <v>70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0.375</v>
      </c>
      <c r="H53" s="15" t="n">
        <v>1.875</v>
      </c>
      <c r="I53" s="15" t="n">
        <v>5.1</v>
      </c>
      <c r="J53" s="15" t="n">
        <v>4.8</v>
      </c>
      <c r="K53" s="15" t="n">
        <v>4.48</v>
      </c>
      <c r="L53" s="15" t="n">
        <v>4.16</v>
      </c>
      <c r="M53" s="15" t="n">
        <v>3.74</v>
      </c>
      <c r="N53" s="15" t="n">
        <v>3.06</v>
      </c>
      <c r="O53" s="15" t="n">
        <v>2.45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20</v>
      </c>
      <c r="H54" s="15" t="n">
        <v>150</v>
      </c>
      <c r="I54" s="15" t="n">
        <v>600</v>
      </c>
      <c r="J54" s="15" t="n">
        <v>1050</v>
      </c>
      <c r="K54" s="15" t="n">
        <v>1500</v>
      </c>
      <c r="L54" s="15" t="n">
        <v>1950</v>
      </c>
      <c r="M54" s="15" t="n">
        <v>2350</v>
      </c>
      <c r="N54" s="15" t="n">
        <v>2700</v>
      </c>
      <c r="O54" s="15" t="n">
        <v>3000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9.6</v>
      </c>
      <c r="H56" s="15" t="n">
        <v>81</v>
      </c>
      <c r="I56" s="15" t="n">
        <v>360</v>
      </c>
      <c r="J56" s="15" t="n">
        <v>655.2</v>
      </c>
      <c r="K56" s="15" t="n">
        <v>972</v>
      </c>
      <c r="L56" s="15" t="n">
        <v>1310.4</v>
      </c>
      <c r="M56" s="15" t="n">
        <v>1635.6</v>
      </c>
      <c r="N56" s="15" t="n">
        <v>1944</v>
      </c>
      <c r="O56" s="15" t="n">
        <v>2232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500</v>
      </c>
      <c r="G57" s="15" t="n">
        <v>3000</v>
      </c>
      <c r="H57" s="15" t="n">
        <v>9000</v>
      </c>
      <c r="I57" s="15" t="n">
        <v>20000</v>
      </c>
      <c r="J57" s="15" t="n">
        <v>30000</v>
      </c>
      <c r="K57" s="15" t="n">
        <v>38000</v>
      </c>
      <c r="L57" s="15" t="n">
        <v>45000</v>
      </c>
      <c r="M57" s="15" t="n">
        <v>50000</v>
      </c>
      <c r="N57" s="15" t="n">
        <v>54000</v>
      </c>
      <c r="O57" s="15" t="n">
        <v>57000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1.8</v>
      </c>
      <c r="G59" s="15" t="n">
        <v>11.52</v>
      </c>
      <c r="H59" s="15" t="n">
        <v>36.72</v>
      </c>
      <c r="I59" s="15" t="n">
        <v>86.40000000000001</v>
      </c>
      <c r="J59" s="15" t="n">
        <v>135</v>
      </c>
      <c r="K59" s="15" t="n">
        <v>175.56</v>
      </c>
      <c r="L59" s="15" t="n">
        <v>213.3</v>
      </c>
      <c r="M59" s="15" t="n">
        <v>243</v>
      </c>
      <c r="N59" s="15" t="n">
        <v>268.92</v>
      </c>
      <c r="O59" s="15" t="n">
        <v>287.28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17.72</v>
      </c>
      <c r="G60" s="21" t="n">
        <v>300.115</v>
      </c>
      <c r="H60" s="21" t="n">
        <v>3188.779244827586</v>
      </c>
      <c r="I60" s="21" t="n">
        <v>13998.75391304348</v>
      </c>
      <c r="J60" s="21" t="n">
        <v>23319.132734976</v>
      </c>
      <c r="K60" s="21" t="n">
        <v>32789.27528481012</v>
      </c>
      <c r="L60" s="21" t="n">
        <v>41925.30687760528</v>
      </c>
      <c r="M60" s="21" t="n">
        <v>50563.13133022188</v>
      </c>
      <c r="N60" s="21" t="n">
        <v>57976.55969255384</v>
      </c>
      <c r="O60" s="21" t="n">
        <v>64889.00917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82.28</v>
      </c>
      <c r="G62" s="21" t="n">
        <v>699.885</v>
      </c>
      <c r="H62" s="21" t="n">
        <v>5811.220755172414</v>
      </c>
      <c r="I62" s="21" t="n">
        <v>33001.24608695653</v>
      </c>
      <c r="J62" s="21" t="n">
        <v>44680.867265024</v>
      </c>
      <c r="K62" s="21" t="n">
        <v>57210.72471518988</v>
      </c>
      <c r="L62" s="21" t="n">
        <v>70074.69312239473</v>
      </c>
      <c r="M62" s="21" t="n">
        <v>84436.86866977811</v>
      </c>
      <c r="N62" s="21" t="n">
        <v>100023.4403074462</v>
      </c>
      <c r="O62" s="21" t="n">
        <v>113110.99083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23.66515289131093</v>
      </c>
      <c r="G64" s="22" t="n">
        <v>184.4837401041781</v>
      </c>
      <c r="H64" s="22" t="n">
        <v>1401.404743476602</v>
      </c>
      <c r="I64" s="22" t="n">
        <v>10794.69046433905</v>
      </c>
      <c r="J64" s="22" t="n">
        <v>15101.09454753186</v>
      </c>
      <c r="K64" s="22" t="n">
        <v>21566.30959136799</v>
      </c>
      <c r="L64" s="22" t="n">
        <v>29467.48657927637</v>
      </c>
      <c r="M64" s="22" t="n">
        <v>37682.66323908629</v>
      </c>
      <c r="N64" s="22" t="n">
        <v>48599.85062848502</v>
      </c>
      <c r="O64" s="22" t="n">
        <v>56779.54394669215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18.68301544050863</v>
      </c>
      <c r="G65" s="22" t="n">
        <v>151.2161804132607</v>
      </c>
      <c r="H65" s="22" t="n">
        <v>1208.107537479829</v>
      </c>
      <c r="I65" s="22" t="n">
        <v>9386.687360294822</v>
      </c>
      <c r="J65" s="22" t="n">
        <v>13288.96320182804</v>
      </c>
      <c r="K65" s="22" t="n">
        <v>19109.38824551594</v>
      </c>
      <c r="L65" s="22" t="n">
        <v>26365.64588672096</v>
      </c>
      <c r="M65" s="22" t="n">
        <v>33772.19818597356</v>
      </c>
      <c r="N65" s="22" t="n">
        <v>43615.25056402502</v>
      </c>
      <c r="O65" s="22" t="n">
        <v>51012.87151460622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4.982137450802301</v>
      </c>
      <c r="G66" s="22" t="n">
        <v>33.26755969091735</v>
      </c>
      <c r="H66" s="22" t="n">
        <v>193.2972059967728</v>
      </c>
      <c r="I66" s="22" t="n">
        <v>1408.003104044224</v>
      </c>
      <c r="J66" s="22" t="n">
        <v>1812.131345703823</v>
      </c>
      <c r="K66" s="22" t="n">
        <v>2456.921345852051</v>
      </c>
      <c r="L66" s="22" t="n">
        <v>3101.840692555407</v>
      </c>
      <c r="M66" s="22" t="n">
        <v>3910.465053112727</v>
      </c>
      <c r="N66" s="22" t="n">
        <v>4984.60006446</v>
      </c>
      <c r="O66" s="22" t="n">
        <v>5766.672432085921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12.45534362700575</v>
      </c>
      <c r="G67" s="15" t="n">
        <v>60.48647216530428</v>
      </c>
      <c r="H67" s="15" t="n">
        <v>241.6215074959658</v>
      </c>
      <c r="I67" s="15" t="n">
        <v>1173.335920036853</v>
      </c>
      <c r="J67" s="15" t="n">
        <v>1208.087563802549</v>
      </c>
      <c r="K67" s="15" t="n">
        <v>1364.956303251138</v>
      </c>
      <c r="L67" s="15" t="n">
        <v>1550.920346277704</v>
      </c>
      <c r="M67" s="15" t="n">
        <v>1777.48411505124</v>
      </c>
      <c r="N67" s="15" t="n">
        <v>2076.916693525001</v>
      </c>
      <c r="O67" s="15" t="n">
        <v>2217.950935417662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2761939.368278734</v>
      </c>
      <c r="H68" s="15" t="n">
        <v>2206589.109552199</v>
      </c>
      <c r="I68" s="15" t="n">
        <v>3214618.959005076</v>
      </c>
      <c r="J68" s="15" t="n">
        <v>1946958.20113223</v>
      </c>
      <c r="K68" s="15" t="n">
        <v>1558169.295948788</v>
      </c>
      <c r="L68" s="15" t="n">
        <v>1370676.39971516</v>
      </c>
      <c r="M68" s="15" t="n">
        <v>1316167.430619208</v>
      </c>
      <c r="N68" s="15" t="n">
        <v>1354805.409996739</v>
      </c>
      <c r="O68" s="15" t="n">
        <v>1320995.196794319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23.68515289131093</v>
      </c>
      <c r="G70" s="22" t="n">
        <v>184.8837401041781</v>
      </c>
      <c r="H70" s="22" t="n">
        <v>1457.804743476602</v>
      </c>
      <c r="I70" s="22" t="n">
        <v>11092.69046433905</v>
      </c>
      <c r="J70" s="22" t="n">
        <v>15724.69454753186</v>
      </c>
      <c r="K70" s="22" t="n">
        <v>22558.30959136799</v>
      </c>
      <c r="L70" s="22" t="n">
        <v>30817.08657927637</v>
      </c>
      <c r="M70" s="22" t="n">
        <v>39387.86323908628</v>
      </c>
      <c r="N70" s="22" t="n">
        <v>50599.85062848502</v>
      </c>
      <c r="O70" s="22" t="n">
        <v>59043.54394669215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10.65831880108992</v>
      </c>
      <c r="G71" s="22" t="n">
        <v>73.95349604167124</v>
      </c>
      <c r="H71" s="22" t="n">
        <v>510.2316602168107</v>
      </c>
      <c r="I71" s="22" t="n">
        <v>3327.807139301714</v>
      </c>
      <c r="J71" s="22" t="n">
        <v>4402.914473308922</v>
      </c>
      <c r="K71" s="22" t="n">
        <v>5865.160493755678</v>
      </c>
      <c r="L71" s="22" t="n">
        <v>7704.271644819092</v>
      </c>
      <c r="M71" s="22" t="n">
        <v>9453.087177380708</v>
      </c>
      <c r="N71" s="22" t="n">
        <v>11637.96564455155</v>
      </c>
      <c r="O71" s="22" t="n">
        <v>12989.57966827227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5.921288222827733</v>
      </c>
      <c r="G72" s="22" t="n">
        <v>36.97674802083562</v>
      </c>
      <c r="H72" s="22" t="n">
        <v>218.6707115214903</v>
      </c>
      <c r="I72" s="22" t="n">
        <v>1331.122855720685</v>
      </c>
      <c r="J72" s="22" t="n">
        <v>1729.716400228505</v>
      </c>
      <c r="K72" s="22" t="n">
        <v>2255.830959136799</v>
      </c>
      <c r="L72" s="22" t="n">
        <v>3081.708657927637</v>
      </c>
      <c r="M72" s="22" t="n">
        <v>3544.907691517765</v>
      </c>
      <c r="N72" s="22" t="n">
        <v>4553.986556563651</v>
      </c>
      <c r="O72" s="22" t="n">
        <v>4723.483515735372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40.26475991522859</v>
      </c>
      <c r="G73" s="22" t="n">
        <v>295.8139841666849</v>
      </c>
      <c r="H73" s="22" t="n">
        <v>2186.707115214903</v>
      </c>
      <c r="I73" s="22" t="n">
        <v>15751.62045936145</v>
      </c>
      <c r="J73" s="22" t="n">
        <v>21857.32542106929</v>
      </c>
      <c r="K73" s="22" t="n">
        <v>30679.30104426046</v>
      </c>
      <c r="L73" s="22" t="n">
        <v>41603.0668820231</v>
      </c>
      <c r="M73" s="22" t="n">
        <v>52385.85810798476</v>
      </c>
      <c r="N73" s="22" t="n">
        <v>66791.80282960023</v>
      </c>
      <c r="O73" s="22" t="n">
        <v>76756.60713069979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2998720.149216711</v>
      </c>
      <c r="F74" s="15" t="n">
        <v>2817451.292769577</v>
      </c>
      <c r="G74" s="15" t="n">
        <v>2555996.406970204</v>
      </c>
      <c r="H74" s="15" t="n">
        <v>2519954.688248695</v>
      </c>
      <c r="I74" s="15" t="n">
        <v>3617101.127563043</v>
      </c>
      <c r="J74" s="15" t="n">
        <v>3487752.345835454</v>
      </c>
      <c r="K74" s="15" t="n">
        <v>3665888.353846894</v>
      </c>
      <c r="L74" s="15" t="n">
        <v>4020086.085538719</v>
      </c>
      <c r="M74" s="15" t="n">
        <v>4233153.291237778</v>
      </c>
      <c r="N74" s="15" t="n">
        <v>4656728.697080285</v>
      </c>
      <c r="O74" s="15" t="n">
        <v>4806193.692684154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2013846.153846154</v>
      </c>
      <c r="F75" s="15" t="n">
        <v>14291200</v>
      </c>
      <c r="G75" s="15" t="n">
        <v>115733333.3333333</v>
      </c>
      <c r="H75" s="15" t="n">
        <v>867756521.7391305</v>
      </c>
      <c r="I75" s="15" t="n">
        <v>4354763636.363636</v>
      </c>
      <c r="J75" s="15" t="n">
        <v>6266880000</v>
      </c>
      <c r="K75" s="15" t="n">
        <v>8368858536.585368</v>
      </c>
      <c r="L75" s="15" t="n">
        <v>10348800000</v>
      </c>
      <c r="M75" s="15" t="n">
        <v>12375138461.53846</v>
      </c>
      <c r="N75" s="15" t="n">
        <v>14343073684.21053</v>
      </c>
      <c r="O75" s="15" t="n">
        <v>15970352432.43243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3661538.461538462</v>
      </c>
      <c r="F77" s="15" t="n">
        <v>24640000</v>
      </c>
      <c r="G77" s="15" t="n">
        <v>186666666.6666667</v>
      </c>
      <c r="H77" s="15" t="n">
        <v>1314782608.695652</v>
      </c>
      <c r="I77" s="15" t="n">
        <v>6221090909.090909</v>
      </c>
      <c r="J77" s="15" t="n">
        <v>8704000000</v>
      </c>
      <c r="K77" s="15" t="n">
        <v>11309268292.68293</v>
      </c>
      <c r="L77" s="15" t="n">
        <v>13798400000</v>
      </c>
      <c r="M77" s="15" t="n">
        <v>16283076923.07693</v>
      </c>
      <c r="N77" s="15" t="n">
        <v>18627368421.05264</v>
      </c>
      <c r="O77" s="15" t="n">
        <v>20474810810.81081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9.520000000000001</v>
      </c>
      <c r="F79" s="15" t="n">
        <v>61.60000000000001</v>
      </c>
      <c r="G79" s="15" t="n">
        <v>448.0000000000001</v>
      </c>
      <c r="H79" s="15" t="n">
        <v>3024</v>
      </c>
      <c r="I79" s="15" t="n">
        <v>13686.4</v>
      </c>
      <c r="J79" s="15" t="n">
        <v>18278.4</v>
      </c>
      <c r="K79" s="15" t="n">
        <v>23184</v>
      </c>
      <c r="L79" s="15" t="n">
        <v>27596.8</v>
      </c>
      <c r="M79" s="15" t="n">
        <v>31752</v>
      </c>
      <c r="N79" s="15" t="n">
        <v>35392.00000000001</v>
      </c>
      <c r="O79" s="15" t="n">
        <v>37878.4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3</v>
      </c>
      <c r="G80" s="15" t="n">
        <v>20</v>
      </c>
      <c r="H80" s="15" t="n">
        <v>120</v>
      </c>
      <c r="I80" s="15" t="n">
        <v>480</v>
      </c>
      <c r="J80" s="15" t="n">
        <v>800</v>
      </c>
      <c r="K80" s="15" t="n">
        <v>1150</v>
      </c>
      <c r="L80" s="15" t="n">
        <v>1500</v>
      </c>
      <c r="M80" s="15" t="n">
        <v>1850</v>
      </c>
      <c r="N80" s="15" t="n">
        <v>2150</v>
      </c>
      <c r="O80" s="15" t="n">
        <v>2450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0.054</v>
      </c>
      <c r="G82" s="15" t="n">
        <v>0.32</v>
      </c>
      <c r="H82" s="15" t="n">
        <v>1.68</v>
      </c>
      <c r="I82" s="15" t="n">
        <v>5.76</v>
      </c>
      <c r="J82" s="15" t="n">
        <v>8.800000000000001</v>
      </c>
      <c r="K82" s="15" t="n">
        <v>11.5</v>
      </c>
      <c r="L82" s="15" t="n">
        <v>13.5</v>
      </c>
      <c r="M82" s="15" t="n">
        <v>16.65</v>
      </c>
      <c r="N82" s="15" t="n">
        <v>17.2</v>
      </c>
      <c r="O82" s="15" t="n">
        <v>19.6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1</v>
      </c>
      <c r="G83" s="15" t="n">
        <v>6</v>
      </c>
      <c r="H83" s="15" t="n">
        <v>35</v>
      </c>
      <c r="I83" s="15" t="n">
        <v>120</v>
      </c>
      <c r="J83" s="15" t="n">
        <v>190</v>
      </c>
      <c r="K83" s="15" t="n">
        <v>260</v>
      </c>
      <c r="L83" s="15" t="n">
        <v>330</v>
      </c>
      <c r="M83" s="15" t="n">
        <v>400</v>
      </c>
      <c r="N83" s="15" t="n">
        <v>460</v>
      </c>
      <c r="O83" s="15" t="n">
        <v>520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2</v>
      </c>
      <c r="G84" s="15" t="n">
        <v>10</v>
      </c>
      <c r="H84" s="15" t="n">
        <v>55</v>
      </c>
      <c r="I84" s="15" t="n">
        <v>200</v>
      </c>
      <c r="J84" s="15" t="n">
        <v>320</v>
      </c>
      <c r="K84" s="15" t="n">
        <v>440</v>
      </c>
      <c r="L84" s="15" t="n">
        <v>560</v>
      </c>
      <c r="M84" s="15" t="n">
        <v>680</v>
      </c>
      <c r="N84" s="15" t="n">
        <v>780</v>
      </c>
      <c r="O84" s="15" t="n">
        <v>880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2.013237995761429</v>
      </c>
      <c r="G87" s="15" t="n">
        <v>11.8325593666674</v>
      </c>
      <c r="H87" s="15" t="n">
        <v>76.5347490325216</v>
      </c>
      <c r="I87" s="15" t="n">
        <v>472.5486137808434</v>
      </c>
      <c r="J87" s="15" t="n">
        <v>612.0051117899401</v>
      </c>
      <c r="K87" s="15" t="n">
        <v>797.661827150772</v>
      </c>
      <c r="L87" s="15" t="n">
        <v>1040.076672050578</v>
      </c>
      <c r="M87" s="15" t="n">
        <v>1257.260594591634</v>
      </c>
      <c r="N87" s="15" t="n">
        <v>1536.211465080805</v>
      </c>
      <c r="O87" s="15" t="n">
        <v>1688.645356875395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120000</v>
      </c>
      <c r="G88" s="15" t="n">
        <v>700000</v>
      </c>
      <c r="H88" s="15" t="n">
        <v>3500000</v>
      </c>
      <c r="I88" s="15" t="n">
        <v>12000000</v>
      </c>
      <c r="J88" s="15" t="n">
        <v>19000000</v>
      </c>
      <c r="K88" s="15" t="n">
        <v>26000000</v>
      </c>
      <c r="L88" s="15" t="n">
        <v>33000000</v>
      </c>
      <c r="M88" s="15" t="n">
        <v>39000000</v>
      </c>
      <c r="N88" s="15" t="n">
        <v>44000000</v>
      </c>
      <c r="O88" s="15" t="n">
        <v>48000000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0.48</v>
      </c>
      <c r="G90" s="15" t="n">
        <v>2.66</v>
      </c>
      <c r="H90" s="15" t="n">
        <v>12.6</v>
      </c>
      <c r="I90" s="15" t="n">
        <v>42</v>
      </c>
      <c r="J90" s="15" t="n">
        <v>64.59999999999999</v>
      </c>
      <c r="K90" s="15" t="n">
        <v>85.8</v>
      </c>
      <c r="L90" s="15" t="n">
        <v>105.6</v>
      </c>
      <c r="M90" s="15" t="n">
        <v>124.8</v>
      </c>
      <c r="N90" s="15" t="n">
        <v>136.4</v>
      </c>
      <c r="O90" s="15" t="n">
        <v>144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84.8</v>
      </c>
      <c r="G91" s="15" t="n">
        <v>747.9</v>
      </c>
      <c r="H91" s="15" t="n">
        <v>6424</v>
      </c>
      <c r="I91" s="15" t="n">
        <v>35342.00000000001</v>
      </c>
      <c r="J91" s="15" t="n">
        <v>49142.00000000001</v>
      </c>
      <c r="K91" s="15" t="n">
        <v>63720.00000000001</v>
      </c>
      <c r="L91" s="15" t="n">
        <v>78477.99999999999</v>
      </c>
      <c r="M91" s="15" t="n">
        <v>94676</v>
      </c>
      <c r="N91" s="15" t="n">
        <v>111647</v>
      </c>
      <c r="O91" s="15" t="n">
        <v>126038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2.3744</v>
      </c>
      <c r="G93" s="15" t="n">
        <v>20.1933</v>
      </c>
      <c r="H93" s="15" t="n">
        <v>167.024</v>
      </c>
      <c r="I93" s="15" t="n">
        <v>883.5500000000002</v>
      </c>
      <c r="J93" s="15" t="n">
        <v>1179.408</v>
      </c>
      <c r="K93" s="15" t="n">
        <v>1529.28</v>
      </c>
      <c r="L93" s="15" t="n">
        <v>1804.994</v>
      </c>
      <c r="M93" s="15" t="n">
        <v>2177.548</v>
      </c>
      <c r="N93" s="15" t="n">
        <v>2456.234</v>
      </c>
      <c r="O93" s="15" t="n">
        <v>2772.835999999999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1.6</v>
      </c>
      <c r="G95" s="15" t="n">
        <v>36</v>
      </c>
      <c r="H95" s="15" t="n">
        <v>454.9999999999999</v>
      </c>
      <c r="I95" s="15" t="n">
        <v>2508</v>
      </c>
      <c r="J95" s="15" t="n">
        <v>4480</v>
      </c>
      <c r="K95" s="15" t="n">
        <v>6440</v>
      </c>
      <c r="L95" s="15" t="n">
        <v>8400</v>
      </c>
      <c r="M95" s="15" t="n">
        <v>10101</v>
      </c>
      <c r="N95" s="15" t="n">
        <v>11739</v>
      </c>
      <c r="O95" s="15" t="n">
        <v>13034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0.48</v>
      </c>
      <c r="G97" s="15" t="n">
        <v>10.8</v>
      </c>
      <c r="H97" s="15" t="n">
        <v>127.4</v>
      </c>
      <c r="I97" s="15" t="n">
        <v>501.6</v>
      </c>
      <c r="J97" s="15" t="n">
        <v>896</v>
      </c>
      <c r="K97" s="15" t="n">
        <v>1159.2</v>
      </c>
      <c r="L97" s="15" t="n">
        <v>1512</v>
      </c>
      <c r="M97" s="15" t="n">
        <v>1717.17</v>
      </c>
      <c r="N97" s="15" t="n">
        <v>1995.63</v>
      </c>
      <c r="O97" s="15" t="n">
        <v>1955.1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0.3333333333333333</v>
      </c>
      <c r="G99" s="15" t="n">
        <v>3</v>
      </c>
      <c r="H99" s="15" t="n">
        <v>12</v>
      </c>
      <c r="I99" s="15" t="n">
        <v>33.33333333333334</v>
      </c>
      <c r="J99" s="15" t="n">
        <v>53.125</v>
      </c>
      <c r="K99" s="15" t="n">
        <v>70.58823529411765</v>
      </c>
      <c r="L99" s="15" t="n">
        <v>86.11111111111111</v>
      </c>
      <c r="M99" s="15" t="n">
        <v>97.36842105263158</v>
      </c>
      <c r="N99" s="15" t="n">
        <v>105</v>
      </c>
      <c r="O99" s="15" t="n">
        <v>109.5238095238095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0.06</v>
      </c>
      <c r="G101" s="15" t="n">
        <v>0.57</v>
      </c>
      <c r="H101" s="15" t="n">
        <v>2.4</v>
      </c>
      <c r="I101" s="15" t="n">
        <v>7.000000000000001</v>
      </c>
      <c r="J101" s="15" t="n">
        <v>11.58125</v>
      </c>
      <c r="K101" s="15" t="n">
        <v>15.88235294117647</v>
      </c>
      <c r="L101" s="15" t="n">
        <v>19.97777777777778</v>
      </c>
      <c r="M101" s="15" t="n">
        <v>23.17368421052631</v>
      </c>
      <c r="N101" s="15" t="n">
        <v>25.62</v>
      </c>
      <c r="O101" s="15" t="n">
        <v>27.38095238095238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20</v>
      </c>
      <c r="G102" s="15" t="n">
        <v>150</v>
      </c>
      <c r="H102" s="15" t="n">
        <v>800</v>
      </c>
      <c r="I102" s="15" t="n">
        <v>2600</v>
      </c>
      <c r="J102" s="15" t="n">
        <v>4200</v>
      </c>
      <c r="K102" s="15" t="n">
        <v>5800</v>
      </c>
      <c r="L102" s="15" t="n">
        <v>7300</v>
      </c>
      <c r="M102" s="15" t="n">
        <v>8600</v>
      </c>
      <c r="N102" s="15" t="n">
        <v>9700</v>
      </c>
      <c r="O102" s="15" t="n">
        <v>10600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0.12</v>
      </c>
      <c r="G104" s="15" t="n">
        <v>0.825</v>
      </c>
      <c r="H104" s="15" t="n">
        <v>4</v>
      </c>
      <c r="I104" s="15" t="n">
        <v>11.7</v>
      </c>
      <c r="J104" s="15" t="n">
        <v>17.64</v>
      </c>
      <c r="K104" s="15" t="n">
        <v>23.2</v>
      </c>
      <c r="L104" s="15" t="n">
        <v>27.74</v>
      </c>
      <c r="M104" s="15" t="n">
        <v>30.96</v>
      </c>
      <c r="N104" s="15" t="n">
        <v>33.95</v>
      </c>
      <c r="O104" s="15" t="n">
        <v>36.04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10.71394805194805</v>
      </c>
      <c r="F105" s="21" t="n">
        <v>70.18163799576145</v>
      </c>
      <c r="G105" s="21" t="n">
        <v>511.2008593666675</v>
      </c>
      <c r="H105" s="21" t="n">
        <v>3505.638749032521</v>
      </c>
      <c r="I105" s="21" t="n">
        <v>15930.55861378085</v>
      </c>
      <c r="J105" s="21" t="n">
        <v>21578.43436178994</v>
      </c>
      <c r="K105" s="21" t="n">
        <v>27506.52418009195</v>
      </c>
      <c r="L105" s="21" t="n">
        <v>33010.68844982835</v>
      </c>
      <c r="M105" s="21" t="n">
        <v>38179.56227880217</v>
      </c>
      <c r="N105" s="21" t="n">
        <v>42833.24546508081</v>
      </c>
      <c r="O105" s="21" t="n">
        <v>45922.00230925634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-0.07139480519480546</v>
      </c>
      <c r="F106" s="25" t="n">
        <v>0.2981836200423855</v>
      </c>
      <c r="G106" s="25" t="n">
        <v>0.4887991406333325</v>
      </c>
      <c r="H106" s="25" t="n">
        <v>0.610484583440831</v>
      </c>
      <c r="I106" s="25" t="n">
        <v>0.6610519443876415</v>
      </c>
      <c r="J106" s="25" t="n">
        <v>0.6826700829148539</v>
      </c>
      <c r="K106" s="25" t="n">
        <v>0.6943719535545338</v>
      </c>
      <c r="L106" s="25" t="n">
        <v>0.7052617102693897</v>
      </c>
      <c r="M106" s="25" t="n">
        <v>0.7171884275644284</v>
      </c>
      <c r="N106" s="25" t="n">
        <v>0.7289035097146784</v>
      </c>
      <c r="O106" s="25" t="n">
        <v>0.742011222981706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12.39</v>
      </c>
      <c r="F115" s="15" t="n">
        <v>42.48</v>
      </c>
      <c r="G115" s="15" t="n">
        <v>1239</v>
      </c>
      <c r="H115" s="15" t="n">
        <v>1433.7</v>
      </c>
      <c r="I115" s="15" t="n">
        <v>7154.339999999999</v>
      </c>
      <c r="J115" s="15" t="n">
        <v>8425.199999999999</v>
      </c>
      <c r="K115" s="15" t="n">
        <v>9558</v>
      </c>
      <c r="L115" s="15" t="n">
        <v>10308.48</v>
      </c>
      <c r="M115" s="15" t="n">
        <v>10991.7</v>
      </c>
      <c r="N115" s="15" t="n">
        <v>11745.72</v>
      </c>
      <c r="O115" s="15" t="n">
        <v>11972.28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47.3</v>
      </c>
      <c r="F117" s="15" t="n">
        <v>166.6</v>
      </c>
      <c r="G117" s="15" t="n">
        <v>4680</v>
      </c>
      <c r="H117" s="15" t="n">
        <v>5679</v>
      </c>
      <c r="I117" s="15" t="n">
        <v>28077.8</v>
      </c>
      <c r="J117" s="15" t="n">
        <v>33524</v>
      </c>
      <c r="K117" s="15" t="n">
        <v>38160</v>
      </c>
      <c r="L117" s="15" t="n">
        <v>41081.6</v>
      </c>
      <c r="M117" s="15" t="n">
        <v>44064</v>
      </c>
      <c r="N117" s="15" t="n">
        <v>47052.39999999999</v>
      </c>
      <c r="O117" s="15" t="n">
        <v>47917.6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69.3</v>
      </c>
      <c r="F118" s="21" t="n">
        <v>248.2</v>
      </c>
      <c r="G118" s="21" t="n">
        <v>5006.5</v>
      </c>
      <c r="H118" s="21" t="n">
        <v>6965</v>
      </c>
      <c r="I118" s="21" t="n">
        <v>31787.8</v>
      </c>
      <c r="J118" s="21" t="n">
        <v>39070</v>
      </c>
      <c r="K118" s="21" t="n">
        <v>45290</v>
      </c>
      <c r="L118" s="21" t="n">
        <v>49613.6</v>
      </c>
      <c r="M118" s="21" t="n">
        <v>53686.5</v>
      </c>
      <c r="N118" s="21" t="n">
        <v>57511.89999999999</v>
      </c>
      <c r="O118" s="21" t="n">
        <v>59212.1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6.194999999999999</v>
      </c>
      <c r="F142" s="15" t="n">
        <v>27.435</v>
      </c>
      <c r="G142" s="15" t="n">
        <v>640.74</v>
      </c>
      <c r="H142" s="15" t="n">
        <v>1336.35</v>
      </c>
      <c r="I142" s="15" t="n">
        <v>4294.02</v>
      </c>
      <c r="J142" s="15" t="n">
        <v>7789.769999999999</v>
      </c>
      <c r="K142" s="15" t="n">
        <v>8991.599999999999</v>
      </c>
      <c r="L142" s="15" t="n">
        <v>9933.24</v>
      </c>
      <c r="M142" s="15" t="n">
        <v>10650.09</v>
      </c>
      <c r="N142" s="15" t="n">
        <v>11368.71</v>
      </c>
      <c r="O142" s="15" t="n">
        <v>11859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6.694999999999999</v>
      </c>
      <c r="F147" s="21" t="n">
        <v>29.935</v>
      </c>
      <c r="G147" s="21" t="n">
        <v>653.24</v>
      </c>
      <c r="H147" s="21" t="n">
        <v>1392.85</v>
      </c>
      <c r="I147" s="21" t="n">
        <v>4630.02</v>
      </c>
      <c r="J147" s="21" t="n">
        <v>8763.769999999999</v>
      </c>
      <c r="K147" s="21" t="n">
        <v>10788.93333333333</v>
      </c>
      <c r="L147" s="21" t="n">
        <v>12813.90666666667</v>
      </c>
      <c r="M147" s="21" t="n">
        <v>14736.75666666667</v>
      </c>
      <c r="N147" s="21" t="n">
        <v>16542.04333333333</v>
      </c>
      <c r="O147" s="21" t="n">
        <v>17859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-0.713948051948055</v>
      </c>
      <c r="F149" s="21" t="n">
        <v>29.81836200423855</v>
      </c>
      <c r="G149" s="21" t="n">
        <v>488.7991406333325</v>
      </c>
      <c r="H149" s="21" t="n">
        <v>5494.361250967479</v>
      </c>
      <c r="I149" s="21" t="n">
        <v>31069.44138621915</v>
      </c>
      <c r="J149" s="21" t="n">
        <v>46421.56563821006</v>
      </c>
      <c r="K149" s="21" t="n">
        <v>62493.47581990805</v>
      </c>
      <c r="L149" s="21" t="n">
        <v>78989.31155017164</v>
      </c>
      <c r="M149" s="21" t="n">
        <v>96820.43772119783</v>
      </c>
      <c r="N149" s="21" t="n">
        <v>115166.7545349192</v>
      </c>
      <c r="O149" s="21" t="n">
        <v>132077.9976907437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-84.06894805194804</v>
      </c>
      <c r="F150" s="21" t="n">
        <v>-276.6566379957614</v>
      </c>
      <c r="G150" s="21" t="n">
        <v>-5289.740859366668</v>
      </c>
      <c r="H150" s="21" t="n">
        <v>-3448.588749032521</v>
      </c>
      <c r="I150" s="21" t="n">
        <v>-7681.378613780848</v>
      </c>
      <c r="J150" s="21" t="n">
        <v>-5045.704361789934</v>
      </c>
      <c r="K150" s="21" t="n">
        <v>1714.542486574721</v>
      </c>
      <c r="L150" s="21" t="n">
        <v>10908.60488350497</v>
      </c>
      <c r="M150" s="21" t="n">
        <v>21941.18105453116</v>
      </c>
      <c r="N150" s="21" t="n">
        <v>33935.51120158586</v>
      </c>
      <c r="O150" s="21" t="n">
        <v>47222.69769074365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-92.61294805194804</v>
      </c>
      <c r="F151" s="21" t="n">
        <v>-309.0296379957614</v>
      </c>
      <c r="G151" s="21" t="n">
        <v>-5369.390859366667</v>
      </c>
      <c r="H151" s="21" t="n">
        <v>-3691.193749032521</v>
      </c>
      <c r="I151" s="21" t="n">
        <v>-8909.528613780849</v>
      </c>
      <c r="J151" s="21" t="n">
        <v>-6785.454361789934</v>
      </c>
      <c r="K151" s="21" t="n">
        <v>-328.4575134252791</v>
      </c>
      <c r="L151" s="21" t="n">
        <v>8646.820883504974</v>
      </c>
      <c r="M151" s="21" t="n">
        <v>19535.78105453116</v>
      </c>
      <c r="N151" s="21" t="n">
        <v>31465.58720158586</v>
      </c>
      <c r="O151" s="21" t="n">
        <v>44715.76569074365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-8.406894805194804</v>
      </c>
      <c r="F152" s="25" t="n">
        <v>-2.766566379957614</v>
      </c>
      <c r="G152" s="25" t="n">
        <v>-5.289740859366668</v>
      </c>
      <c r="H152" s="25" t="n">
        <v>-0.3831765276702802</v>
      </c>
      <c r="I152" s="25" t="n">
        <v>-0.1634335875272521</v>
      </c>
      <c r="J152" s="25" t="n">
        <v>-0.07420153473220492</v>
      </c>
      <c r="K152" s="25" t="n">
        <v>0.01905047207305246</v>
      </c>
      <c r="L152" s="25" t="n">
        <v>0.09739825788843726</v>
      </c>
      <c r="M152" s="25" t="n">
        <v>0.1625272670706012</v>
      </c>
      <c r="N152" s="25" t="n">
        <v>0.2147817164657333</v>
      </c>
      <c r="O152" s="25" t="n">
        <v>0.26529605444238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0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Worst/Recognized  (data block D6)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REVENUE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Booked revenue</t>
        </is>
      </c>
      <c r="B4" s="13" t="inlineStr">
        <is>
          <t>IN</t>
        </is>
      </c>
      <c r="C4" s="13" t="inlineStr">
        <is>
          <t>$M</t>
        </is>
      </c>
      <c r="D4" s="14" t="inlineStr">
        <is>
          <t>Anchor. 2022-26 PitchBook TTM (10/100/1,000/9,000/47,000); 2027-32 base case. PB carries 55,000 for 2027 as a conservative mark.</t>
        </is>
      </c>
      <c r="E4" s="15" t="n">
        <v>10</v>
      </c>
      <c r="F4" s="15" t="n">
        <v>85</v>
      </c>
      <c r="G4" s="15" t="n">
        <v>600</v>
      </c>
      <c r="H4" s="15" t="n">
        <v>4680</v>
      </c>
      <c r="I4" s="15" t="n">
        <v>23500</v>
      </c>
      <c r="J4" s="15" t="n">
        <v>42160</v>
      </c>
      <c r="K4" s="15" t="n">
        <v>64800</v>
      </c>
      <c r="L4" s="15" t="n">
        <v>89600</v>
      </c>
      <c r="M4" s="15" t="n">
        <v>114750</v>
      </c>
      <c r="N4" s="15" t="n">
        <v>139040</v>
      </c>
      <c r="O4" s="15" t="n">
        <v>160200</v>
      </c>
    </row>
    <row r="5">
      <c r="A5" s="11" t="inlineStr">
        <is>
          <t>API PRICING AND BLENDED EFFECTIVE RATE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r="6">
      <c r="A6" s="12" t="inlineStr">
        <is>
          <t>Model mix % - Mythos</t>
        </is>
      </c>
      <c r="B6" s="13" t="inlineStr">
        <is>
          <t>IN</t>
        </is>
      </c>
      <c r="C6" s="13" t="inlineStr">
        <is>
          <t>%</t>
        </is>
      </c>
      <c r="D6" s="14" t="inlineStr">
        <is>
          <t>Token share, flagship tier (Fable 5 / Mythos 5, $10/$50). Introduced 2026.</t>
        </is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0.03</v>
      </c>
      <c r="J6" s="16" t="n">
        <v>0.05</v>
      </c>
      <c r="K6" s="16" t="n">
        <v>0.06</v>
      </c>
      <c r="L6" s="16" t="n">
        <v>0.07000000000000001</v>
      </c>
      <c r="M6" s="16" t="n">
        <v>0.08</v>
      </c>
      <c r="N6" s="16" t="n">
        <v>0.09</v>
      </c>
      <c r="O6" s="16" t="n">
        <v>0.1</v>
      </c>
    </row>
    <row r="7">
      <c r="A7" s="12" t="inlineStr">
        <is>
          <t>Model mix % - Opus</t>
        </is>
      </c>
      <c r="B7" s="13" t="inlineStr">
        <is>
          <t>IN</t>
        </is>
      </c>
      <c r="C7" s="13" t="inlineStr">
        <is>
          <t>%</t>
        </is>
      </c>
      <c r="D7" s="14" t="inlineStr">
        <is>
          <t>Token share, Opus ($15/$75 to Aug-2025, cut to $5/$25 at Opus 4.5).</t>
        </is>
      </c>
      <c r="E7" s="16" t="n">
        <v>0</v>
      </c>
      <c r="F7" s="16" t="n">
        <v>0.1</v>
      </c>
      <c r="G7" s="16" t="n">
        <v>0.08</v>
      </c>
      <c r="H7" s="16" t="n">
        <v>0.1</v>
      </c>
      <c r="I7" s="16" t="n">
        <v>0.12</v>
      </c>
      <c r="J7" s="16" t="n">
        <v>0.12</v>
      </c>
      <c r="K7" s="16" t="n">
        <v>0.12</v>
      </c>
      <c r="L7" s="16" t="n">
        <v>0.12</v>
      </c>
      <c r="M7" s="16" t="n">
        <v>0.12</v>
      </c>
      <c r="N7" s="16" t="n">
        <v>0.12</v>
      </c>
      <c r="O7" s="16" t="n">
        <v>0.12</v>
      </c>
    </row>
    <row r="8">
      <c r="A8" s="12" t="inlineStr">
        <is>
          <t>Model mix % - Sonnet</t>
        </is>
      </c>
      <c r="B8" s="13" t="inlineStr">
        <is>
          <t>IN</t>
        </is>
      </c>
      <c r="C8" s="13" t="inlineStr">
        <is>
          <t>%</t>
        </is>
      </c>
      <c r="D8" s="14" t="inlineStr">
        <is>
          <t>Token share, Sonnet workhorse ($3/$15).</t>
        </is>
      </c>
      <c r="E8" s="16" t="n">
        <v>0.4</v>
      </c>
      <c r="F8" s="16" t="n">
        <v>0.3</v>
      </c>
      <c r="G8" s="16" t="n">
        <v>0.32</v>
      </c>
      <c r="H8" s="16" t="n">
        <v>0.45</v>
      </c>
      <c r="I8" s="16" t="n">
        <v>0.45</v>
      </c>
      <c r="J8" s="16" t="n">
        <v>0.44</v>
      </c>
      <c r="K8" s="16" t="n">
        <v>0.43</v>
      </c>
      <c r="L8" s="16" t="n">
        <v>0.42</v>
      </c>
      <c r="M8" s="16" t="n">
        <v>0.41</v>
      </c>
      <c r="N8" s="16" t="n">
        <v>0.4</v>
      </c>
      <c r="O8" s="16" t="n">
        <v>0.4</v>
      </c>
    </row>
    <row r="9">
      <c r="A9" s="12" t="inlineStr">
        <is>
          <t>Model mix % - Haiku</t>
        </is>
      </c>
      <c r="B9" s="13" t="inlineStr">
        <is>
          <t>IN</t>
        </is>
      </c>
      <c r="C9" s="13" t="inlineStr">
        <is>
          <t>%</t>
        </is>
      </c>
      <c r="D9" s="14" t="inlineStr">
        <is>
          <t>Token share, Haiku ($0.25/$1.25 -&gt; $1/$5).</t>
        </is>
      </c>
      <c r="E9" s="16" t="n">
        <v>0.6</v>
      </c>
      <c r="F9" s="16" t="n">
        <v>0.6</v>
      </c>
      <c r="G9" s="16" t="n">
        <v>0.6</v>
      </c>
      <c r="H9" s="16" t="n">
        <v>0.45</v>
      </c>
      <c r="I9" s="16" t="n">
        <v>0.4</v>
      </c>
      <c r="J9" s="16" t="n">
        <v>0.39</v>
      </c>
      <c r="K9" s="16" t="n">
        <v>0.39</v>
      </c>
      <c r="L9" s="16" t="n">
        <v>0.39</v>
      </c>
      <c r="M9" s="16" t="n">
        <v>0.39</v>
      </c>
      <c r="N9" s="16" t="n">
        <v>0.39</v>
      </c>
      <c r="O9" s="16" t="n">
        <v>0.38</v>
      </c>
    </row>
    <row r="10">
      <c r="A10" s="12" t="inlineStr">
        <is>
          <t>List input $/Mtok - Mythos</t>
        </is>
      </c>
      <c r="B10" s="13" t="inlineStr">
        <is>
          <t>IN</t>
        </is>
      </c>
      <c r="C10" s="13" t="inlineStr">
        <is>
          <t>$</t>
        </is>
      </c>
      <c r="D10" s="14" t="inlineStr">
        <is>
          <t>List input price, flagship.</t>
        </is>
      </c>
      <c r="E10" s="17" t="n">
        <v>15</v>
      </c>
      <c r="F10" s="17" t="n">
        <v>15</v>
      </c>
      <c r="G10" s="17" t="n">
        <v>15</v>
      </c>
      <c r="H10" s="17" t="n">
        <v>15</v>
      </c>
      <c r="I10" s="17" t="n">
        <v>15</v>
      </c>
      <c r="J10" s="17" t="n">
        <v>15</v>
      </c>
      <c r="K10" s="17" t="n">
        <v>14</v>
      </c>
      <c r="L10" s="17" t="n">
        <v>13</v>
      </c>
      <c r="M10" s="17" t="n">
        <v>12</v>
      </c>
      <c r="N10" s="17" t="n">
        <v>12</v>
      </c>
      <c r="O10" s="17" t="n">
        <v>11</v>
      </c>
    </row>
    <row r="11">
      <c r="A11" s="12" t="inlineStr">
        <is>
          <t>List input $/Mtok - Opus</t>
        </is>
      </c>
      <c r="B11" s="13" t="inlineStr">
        <is>
          <t>IN</t>
        </is>
      </c>
      <c r="C11" s="13" t="inlineStr">
        <is>
          <t>$</t>
        </is>
      </c>
      <c r="D11" s="14" t="inlineStr">
        <is>
          <t>List input price, Opus.</t>
        </is>
      </c>
      <c r="E11" s="17" t="n">
        <v>11</v>
      </c>
      <c r="F11" s="17" t="n">
        <v>8</v>
      </c>
      <c r="G11" s="17" t="n">
        <v>15</v>
      </c>
      <c r="H11" s="17" t="n">
        <v>15</v>
      </c>
      <c r="I11" s="17" t="n">
        <v>5</v>
      </c>
      <c r="J11" s="17" t="n">
        <v>5</v>
      </c>
      <c r="K11" s="17" t="n">
        <v>5</v>
      </c>
      <c r="L11" s="17" t="n">
        <v>4.5</v>
      </c>
      <c r="M11" s="17" t="n">
        <v>4.5</v>
      </c>
      <c r="N11" s="17" t="n">
        <v>4</v>
      </c>
      <c r="O11" s="17" t="n">
        <v>4</v>
      </c>
    </row>
    <row r="12">
      <c r="A12" s="12" t="inlineStr">
        <is>
          <t>List input $/Mtok - Sonnet</t>
        </is>
      </c>
      <c r="B12" s="13" t="inlineStr">
        <is>
          <t>IN</t>
        </is>
      </c>
      <c r="C12" s="13" t="inlineStr">
        <is>
          <t>$</t>
        </is>
      </c>
      <c r="D12" s="14" t="inlineStr">
        <is>
          <t>List input price, Sonnet.</t>
        </is>
      </c>
      <c r="E12" s="17" t="n">
        <v>3</v>
      </c>
      <c r="F12" s="17" t="n">
        <v>3</v>
      </c>
      <c r="G12" s="17" t="n">
        <v>3</v>
      </c>
      <c r="H12" s="17" t="n">
        <v>3</v>
      </c>
      <c r="I12" s="17" t="n">
        <v>3</v>
      </c>
      <c r="J12" s="17" t="n">
        <v>3</v>
      </c>
      <c r="K12" s="17" t="n">
        <v>3</v>
      </c>
      <c r="L12" s="17" t="n">
        <v>2.5</v>
      </c>
      <c r="M12" s="17" t="n">
        <v>2.5</v>
      </c>
      <c r="N12" s="17" t="n">
        <v>2</v>
      </c>
      <c r="O12" s="17" t="n">
        <v>2</v>
      </c>
    </row>
    <row r="13">
      <c r="A13" s="12" t="inlineStr">
        <is>
          <t>List input $/Mtok - Haiku</t>
        </is>
      </c>
      <c r="B13" s="13" t="inlineStr">
        <is>
          <t>IN</t>
        </is>
      </c>
      <c r="C13" s="13" t="inlineStr">
        <is>
          <t>$</t>
        </is>
      </c>
      <c r="D13" s="14" t="inlineStr">
        <is>
          <t>List input price, Haiku.</t>
        </is>
      </c>
      <c r="E13" s="17" t="n">
        <v>0.8</v>
      </c>
      <c r="F13" s="17" t="n">
        <v>0.8</v>
      </c>
      <c r="G13" s="17" t="n">
        <v>0.25</v>
      </c>
      <c r="H13" s="17" t="n">
        <v>0.8</v>
      </c>
      <c r="I13" s="17" t="n">
        <v>1</v>
      </c>
      <c r="J13" s="17" t="n">
        <v>1</v>
      </c>
      <c r="K13" s="17" t="n">
        <v>1</v>
      </c>
      <c r="L13" s="17" t="n">
        <v>0.9</v>
      </c>
      <c r="M13" s="17" t="n">
        <v>0.9</v>
      </c>
      <c r="N13" s="17" t="n">
        <v>0.8</v>
      </c>
      <c r="O13" s="17" t="n">
        <v>0.8</v>
      </c>
    </row>
    <row r="14">
      <c r="A14" s="12" t="inlineStr">
        <is>
          <t>List output $/Mtok - Mythos</t>
        </is>
      </c>
      <c r="B14" s="13" t="inlineStr">
        <is>
          <t>IN</t>
        </is>
      </c>
      <c r="C14" s="13" t="inlineStr">
        <is>
          <t>$</t>
        </is>
      </c>
      <c r="D14" s="14" t="inlineStr">
        <is>
          <t>List output price, flagship.</t>
        </is>
      </c>
      <c r="E14" s="17" t="n">
        <v>75</v>
      </c>
      <c r="F14" s="17" t="n">
        <v>75</v>
      </c>
      <c r="G14" s="17" t="n">
        <v>75</v>
      </c>
      <c r="H14" s="17" t="n">
        <v>75</v>
      </c>
      <c r="I14" s="17" t="n">
        <v>75</v>
      </c>
      <c r="J14" s="17" t="n">
        <v>70</v>
      </c>
      <c r="K14" s="17" t="n">
        <v>65</v>
      </c>
      <c r="L14" s="17" t="n">
        <v>60</v>
      </c>
      <c r="M14" s="17" t="n">
        <v>55</v>
      </c>
      <c r="N14" s="17" t="n">
        <v>55</v>
      </c>
      <c r="O14" s="17" t="n">
        <v>50</v>
      </c>
    </row>
    <row r="15">
      <c r="A15" s="12" t="inlineStr">
        <is>
          <t>List output $/Mtok - Opus</t>
        </is>
      </c>
      <c r="B15" s="13" t="inlineStr">
        <is>
          <t>IN</t>
        </is>
      </c>
      <c r="C15" s="13" t="inlineStr">
        <is>
          <t>$</t>
        </is>
      </c>
      <c r="D15" s="14" t="inlineStr">
        <is>
          <t>List output price, Opus.</t>
        </is>
      </c>
      <c r="E15" s="17" t="n">
        <v>33</v>
      </c>
      <c r="F15" s="17" t="n">
        <v>24</v>
      </c>
      <c r="G15" s="17" t="n">
        <v>75</v>
      </c>
      <c r="H15" s="17" t="n">
        <v>75</v>
      </c>
      <c r="I15" s="17" t="n">
        <v>25</v>
      </c>
      <c r="J15" s="17" t="n">
        <v>25</v>
      </c>
      <c r="K15" s="17" t="n">
        <v>22</v>
      </c>
      <c r="L15" s="17" t="n">
        <v>22</v>
      </c>
      <c r="M15" s="17" t="n">
        <v>20</v>
      </c>
      <c r="N15" s="17" t="n">
        <v>20</v>
      </c>
      <c r="O15" s="17" t="n">
        <v>18</v>
      </c>
    </row>
    <row r="16">
      <c r="A16" s="12" t="inlineStr">
        <is>
          <t>List output $/Mtok - Sonnet</t>
        </is>
      </c>
      <c r="B16" s="13" t="inlineStr">
        <is>
          <t>IN</t>
        </is>
      </c>
      <c r="C16" s="13" t="inlineStr">
        <is>
          <t>$</t>
        </is>
      </c>
      <c r="D16" s="14" t="inlineStr">
        <is>
          <t>List output price, Sonnet.</t>
        </is>
      </c>
      <c r="E16" s="17" t="n">
        <v>15</v>
      </c>
      <c r="F16" s="17" t="n">
        <v>15</v>
      </c>
      <c r="G16" s="17" t="n">
        <v>15</v>
      </c>
      <c r="H16" s="17" t="n">
        <v>15</v>
      </c>
      <c r="I16" s="17" t="n">
        <v>15</v>
      </c>
      <c r="J16" s="17" t="n">
        <v>15</v>
      </c>
      <c r="K16" s="17" t="n">
        <v>13</v>
      </c>
      <c r="L16" s="17" t="n">
        <v>13</v>
      </c>
      <c r="M16" s="17" t="n">
        <v>12</v>
      </c>
      <c r="N16" s="17" t="n">
        <v>10</v>
      </c>
      <c r="O16" s="17" t="n">
        <v>10</v>
      </c>
    </row>
    <row r="17">
      <c r="A17" s="12" t="inlineStr">
        <is>
          <t>List output $/Mtok - Haiku</t>
        </is>
      </c>
      <c r="B17" s="13" t="inlineStr">
        <is>
          <t>IN</t>
        </is>
      </c>
      <c r="C17" s="13" t="inlineStr">
        <is>
          <t>$</t>
        </is>
      </c>
      <c r="D17" s="14" t="inlineStr">
        <is>
          <t>List output price, Haiku.</t>
        </is>
      </c>
      <c r="E17" s="17" t="n">
        <v>2.4</v>
      </c>
      <c r="F17" s="17" t="n">
        <v>2.4</v>
      </c>
      <c r="G17" s="17" t="n">
        <v>1.25</v>
      </c>
      <c r="H17" s="17" t="n">
        <v>4</v>
      </c>
      <c r="I17" s="17" t="n">
        <v>5</v>
      </c>
      <c r="J17" s="17" t="n">
        <v>5</v>
      </c>
      <c r="K17" s="17" t="n">
        <v>4.5</v>
      </c>
      <c r="L17" s="17" t="n">
        <v>4.5</v>
      </c>
      <c r="M17" s="17" t="n">
        <v>4</v>
      </c>
      <c r="N17" s="17" t="n">
        <v>4</v>
      </c>
      <c r="O17" s="17" t="n">
        <v>3.6</v>
      </c>
    </row>
    <row r="18">
      <c r="A18" s="12" t="inlineStr">
        <is>
          <t>Avg input tokens / call</t>
        </is>
      </c>
      <c r="B18" s="13" t="inlineStr">
        <is>
          <t>IN</t>
        </is>
      </c>
      <c r="C18" s="13" t="inlineStr">
        <is>
          <t>Tok</t>
        </is>
      </c>
      <c r="D18" s="14" t="inlineStr">
        <is>
          <t>Rising with agentic/long-context use.</t>
        </is>
      </c>
      <c r="E18" s="15" t="n">
        <v>1200</v>
      </c>
      <c r="F18" s="15" t="n">
        <v>1500</v>
      </c>
      <c r="G18" s="15" t="n">
        <v>2500</v>
      </c>
      <c r="H18" s="15" t="n">
        <v>5000</v>
      </c>
      <c r="I18" s="15" t="n">
        <v>8000</v>
      </c>
      <c r="J18" s="15" t="n">
        <v>11000</v>
      </c>
      <c r="K18" s="15" t="n">
        <v>14000</v>
      </c>
      <c r="L18" s="15" t="n">
        <v>17000</v>
      </c>
      <c r="M18" s="15" t="n">
        <v>19000</v>
      </c>
      <c r="N18" s="15" t="n">
        <v>21000</v>
      </c>
      <c r="O18" s="15" t="n">
        <v>23000</v>
      </c>
    </row>
    <row r="19">
      <c r="A19" s="12" t="inlineStr">
        <is>
          <t>Avg output tokens / call</t>
        </is>
      </c>
      <c r="B19" s="13" t="inlineStr">
        <is>
          <t>IN</t>
        </is>
      </c>
      <c r="C19" s="13" t="inlineStr">
        <is>
          <t>Tok</t>
        </is>
      </c>
      <c r="D19" s="14" t="inlineStr">
        <is>
          <t>Average generated tokens per call.</t>
        </is>
      </c>
      <c r="E19" s="15" t="n">
        <v>350</v>
      </c>
      <c r="F19" s="15" t="n">
        <v>400</v>
      </c>
      <c r="G19" s="15" t="n">
        <v>550</v>
      </c>
      <c r="H19" s="15" t="n">
        <v>800</v>
      </c>
      <c r="I19" s="15" t="n">
        <v>1200</v>
      </c>
      <c r="J19" s="15" t="n">
        <v>1500</v>
      </c>
      <c r="K19" s="15" t="n">
        <v>1800</v>
      </c>
      <c r="L19" s="15" t="n">
        <v>2000</v>
      </c>
      <c r="M19" s="15" t="n">
        <v>2200</v>
      </c>
      <c r="N19" s="15" t="n">
        <v>2400</v>
      </c>
      <c r="O19" s="15" t="n">
        <v>2600</v>
      </c>
    </row>
    <row r="20">
      <c r="A20" s="12" t="inlineStr">
        <is>
          <t>Input share of tokens</t>
        </is>
      </c>
      <c r="B20" s="13" t="inlineStr">
        <is>
          <t>CALC</t>
        </is>
      </c>
      <c r="C20" s="13" t="inlineStr">
        <is>
          <t>%</t>
        </is>
      </c>
      <c r="D20" s="14" t="inlineStr">
        <is>
          <t>in / (in + out).</t>
        </is>
      </c>
      <c r="E20" s="16" t="n">
        <v>0.7741935483870968</v>
      </c>
      <c r="F20" s="16" t="n">
        <v>0.7894736842105263</v>
      </c>
      <c r="G20" s="16" t="n">
        <v>0.819672131147541</v>
      </c>
      <c r="H20" s="16" t="n">
        <v>0.8620689655172413</v>
      </c>
      <c r="I20" s="16" t="n">
        <v>0.8695652173913043</v>
      </c>
      <c r="J20" s="16" t="n">
        <v>0.88</v>
      </c>
      <c r="K20" s="16" t="n">
        <v>0.8860759493670886</v>
      </c>
      <c r="L20" s="16" t="n">
        <v>0.8947368421052632</v>
      </c>
      <c r="M20" s="16" t="n">
        <v>0.8962264150943396</v>
      </c>
      <c r="N20" s="16" t="n">
        <v>0.8974358974358975</v>
      </c>
      <c r="O20" s="16" t="n">
        <v>0.8984375</v>
      </c>
    </row>
    <row r="21">
      <c r="A21" s="12" t="inlineStr">
        <is>
          <t>Input : output ratio (memo)</t>
        </is>
      </c>
      <c r="B21" s="13" t="inlineStr">
        <is>
          <t>CALC</t>
        </is>
      </c>
      <c r="C21" s="13" t="inlineStr">
        <is>
          <t>x</t>
        </is>
      </c>
      <c r="D21" s="14" t="inlineStr">
        <is>
          <t>Input per output token.</t>
        </is>
      </c>
      <c r="E21" s="17" t="n">
        <v>3.428571428571428</v>
      </c>
      <c r="F21" s="17" t="n">
        <v>3.75</v>
      </c>
      <c r="G21" s="17" t="n">
        <v>4.545454545454546</v>
      </c>
      <c r="H21" s="17" t="n">
        <v>6.25</v>
      </c>
      <c r="I21" s="17" t="n">
        <v>6.666666666666667</v>
      </c>
      <c r="J21" s="17" t="n">
        <v>7.333333333333333</v>
      </c>
      <c r="K21" s="17" t="n">
        <v>7.777777777777778</v>
      </c>
      <c r="L21" s="17" t="n">
        <v>8.5</v>
      </c>
      <c r="M21" s="17" t="n">
        <v>8.636363636363637</v>
      </c>
      <c r="N21" s="17" t="n">
        <v>8.75</v>
      </c>
      <c r="O21" s="17" t="n">
        <v>8.846153846153847</v>
      </c>
    </row>
    <row r="22">
      <c r="A22" s="12" t="inlineStr">
        <is>
          <t>% input tokens prompt-cached</t>
        </is>
      </c>
      <c r="B22" s="13" t="inlineStr">
        <is>
          <t>IN</t>
        </is>
      </c>
      <c r="C22" s="13" t="inlineStr">
        <is>
          <t>%</t>
        </is>
      </c>
      <c r="D22" s="14" t="inlineStr">
        <is>
          <t>Share hitting prompt cache (Aug-2024).</t>
        </is>
      </c>
      <c r="E22" s="16" t="n">
        <v>0</v>
      </c>
      <c r="F22" s="16" t="n">
        <v>0</v>
      </c>
      <c r="G22" s="16" t="n">
        <v>0.05</v>
      </c>
      <c r="H22" s="16" t="n">
        <v>0.2</v>
      </c>
      <c r="I22" s="16" t="n">
        <v>0.35</v>
      </c>
      <c r="J22" s="16" t="n">
        <v>0.42</v>
      </c>
      <c r="K22" s="16" t="n">
        <v>0.47</v>
      </c>
      <c r="L22" s="16" t="n">
        <v>0.5</v>
      </c>
      <c r="M22" s="16" t="n">
        <v>0.52</v>
      </c>
      <c r="N22" s="16" t="n">
        <v>0.54</v>
      </c>
      <c r="O22" s="16" t="n">
        <v>0.55</v>
      </c>
    </row>
    <row r="23">
      <c r="A23" s="12" t="inlineStr">
        <is>
          <t>Cache read pay-rate (0.10 = 90% off)</t>
        </is>
      </c>
      <c r="B23" s="13" t="inlineStr">
        <is>
          <t>IN</t>
        </is>
      </c>
      <c r="C23" s="13" t="inlineStr">
        <is>
          <t>x</t>
        </is>
      </c>
      <c r="D23" s="14" t="inlineStr">
        <is>
          <t>Cached-read multiplier (0.10 = 90% off).</t>
        </is>
      </c>
      <c r="E23" s="17" t="n">
        <v>1</v>
      </c>
      <c r="F23" s="17" t="n">
        <v>1</v>
      </c>
      <c r="G23" s="17" t="n">
        <v>0.1</v>
      </c>
      <c r="H23" s="17" t="n">
        <v>0.1</v>
      </c>
      <c r="I23" s="17" t="n">
        <v>0.1</v>
      </c>
      <c r="J23" s="17" t="n">
        <v>0.1</v>
      </c>
      <c r="K23" s="17" t="n">
        <v>0.1</v>
      </c>
      <c r="L23" s="17" t="n">
        <v>0.1</v>
      </c>
      <c r="M23" s="17" t="n">
        <v>0.1</v>
      </c>
      <c r="N23" s="17" t="n">
        <v>0.1</v>
      </c>
      <c r="O23" s="17" t="n">
        <v>0.1</v>
      </c>
    </row>
    <row r="24">
      <c r="A24" s="12" t="inlineStr">
        <is>
          <t>Cache write multiplier (memo)</t>
        </is>
      </c>
      <c r="B24" s="13" t="inlineStr">
        <is>
          <t>IN</t>
        </is>
      </c>
      <c r="C24" s="13" t="inlineStr">
        <is>
          <t>x</t>
        </is>
      </c>
      <c r="D24" s="14" t="inlineStr">
        <is>
          <t>5-min write = 1.25x input.</t>
        </is>
      </c>
      <c r="E24" s="17" t="n">
        <v>1</v>
      </c>
      <c r="F24" s="17" t="n">
        <v>1</v>
      </c>
      <c r="G24" s="17" t="n">
        <v>1.25</v>
      </c>
      <c r="H24" s="17" t="n">
        <v>1.25</v>
      </c>
      <c r="I24" s="17" t="n">
        <v>1.25</v>
      </c>
      <c r="J24" s="17" t="n">
        <v>1.25</v>
      </c>
      <c r="K24" s="17" t="n">
        <v>1.25</v>
      </c>
      <c r="L24" s="17" t="n">
        <v>1.25</v>
      </c>
      <c r="M24" s="17" t="n">
        <v>1.25</v>
      </c>
      <c r="N24" s="17" t="n">
        <v>1.25</v>
      </c>
      <c r="O24" s="17" t="n">
        <v>1.25</v>
      </c>
    </row>
    <row r="25">
      <c r="A25" s="12" t="inlineStr">
        <is>
          <t>Batch penetration %</t>
        </is>
      </c>
      <c r="B25" s="13" t="inlineStr">
        <is>
          <t>IN</t>
        </is>
      </c>
      <c r="C25" s="13" t="inlineStr">
        <is>
          <t>%</t>
        </is>
      </c>
      <c r="D25" s="14" t="inlineStr">
        <is>
          <t>Share via Batch API (Oct-2024).</t>
        </is>
      </c>
      <c r="E25" s="16" t="n">
        <v>0</v>
      </c>
      <c r="F25" s="16" t="n">
        <v>0</v>
      </c>
      <c r="G25" s="16" t="n">
        <v>0.05</v>
      </c>
      <c r="H25" s="16" t="n">
        <v>0.15</v>
      </c>
      <c r="I25" s="16" t="n">
        <v>0.25</v>
      </c>
      <c r="J25" s="16" t="n">
        <v>0.3</v>
      </c>
      <c r="K25" s="16" t="n">
        <v>0.33</v>
      </c>
      <c r="L25" s="16" t="n">
        <v>0.35</v>
      </c>
      <c r="M25" s="16" t="n">
        <v>0.37</v>
      </c>
      <c r="N25" s="16" t="n">
        <v>0.39</v>
      </c>
      <c r="O25" s="16" t="n">
        <v>0.4</v>
      </c>
    </row>
    <row r="26">
      <c r="A26" s="12" t="inlineStr">
        <is>
          <t>Batch pay-rate (0.50 = -50%)</t>
        </is>
      </c>
      <c r="B26" s="13" t="inlineStr">
        <is>
          <t>IN</t>
        </is>
      </c>
      <c r="C26" s="13" t="inlineStr">
        <is>
          <t>x</t>
        </is>
      </c>
      <c r="D26" s="14" t="inlineStr">
        <is>
          <t>Batch multiplier (0.50 = 50% off).</t>
        </is>
      </c>
      <c r="E26" s="17" t="n">
        <v>1</v>
      </c>
      <c r="F26" s="17" t="n">
        <v>1</v>
      </c>
      <c r="G26" s="17" t="n">
        <v>0.5</v>
      </c>
      <c r="H26" s="17" t="n">
        <v>0.5</v>
      </c>
      <c r="I26" s="17" t="n">
        <v>0.5</v>
      </c>
      <c r="J26" s="17" t="n">
        <v>0.5</v>
      </c>
      <c r="K26" s="17" t="n">
        <v>0.5</v>
      </c>
      <c r="L26" s="17" t="n">
        <v>0.5</v>
      </c>
      <c r="M26" s="17" t="n">
        <v>0.5</v>
      </c>
      <c r="N26" s="17" t="n">
        <v>0.5</v>
      </c>
      <c r="O26" s="17" t="n">
        <v>0.5</v>
      </c>
    </row>
    <row r="27">
      <c r="A27" s="12" t="inlineStr">
        <is>
          <t>Blended effective $/Mtok</t>
        </is>
      </c>
      <c r="B27" s="13" t="inlineStr">
        <is>
          <t>CALC</t>
        </is>
      </c>
      <c r="C27" s="13" t="inlineStr">
        <is>
          <t>$</t>
        </is>
      </c>
      <c r="D27" s="14" t="inlineStr">
        <is>
          <t>Mix-weighted, adjusted for input share, caching, batch.</t>
        </is>
      </c>
      <c r="E27" s="17" t="n">
        <v>2.980645161290322</v>
      </c>
      <c r="F27" s="17" t="n">
        <v>3.476842105263158</v>
      </c>
      <c r="G27" s="17" t="n">
        <v>3.793748975409836</v>
      </c>
      <c r="H27" s="17" t="n">
        <v>4.146711206896553</v>
      </c>
      <c r="I27" s="17" t="n">
        <v>3.057173913043478</v>
      </c>
      <c r="J27" s="17" t="n">
        <v>2.95878336</v>
      </c>
      <c r="K27" s="17" t="n">
        <v>2.652782316455697</v>
      </c>
      <c r="L27" s="17" t="n">
        <v>2.37803427631579</v>
      </c>
      <c r="M27" s="17" t="n">
        <v>2.240735166037736</v>
      </c>
      <c r="N27" s="17" t="n">
        <v>2.058101805128205</v>
      </c>
      <c r="O27" s="17" t="n">
        <v>1.992108125</v>
      </c>
    </row>
    <row r="28">
      <c r="A28" s="11" t="inlineStr">
        <is>
          <t>NON-API REVENUE STREAMS</t>
        </is>
      </c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</row>
    <row r="29">
      <c r="A29" s="12" t="inlineStr">
        <is>
          <t># Enterprise contracts (&gt;$1M ARR)</t>
        </is>
      </c>
      <c r="B29" s="13" t="inlineStr">
        <is>
          <t>IN</t>
        </is>
      </c>
      <c r="C29" s="13" t="inlineStr">
        <is>
          <t>count</t>
        </is>
      </c>
      <c r="D29" s="14" t="inlineStr">
        <is>
          <t>~1,000+ at $1M+ ACV by 2026.</t>
        </is>
      </c>
      <c r="E29" s="15" t="n">
        <v>0</v>
      </c>
      <c r="F29" s="15" t="n">
        <v>4.25</v>
      </c>
      <c r="G29" s="15" t="n">
        <v>36</v>
      </c>
      <c r="H29" s="15" t="n">
        <v>156</v>
      </c>
      <c r="I29" s="15" t="n">
        <v>500</v>
      </c>
      <c r="J29" s="15" t="n">
        <v>1054</v>
      </c>
      <c r="K29" s="15" t="n">
        <v>1728</v>
      </c>
      <c r="L29" s="15" t="n">
        <v>2480</v>
      </c>
      <c r="M29" s="15" t="n">
        <v>3145</v>
      </c>
      <c r="N29" s="15" t="n">
        <v>3696</v>
      </c>
      <c r="O29" s="15" t="n">
        <v>4140</v>
      </c>
    </row>
    <row r="30">
      <c r="A30" s="12" t="inlineStr">
        <is>
          <t>Committed-use discount % (memo)</t>
        </is>
      </c>
      <c r="B30" s="13" t="inlineStr">
        <is>
          <t>IN</t>
        </is>
      </c>
      <c r="C30" s="13" t="inlineStr">
        <is>
          <t>%</t>
        </is>
      </c>
      <c r="D30" s="14" t="inlineStr">
        <is>
          <t>Volume discount realized on enterprise API.</t>
        </is>
      </c>
      <c r="E30" s="16" t="n">
        <v>0</v>
      </c>
      <c r="F30" s="16" t="n">
        <v>0.05</v>
      </c>
      <c r="G30" s="16" t="n">
        <v>0.1</v>
      </c>
      <c r="H30" s="16" t="n">
        <v>0.12</v>
      </c>
      <c r="I30" s="16" t="n">
        <v>0.15</v>
      </c>
      <c r="J30" s="16" t="n">
        <v>0.15</v>
      </c>
      <c r="K30" s="16" t="n">
        <v>0.16</v>
      </c>
      <c r="L30" s="16" t="n">
        <v>0.16</v>
      </c>
      <c r="M30" s="16" t="n">
        <v>0.17</v>
      </c>
      <c r="N30" s="16" t="n">
        <v>0.17</v>
      </c>
      <c r="O30" s="16" t="n">
        <v>0.18</v>
      </c>
    </row>
    <row r="31">
      <c r="A31" s="12" t="inlineStr">
        <is>
          <t>Active enterprise dashboard seats</t>
        </is>
      </c>
      <c r="B31" s="13" t="inlineStr">
        <is>
          <t>IN</t>
        </is>
      </c>
      <c r="C31" s="13" t="inlineStr">
        <is>
          <t>count</t>
        </is>
      </c>
      <c r="D31" s="14" t="inlineStr">
        <is>
          <t>Console/admin seats.</t>
        </is>
      </c>
      <c r="E31" s="15" t="n">
        <v>0</v>
      </c>
      <c r="F31" s="15" t="n">
        <v>1700</v>
      </c>
      <c r="G31" s="15" t="n">
        <v>24000</v>
      </c>
      <c r="H31" s="15" t="n">
        <v>130000</v>
      </c>
      <c r="I31" s="15" t="n">
        <v>450000</v>
      </c>
      <c r="J31" s="15" t="n">
        <v>992000</v>
      </c>
      <c r="K31" s="15" t="n">
        <v>1656000</v>
      </c>
      <c r="L31" s="15" t="n">
        <v>2400000</v>
      </c>
      <c r="M31" s="15" t="n">
        <v>3060000</v>
      </c>
      <c r="N31" s="15" t="n">
        <v>3608000</v>
      </c>
      <c r="O31" s="15" t="n">
        <v>4050000</v>
      </c>
    </row>
    <row r="32">
      <c r="A32" s="12" t="inlineStr">
        <is>
          <t>Enterprise platform fee / seat / mo</t>
        </is>
      </c>
      <c r="B32" s="13" t="inlineStr">
        <is>
          <t>IN</t>
        </is>
      </c>
      <c r="C32" s="13" t="inlineStr">
        <is>
          <t>$</t>
        </is>
      </c>
      <c r="D32" s="14" t="inlineStr">
        <is>
          <t>Monthly platform fee per seat.</t>
        </is>
      </c>
      <c r="E32" s="15" t="n">
        <v>0</v>
      </c>
      <c r="F32" s="15" t="n">
        <v>30</v>
      </c>
      <c r="G32" s="15" t="n">
        <v>35</v>
      </c>
      <c r="H32" s="15" t="n">
        <v>40</v>
      </c>
      <c r="I32" s="15" t="n">
        <v>45</v>
      </c>
      <c r="J32" s="15" t="n">
        <v>48</v>
      </c>
      <c r="K32" s="15" t="n">
        <v>50</v>
      </c>
      <c r="L32" s="15" t="n">
        <v>52</v>
      </c>
      <c r="M32" s="15" t="n">
        <v>54</v>
      </c>
      <c r="N32" s="15" t="n">
        <v>55</v>
      </c>
      <c r="O32" s="15" t="n">
        <v>56</v>
      </c>
    </row>
    <row r="33">
      <c r="A33" s="12" t="inlineStr">
        <is>
          <t>Enterprise seat revenue</t>
        </is>
      </c>
      <c r="B33" s="13" t="inlineStr">
        <is>
          <t>CALC</t>
        </is>
      </c>
      <c r="C33" s="13" t="inlineStr">
        <is>
          <t>$M</t>
        </is>
      </c>
      <c r="D33" s="14" t="inlineStr">
        <is>
          <t>seats x fee x 12.</t>
        </is>
      </c>
      <c r="E33" s="15" t="n">
        <v>0</v>
      </c>
      <c r="F33" s="15" t="n">
        <v>0.612</v>
      </c>
      <c r="G33" s="15" t="n">
        <v>10.08</v>
      </c>
      <c r="H33" s="15" t="n">
        <v>62.4</v>
      </c>
      <c r="I33" s="15" t="n">
        <v>243</v>
      </c>
      <c r="J33" s="15" t="n">
        <v>571.3920000000001</v>
      </c>
      <c r="K33" s="15" t="n">
        <v>993.6</v>
      </c>
      <c r="L33" s="15" t="n">
        <v>1497.6</v>
      </c>
      <c r="M33" s="15" t="n">
        <v>1982.88</v>
      </c>
      <c r="N33" s="15" t="n">
        <v>2381.28</v>
      </c>
      <c r="O33" s="15" t="n">
        <v>2721.6</v>
      </c>
    </row>
    <row r="34">
      <c r="A34" s="12" t="inlineStr">
        <is>
          <t>Consumer subscription revenue (anchor)</t>
        </is>
      </c>
      <c r="B34" s="13" t="inlineStr">
        <is>
          <t>IN</t>
        </is>
      </c>
      <c r="C34" s="13" t="inlineStr">
        <is>
          <t>$M</t>
        </is>
      </c>
      <c r="D34" s="14" t="inlineStr">
        <is>
          <t>Claude Pro ($20) + Max ($100/$200).</t>
        </is>
      </c>
      <c r="E34" s="15" t="n">
        <v>0</v>
      </c>
      <c r="F34" s="15" t="n">
        <v>6.8</v>
      </c>
      <c r="G34" s="15" t="n">
        <v>72</v>
      </c>
      <c r="H34" s="15" t="n">
        <v>676</v>
      </c>
      <c r="I34" s="15" t="n">
        <v>3300</v>
      </c>
      <c r="J34" s="15" t="n">
        <v>6944</v>
      </c>
      <c r="K34" s="15" t="n">
        <v>11592</v>
      </c>
      <c r="L34" s="15" t="n">
        <v>16800</v>
      </c>
      <c r="M34" s="15" t="n">
        <v>22015</v>
      </c>
      <c r="N34" s="15" t="n">
        <v>26488</v>
      </c>
      <c r="O34" s="15" t="n">
        <v>30870</v>
      </c>
    </row>
    <row r="35">
      <c r="A35" s="12" t="inlineStr">
        <is>
          <t>Blended consumer ARPU ($/mo)</t>
        </is>
      </c>
      <c r="B35" s="13" t="inlineStr">
        <is>
          <t>IN</t>
        </is>
      </c>
      <c r="C35" s="13" t="inlineStr">
        <is>
          <t>$</t>
        </is>
      </c>
      <c r="D35" s="14" t="inlineStr">
        <is>
          <t>Blend of Pro and Max.</t>
        </is>
      </c>
      <c r="E35" s="15" t="n">
        <v>20</v>
      </c>
      <c r="F35" s="15" t="n">
        <v>20</v>
      </c>
      <c r="G35" s="15" t="n">
        <v>21</v>
      </c>
      <c r="H35" s="15" t="n">
        <v>23</v>
      </c>
      <c r="I35" s="15" t="n">
        <v>26</v>
      </c>
      <c r="J35" s="15" t="n">
        <v>28</v>
      </c>
      <c r="K35" s="15" t="n">
        <v>29</v>
      </c>
      <c r="L35" s="15" t="n">
        <v>30</v>
      </c>
      <c r="M35" s="15" t="n">
        <v>31</v>
      </c>
      <c r="N35" s="15" t="n">
        <v>32</v>
      </c>
      <c r="O35" s="15" t="n">
        <v>33</v>
      </c>
    </row>
    <row r="36">
      <c r="A36" s="12" t="inlineStr">
        <is>
          <t>Paying consumer subs (implied)</t>
        </is>
      </c>
      <c r="B36" s="13" t="inlineStr">
        <is>
          <t>PLUG</t>
        </is>
      </c>
      <c r="C36" s="13" t="inlineStr">
        <is>
          <t>Count</t>
        </is>
      </c>
      <c r="D36" s="14" t="inlineStr">
        <is>
          <t>consumer rev / (ARPU x 12).</t>
        </is>
      </c>
      <c r="E36" s="15" t="n">
        <v>0</v>
      </c>
      <c r="F36" s="15" t="n">
        <v>28333.33333333333</v>
      </c>
      <c r="G36" s="15" t="n">
        <v>285714.2857142857</v>
      </c>
      <c r="H36" s="15" t="n">
        <v>2449275.362318841</v>
      </c>
      <c r="I36" s="15" t="n">
        <v>10576923.07692308</v>
      </c>
      <c r="J36" s="15" t="n">
        <v>20666666.66666667</v>
      </c>
      <c r="K36" s="15" t="n">
        <v>33310344.82758621</v>
      </c>
      <c r="L36" s="15" t="n">
        <v>46666666.66666666</v>
      </c>
      <c r="M36" s="15" t="n">
        <v>59180107.52688172</v>
      </c>
      <c r="N36" s="15" t="n">
        <v>68979166.66666667</v>
      </c>
      <c r="O36" s="15" t="n">
        <v>77954545.45454545</v>
      </c>
    </row>
    <row r="37">
      <c r="A37" s="12" t="inlineStr">
        <is>
          <t>Active developer seats</t>
        </is>
      </c>
      <c r="B37" s="13" t="inlineStr">
        <is>
          <t>IN</t>
        </is>
      </c>
      <c r="C37" s="13" t="inlineStr">
        <is>
          <t>Count</t>
        </is>
      </c>
      <c r="D37" s="14" t="inlineStr">
        <is>
          <t>Claude Code seats (Feb-2025).</t>
        </is>
      </c>
      <c r="E37" s="15" t="n">
        <v>0</v>
      </c>
      <c r="F37" s="15" t="n">
        <v>0</v>
      </c>
      <c r="G37" s="15" t="n">
        <v>0</v>
      </c>
      <c r="H37" s="15" t="n">
        <v>182000</v>
      </c>
      <c r="I37" s="15" t="n">
        <v>550000</v>
      </c>
      <c r="J37" s="15" t="n">
        <v>1116000</v>
      </c>
      <c r="K37" s="15" t="n">
        <v>1800000</v>
      </c>
      <c r="L37" s="15" t="n">
        <v>2480000</v>
      </c>
      <c r="M37" s="15" t="n">
        <v>3060000</v>
      </c>
      <c r="N37" s="15" t="n">
        <v>3520000</v>
      </c>
      <c r="O37" s="15" t="n">
        <v>3870000</v>
      </c>
    </row>
    <row r="38">
      <c r="A38" s="12" t="inlineStr">
        <is>
          <t>Base seat fee ($/mo)</t>
        </is>
      </c>
      <c r="B38" s="13" t="inlineStr">
        <is>
          <t>IN</t>
        </is>
      </c>
      <c r="C38" s="13" t="inlineStr">
        <is>
          <t>$</t>
        </is>
      </c>
      <c r="D38" s="14" t="inlineStr">
        <is>
          <t>Claude Code base seat fee.</t>
        </is>
      </c>
      <c r="E38" s="15" t="n">
        <v>0</v>
      </c>
      <c r="F38" s="15" t="n">
        <v>0</v>
      </c>
      <c r="G38" s="15" t="n">
        <v>0</v>
      </c>
      <c r="H38" s="15" t="n">
        <v>20</v>
      </c>
      <c r="I38" s="15" t="n">
        <v>22</v>
      </c>
      <c r="J38" s="15" t="n">
        <v>24</v>
      </c>
      <c r="K38" s="15" t="n">
        <v>25</v>
      </c>
      <c r="L38" s="15" t="n">
        <v>26</v>
      </c>
      <c r="M38" s="15" t="n">
        <v>27</v>
      </c>
      <c r="N38" s="15" t="n">
        <v>28</v>
      </c>
      <c r="O38" s="15" t="n">
        <v>28</v>
      </c>
    </row>
    <row r="39">
      <c r="A39" s="12" t="inlineStr">
        <is>
          <t>Claude Code base seat revenue</t>
        </is>
      </c>
      <c r="B39" s="13" t="inlineStr">
        <is>
          <t>CALC</t>
        </is>
      </c>
      <c r="C39" s="13" t="inlineStr">
        <is>
          <t>$M</t>
        </is>
      </c>
      <c r="D39" s="14" t="inlineStr">
        <is>
          <t>seats x fee x 12.</t>
        </is>
      </c>
      <c r="E39" s="15" t="n">
        <v>0</v>
      </c>
      <c r="F39" s="15" t="n">
        <v>0</v>
      </c>
      <c r="G39" s="15" t="n">
        <v>0</v>
      </c>
      <c r="H39" s="15" t="n">
        <v>43.68</v>
      </c>
      <c r="I39" s="15" t="n">
        <v>145.2</v>
      </c>
      <c r="J39" s="15" t="n">
        <v>321.408</v>
      </c>
      <c r="K39" s="15" t="n">
        <v>540</v>
      </c>
      <c r="L39" s="15" t="n">
        <v>773.76</v>
      </c>
      <c r="M39" s="15" t="n">
        <v>991.4400000000001</v>
      </c>
      <c r="N39" s="15" t="n">
        <v>1182.72</v>
      </c>
      <c r="O39" s="15" t="n">
        <v>1300.32</v>
      </c>
    </row>
    <row r="40">
      <c r="A40" s="12" t="inlineStr">
        <is>
          <t>Avg overage tokens / dev / mo</t>
        </is>
      </c>
      <c r="B40" s="13" t="inlineStr">
        <is>
          <t>IN</t>
        </is>
      </c>
      <c r="C40" s="13" t="inlineStr">
        <is>
          <t>Mtok</t>
        </is>
      </c>
      <c r="D40" s="14" t="inlineStr">
        <is>
          <t>Usage above base seat.</t>
        </is>
      </c>
      <c r="E40" s="15" t="n">
        <v>0</v>
      </c>
      <c r="F40" s="15" t="n">
        <v>0</v>
      </c>
      <c r="G40" s="15" t="n">
        <v>0</v>
      </c>
      <c r="H40" s="15" t="n">
        <v>12</v>
      </c>
      <c r="I40" s="15" t="n">
        <v>20</v>
      </c>
      <c r="J40" s="15" t="n">
        <v>26</v>
      </c>
      <c r="K40" s="15" t="n">
        <v>30</v>
      </c>
      <c r="L40" s="15" t="n">
        <v>33</v>
      </c>
      <c r="M40" s="15" t="n">
        <v>36</v>
      </c>
      <c r="N40" s="15" t="n">
        <v>38</v>
      </c>
      <c r="O40" s="15" t="n">
        <v>40</v>
      </c>
    </row>
    <row r="41">
      <c r="A41" s="12" t="inlineStr">
        <is>
          <t>Overage token price</t>
        </is>
      </c>
      <c r="B41" s="13" t="inlineStr">
        <is>
          <t>LINK</t>
        </is>
      </c>
      <c r="C41" s="13" t="inlineStr">
        <is>
          <t>$/Mtok</t>
        </is>
      </c>
      <c r="D41" s="14" t="inlineStr">
        <is>
          <t>Priced at blended API rate.</t>
        </is>
      </c>
      <c r="E41" s="17" t="n">
        <v>2.980645161290322</v>
      </c>
      <c r="F41" s="17" t="n">
        <v>3.476842105263158</v>
      </c>
      <c r="G41" s="17" t="n">
        <v>3.793748975409836</v>
      </c>
      <c r="H41" s="17" t="n">
        <v>4.146711206896553</v>
      </c>
      <c r="I41" s="17" t="n">
        <v>3.057173913043478</v>
      </c>
      <c r="J41" s="17" t="n">
        <v>2.95878336</v>
      </c>
      <c r="K41" s="17" t="n">
        <v>2.652782316455697</v>
      </c>
      <c r="L41" s="17" t="n">
        <v>2.37803427631579</v>
      </c>
      <c r="M41" s="17" t="n">
        <v>2.240735166037736</v>
      </c>
      <c r="N41" s="17" t="n">
        <v>2.058101805128205</v>
      </c>
      <c r="O41" s="17" t="n">
        <v>1.992108125</v>
      </c>
    </row>
    <row r="42">
      <c r="A42" s="12" t="inlineStr">
        <is>
          <t>Claude Code overage revenue</t>
        </is>
      </c>
      <c r="B42" s="13" t="inlineStr">
        <is>
          <t>CALC</t>
        </is>
      </c>
      <c r="C42" s="13" t="inlineStr">
        <is>
          <t>$M</t>
        </is>
      </c>
      <c r="D42" s="14" t="inlineStr">
        <is>
          <t>seats x overage x price x 12. ~$2.5B run-rate 2026.</t>
        </is>
      </c>
      <c r="E42" s="15" t="n">
        <v>0</v>
      </c>
      <c r="F42" s="15" t="n">
        <v>0</v>
      </c>
      <c r="G42" s="15" t="n">
        <v>0</v>
      </c>
      <c r="H42" s="15" t="n">
        <v>108.6770073103449</v>
      </c>
      <c r="I42" s="15" t="n">
        <v>403.5469565217391</v>
      </c>
      <c r="J42" s="15" t="n">
        <v>1030.22469568512</v>
      </c>
      <c r="K42" s="15" t="n">
        <v>1719.002941063291</v>
      </c>
      <c r="L42" s="15" t="n">
        <v>2335.419902084211</v>
      </c>
      <c r="M42" s="15" t="n">
        <v>2962.072630688604</v>
      </c>
      <c r="N42" s="15" t="n">
        <v>3303.500369447385</v>
      </c>
      <c r="O42" s="15" t="n">
        <v>3700.540053</v>
      </c>
    </row>
    <row r="43">
      <c r="A43" s="12" t="inlineStr">
        <is>
          <t>AWS Bedrock gross billed volume</t>
        </is>
      </c>
      <c r="B43" s="13" t="inlineStr">
        <is>
          <t>IN</t>
        </is>
      </c>
      <c r="C43" s="13" t="inlineStr">
        <is>
          <t>$M</t>
        </is>
      </c>
      <c r="D43" s="14" t="inlineStr">
        <is>
          <t>Gross Claude billings via Bedrock.</t>
        </is>
      </c>
      <c r="E43" s="15" t="n">
        <v>0</v>
      </c>
      <c r="F43" s="15" t="n">
        <v>8.5</v>
      </c>
      <c r="G43" s="15" t="n">
        <v>78</v>
      </c>
      <c r="H43" s="15" t="n">
        <v>598</v>
      </c>
      <c r="I43" s="15" t="n">
        <v>2200</v>
      </c>
      <c r="J43" s="15" t="n">
        <v>4092</v>
      </c>
      <c r="K43" s="15" t="n">
        <v>6192</v>
      </c>
      <c r="L43" s="15" t="n">
        <v>8400</v>
      </c>
      <c r="M43" s="15" t="n">
        <v>10200</v>
      </c>
      <c r="N43" s="15" t="n">
        <v>11704</v>
      </c>
      <c r="O43" s="15" t="n">
        <v>12960</v>
      </c>
    </row>
    <row r="44">
      <c r="A44" s="12" t="inlineStr">
        <is>
          <t>AWS rev-share take-rate %</t>
        </is>
      </c>
      <c r="B44" s="13" t="inlineStr">
        <is>
          <t>IN</t>
        </is>
      </c>
      <c r="C44" s="13" t="inlineStr">
        <is>
          <t>%</t>
        </is>
      </c>
      <c r="D44" s="14" t="inlineStr">
        <is>
          <t>Anthropic share of Bedrock gross.</t>
        </is>
      </c>
      <c r="E44" s="16" t="n">
        <v>0</v>
      </c>
      <c r="F44" s="16" t="n">
        <v>0.72</v>
      </c>
      <c r="G44" s="16" t="n">
        <v>0.72</v>
      </c>
      <c r="H44" s="16" t="n">
        <v>0.72</v>
      </c>
      <c r="I44" s="16" t="n">
        <v>0.73</v>
      </c>
      <c r="J44" s="16" t="n">
        <v>0.73</v>
      </c>
      <c r="K44" s="16" t="n">
        <v>0.74</v>
      </c>
      <c r="L44" s="16" t="n">
        <v>0.74</v>
      </c>
      <c r="M44" s="16" t="n">
        <v>0.74</v>
      </c>
      <c r="N44" s="16" t="n">
        <v>0.75</v>
      </c>
      <c r="O44" s="16" t="n">
        <v>0.75</v>
      </c>
    </row>
    <row r="45">
      <c r="A45" s="12" t="inlineStr">
        <is>
          <t>Google Vertex gross billed volume</t>
        </is>
      </c>
      <c r="B45" s="13" t="inlineStr">
        <is>
          <t>IN</t>
        </is>
      </c>
      <c r="C45" s="13" t="inlineStr">
        <is>
          <t>$M</t>
        </is>
      </c>
      <c r="D45" s="14" t="inlineStr">
        <is>
          <t>Gross Claude billings via Vertex.</t>
        </is>
      </c>
      <c r="E45" s="15" t="n">
        <v>0</v>
      </c>
      <c r="F45" s="15" t="n">
        <v>0</v>
      </c>
      <c r="G45" s="15" t="n">
        <v>33</v>
      </c>
      <c r="H45" s="15" t="n">
        <v>332.8</v>
      </c>
      <c r="I45" s="15" t="n">
        <v>1300</v>
      </c>
      <c r="J45" s="15" t="n">
        <v>2480</v>
      </c>
      <c r="K45" s="15" t="n">
        <v>3816</v>
      </c>
      <c r="L45" s="15" t="n">
        <v>5280</v>
      </c>
      <c r="M45" s="15" t="n">
        <v>6545</v>
      </c>
      <c r="N45" s="15" t="n">
        <v>7568</v>
      </c>
      <c r="O45" s="15" t="n">
        <v>8460</v>
      </c>
    </row>
    <row r="46">
      <c r="A46" s="12" t="inlineStr">
        <is>
          <t>Google rev-share take-rate %</t>
        </is>
      </c>
      <c r="B46" s="13" t="inlineStr">
        <is>
          <t>IN</t>
        </is>
      </c>
      <c r="C46" s="13" t="inlineStr">
        <is>
          <t>%</t>
        </is>
      </c>
      <c r="D46" s="14" t="inlineStr">
        <is>
          <t>Anthropic share of Vertex gross.</t>
        </is>
      </c>
      <c r="E46" s="16" t="n">
        <v>0</v>
      </c>
      <c r="F46" s="16" t="n">
        <v>0</v>
      </c>
      <c r="G46" s="16" t="n">
        <v>0.7</v>
      </c>
      <c r="H46" s="16" t="n">
        <v>0.7</v>
      </c>
      <c r="I46" s="16" t="n">
        <v>0.71</v>
      </c>
      <c r="J46" s="16" t="n">
        <v>0.71</v>
      </c>
      <c r="K46" s="16" t="n">
        <v>0.72</v>
      </c>
      <c r="L46" s="16" t="n">
        <v>0.72</v>
      </c>
      <c r="M46" s="16" t="n">
        <v>0.72</v>
      </c>
      <c r="N46" s="16" t="n">
        <v>0.73</v>
      </c>
      <c r="O46" s="16" t="n">
        <v>0.73</v>
      </c>
    </row>
    <row r="47">
      <c r="A47" s="12" t="inlineStr">
        <is>
          <t># active fine-tuning engagement</t>
        </is>
      </c>
      <c r="B47" s="13" t="inlineStr">
        <is>
          <t>IN</t>
        </is>
      </c>
      <c r="C47" s="13" t="inlineStr">
        <is>
          <t>Count</t>
        </is>
      </c>
      <c r="D47" s="14" t="inlineStr">
        <is>
          <t>Custom fine-tuning engagements.</t>
        </is>
      </c>
      <c r="E47" s="15" t="n">
        <v>0</v>
      </c>
      <c r="F47" s="15" t="n">
        <v>0</v>
      </c>
      <c r="G47" s="15" t="n">
        <v>9</v>
      </c>
      <c r="H47" s="15" t="n">
        <v>46.8</v>
      </c>
      <c r="I47" s="15" t="n">
        <v>130</v>
      </c>
      <c r="J47" s="15" t="n">
        <v>260.4</v>
      </c>
      <c r="K47" s="15" t="n">
        <v>403.2</v>
      </c>
      <c r="L47" s="15" t="n">
        <v>552</v>
      </c>
      <c r="M47" s="15" t="n">
        <v>680</v>
      </c>
      <c r="N47" s="15" t="n">
        <v>783.2</v>
      </c>
      <c r="O47" s="15" t="n">
        <v>864</v>
      </c>
    </row>
    <row r="48">
      <c r="A48" s="12" t="inlineStr">
        <is>
          <t>Avg monthly compute / engagement</t>
        </is>
      </c>
      <c r="B48" s="13" t="inlineStr">
        <is>
          <t>IN</t>
        </is>
      </c>
      <c r="C48" s="13" t="inlineStr">
        <is>
          <t>$</t>
        </is>
      </c>
      <c r="D48" s="14" t="inlineStr">
        <is>
          <t>Compute billed per engagement/mo.</t>
        </is>
      </c>
      <c r="E48" s="15" t="n">
        <v>0</v>
      </c>
      <c r="F48" s="15" t="n">
        <v>0</v>
      </c>
      <c r="G48" s="15" t="n">
        <v>40000</v>
      </c>
      <c r="H48" s="15" t="n">
        <v>55000</v>
      </c>
      <c r="I48" s="15" t="n">
        <v>70000</v>
      </c>
      <c r="J48" s="15" t="n">
        <v>80000</v>
      </c>
      <c r="K48" s="15" t="n">
        <v>88000</v>
      </c>
      <c r="L48" s="15" t="n">
        <v>95000</v>
      </c>
      <c r="M48" s="15" t="n">
        <v>100000</v>
      </c>
      <c r="N48" s="15" t="n">
        <v>105000</v>
      </c>
      <c r="O48" s="15" t="n">
        <v>110000</v>
      </c>
    </row>
    <row r="49">
      <c r="A49" s="12" t="inlineStr">
        <is>
          <t>Compute margin markup %</t>
        </is>
      </c>
      <c r="B49" s="13" t="inlineStr">
        <is>
          <t>IN</t>
        </is>
      </c>
      <c r="C49" s="13" t="inlineStr">
        <is>
          <t>%</t>
        </is>
      </c>
      <c r="D49" s="14" t="inlineStr">
        <is>
          <t>Markup over compute cost.</t>
        </is>
      </c>
      <c r="E49" s="16" t="n">
        <v>0</v>
      </c>
      <c r="F49" s="16" t="n">
        <v>0</v>
      </c>
      <c r="G49" s="16" t="n">
        <v>0.35</v>
      </c>
      <c r="H49" s="16" t="n">
        <v>0.35</v>
      </c>
      <c r="I49" s="16" t="n">
        <v>0.4</v>
      </c>
      <c r="J49" s="16" t="n">
        <v>0.4</v>
      </c>
      <c r="K49" s="16" t="n">
        <v>0.42</v>
      </c>
      <c r="L49" s="16" t="n">
        <v>0.42</v>
      </c>
      <c r="M49" s="16" t="n">
        <v>0.43</v>
      </c>
      <c r="N49" s="16" t="n">
        <v>0.43</v>
      </c>
      <c r="O49" s="16" t="n">
        <v>0.44</v>
      </c>
    </row>
    <row r="50">
      <c r="A50" s="12" t="inlineStr">
        <is>
          <t>Fine-tuning revenue</t>
        </is>
      </c>
      <c r="B50" s="13" t="inlineStr">
        <is>
          <t>CALC</t>
        </is>
      </c>
      <c r="C50" s="13" t="inlineStr">
        <is>
          <t>$M</t>
        </is>
      </c>
      <c r="D50" s="14" t="inlineStr">
        <is>
          <t>eng x compute x (1+markup) x 12.</t>
        </is>
      </c>
      <c r="E50" s="15" t="n">
        <v>0</v>
      </c>
      <c r="F50" s="15" t="n">
        <v>0</v>
      </c>
      <c r="G50" s="15" t="n">
        <v>5.832000000000001</v>
      </c>
      <c r="H50" s="15" t="n">
        <v>41.69880000000001</v>
      </c>
      <c r="I50" s="15" t="n">
        <v>152.88</v>
      </c>
      <c r="J50" s="15" t="n">
        <v>349.9776</v>
      </c>
      <c r="K50" s="15" t="n">
        <v>604.606464</v>
      </c>
      <c r="L50" s="15" t="n">
        <v>893.5776</v>
      </c>
      <c r="M50" s="15" t="n">
        <v>1166.88</v>
      </c>
      <c r="N50" s="15" t="n">
        <v>1411.16976</v>
      </c>
      <c r="O50" s="15" t="n">
        <v>1642.2912</v>
      </c>
    </row>
    <row r="51">
      <c r="A51" s="12" t="inlineStr">
        <is>
          <t>One-time setup fee / new engagement</t>
        </is>
      </c>
      <c r="B51" s="13" t="inlineStr">
        <is>
          <t>IN</t>
        </is>
      </c>
      <c r="C51" s="13" t="inlineStr">
        <is>
          <t>$</t>
        </is>
      </c>
      <c r="D51" s="14" t="inlineStr">
        <is>
          <t>Onboarding fee per new engagement.</t>
        </is>
      </c>
      <c r="E51" s="15" t="n">
        <v>0</v>
      </c>
      <c r="F51" s="15" t="n">
        <v>0</v>
      </c>
      <c r="G51" s="15" t="n">
        <v>25000</v>
      </c>
      <c r="H51" s="15" t="n">
        <v>25000</v>
      </c>
      <c r="I51" s="15" t="n">
        <v>30000</v>
      </c>
      <c r="J51" s="15" t="n">
        <v>30000</v>
      </c>
      <c r="K51" s="15" t="n">
        <v>32000</v>
      </c>
      <c r="L51" s="15" t="n">
        <v>32000</v>
      </c>
      <c r="M51" s="15" t="n">
        <v>34000</v>
      </c>
      <c r="N51" s="15" t="n">
        <v>34000</v>
      </c>
      <c r="O51" s="15" t="n">
        <v>35000</v>
      </c>
    </row>
    <row r="52">
      <c r="A52" s="12" t="inlineStr">
        <is>
          <t>New engagements (net adds)</t>
        </is>
      </c>
      <c r="B52" s="13" t="inlineStr">
        <is>
          <t>CALC</t>
        </is>
      </c>
      <c r="C52" s="13" t="inlineStr">
        <is>
          <t>Count</t>
        </is>
      </c>
      <c r="D52" s="14" t="inlineStr">
        <is>
          <t>YoY change in engagements.</t>
        </is>
      </c>
      <c r="E52" s="15" t="n">
        <v>0</v>
      </c>
      <c r="F52" s="15" t="n">
        <v>0</v>
      </c>
      <c r="G52" s="15" t="n">
        <v>9</v>
      </c>
      <c r="H52" s="15" t="n">
        <v>37.8</v>
      </c>
      <c r="I52" s="15" t="n">
        <v>83.19999999999999</v>
      </c>
      <c r="J52" s="15" t="n">
        <v>130.4</v>
      </c>
      <c r="K52" s="15" t="n">
        <v>142.8</v>
      </c>
      <c r="L52" s="15" t="n">
        <v>148.8</v>
      </c>
      <c r="M52" s="15" t="n">
        <v>128</v>
      </c>
      <c r="N52" s="15" t="n">
        <v>103.2</v>
      </c>
      <c r="O52" s="15" t="n">
        <v>80.79999999999995</v>
      </c>
    </row>
    <row r="53">
      <c r="A53" s="12" t="inlineStr">
        <is>
          <t>Setup fee revenue</t>
        </is>
      </c>
      <c r="B53" s="13" t="inlineStr">
        <is>
          <t>CALC</t>
        </is>
      </c>
      <c r="C53" s="13" t="inlineStr">
        <is>
          <t>$M</t>
        </is>
      </c>
      <c r="D53" s="14" t="inlineStr">
        <is>
          <t>net adds x setup fee.</t>
        </is>
      </c>
      <c r="E53" s="15" t="n">
        <v>0</v>
      </c>
      <c r="F53" s="15" t="n">
        <v>0</v>
      </c>
      <c r="G53" s="15" t="n">
        <v>0.225</v>
      </c>
      <c r="H53" s="15" t="n">
        <v>0.9450000000000001</v>
      </c>
      <c r="I53" s="15" t="n">
        <v>2.496</v>
      </c>
      <c r="J53" s="15" t="n">
        <v>3.911999999999999</v>
      </c>
      <c r="K53" s="15" t="n">
        <v>4.5696</v>
      </c>
      <c r="L53" s="15" t="n">
        <v>4.7616</v>
      </c>
      <c r="M53" s="15" t="n">
        <v>4.352</v>
      </c>
      <c r="N53" s="15" t="n">
        <v>3.508800000000001</v>
      </c>
      <c r="O53" s="15" t="n">
        <v>2.827999999999999</v>
      </c>
    </row>
    <row r="54">
      <c r="A54" s="12" t="inlineStr">
        <is>
          <t>Active PT units</t>
        </is>
      </c>
      <c r="B54" s="13" t="inlineStr">
        <is>
          <t>IN</t>
        </is>
      </c>
      <c r="C54" s="13" t="inlineStr">
        <is>
          <t>Count</t>
        </is>
      </c>
      <c r="D54" s="14" t="inlineStr">
        <is>
          <t>Priority Throughput reserved units.</t>
        </is>
      </c>
      <c r="E54" s="15" t="n">
        <v>0</v>
      </c>
      <c r="F54" s="15" t="n">
        <v>0</v>
      </c>
      <c r="G54" s="15" t="n">
        <v>12</v>
      </c>
      <c r="H54" s="15" t="n">
        <v>78</v>
      </c>
      <c r="I54" s="15" t="n">
        <v>300</v>
      </c>
      <c r="J54" s="15" t="n">
        <v>651</v>
      </c>
      <c r="K54" s="15" t="n">
        <v>1080</v>
      </c>
      <c r="L54" s="15" t="n">
        <v>1560</v>
      </c>
      <c r="M54" s="15" t="n">
        <v>1997.5</v>
      </c>
      <c r="N54" s="15" t="n">
        <v>2376</v>
      </c>
      <c r="O54" s="15" t="n">
        <v>2700</v>
      </c>
    </row>
    <row r="55">
      <c r="A55" s="12" t="inlineStr">
        <is>
          <t>Flat fee / PT unit / mo</t>
        </is>
      </c>
      <c r="B55" s="13" t="inlineStr">
        <is>
          <t>IN</t>
        </is>
      </c>
      <c r="C55" s="13" t="inlineStr">
        <is>
          <t>$</t>
        </is>
      </c>
      <c r="D55" s="14" t="inlineStr">
        <is>
          <t>Reserved-capacity fee per unit.</t>
        </is>
      </c>
      <c r="E55" s="15" t="n">
        <v>0</v>
      </c>
      <c r="F55" s="15" t="n">
        <v>0</v>
      </c>
      <c r="G55" s="15" t="n">
        <v>40000</v>
      </c>
      <c r="H55" s="15" t="n">
        <v>45000</v>
      </c>
      <c r="I55" s="15" t="n">
        <v>50000</v>
      </c>
      <c r="J55" s="15" t="n">
        <v>52000</v>
      </c>
      <c r="K55" s="15" t="n">
        <v>54000</v>
      </c>
      <c r="L55" s="15" t="n">
        <v>56000</v>
      </c>
      <c r="M55" s="15" t="n">
        <v>58000</v>
      </c>
      <c r="N55" s="15" t="n">
        <v>60000</v>
      </c>
      <c r="O55" s="15" t="n">
        <v>62000</v>
      </c>
    </row>
    <row r="56">
      <c r="A56" s="12" t="inlineStr">
        <is>
          <t>PT revenue</t>
        </is>
      </c>
      <c r="B56" s="13" t="inlineStr">
        <is>
          <t>CALC</t>
        </is>
      </c>
      <c r="C56" s="13" t="inlineStr">
        <is>
          <t>$M</t>
        </is>
      </c>
      <c r="D56" s="14" t="inlineStr">
        <is>
          <t>units x fee x 12.</t>
        </is>
      </c>
      <c r="E56" s="15" t="n">
        <v>0</v>
      </c>
      <c r="F56" s="15" t="n">
        <v>0</v>
      </c>
      <c r="G56" s="15" t="n">
        <v>5.76</v>
      </c>
      <c r="H56" s="15" t="n">
        <v>42.12</v>
      </c>
      <c r="I56" s="15" t="n">
        <v>180</v>
      </c>
      <c r="J56" s="15" t="n">
        <v>406.224</v>
      </c>
      <c r="K56" s="15" t="n">
        <v>699.84</v>
      </c>
      <c r="L56" s="15" t="n">
        <v>1048.32</v>
      </c>
      <c r="M56" s="15" t="n">
        <v>1390.26</v>
      </c>
      <c r="N56" s="15" t="n">
        <v>1710.72</v>
      </c>
      <c r="O56" s="15" t="n">
        <v>2008.8</v>
      </c>
    </row>
    <row r="57">
      <c r="A57" s="12" t="inlineStr">
        <is>
          <t>Professional services hours / mo</t>
        </is>
      </c>
      <c r="B57" s="13" t="inlineStr">
        <is>
          <t>IN</t>
        </is>
      </c>
      <c r="C57" s="13" t="inlineStr">
        <is>
          <t>hr</t>
        </is>
      </c>
      <c r="D57" s="14" t="inlineStr">
        <is>
          <t>Delivery/SA hours billed monthly.</t>
        </is>
      </c>
      <c r="E57" s="15" t="n">
        <v>0</v>
      </c>
      <c r="F57" s="15" t="n">
        <v>425</v>
      </c>
      <c r="G57" s="15" t="n">
        <v>1800</v>
      </c>
      <c r="H57" s="15" t="n">
        <v>4680</v>
      </c>
      <c r="I57" s="15" t="n">
        <v>10000</v>
      </c>
      <c r="J57" s="15" t="n">
        <v>18600</v>
      </c>
      <c r="K57" s="15" t="n">
        <v>27360</v>
      </c>
      <c r="L57" s="15" t="n">
        <v>36000</v>
      </c>
      <c r="M57" s="15" t="n">
        <v>42500</v>
      </c>
      <c r="N57" s="15" t="n">
        <v>47520</v>
      </c>
      <c r="O57" s="15" t="n">
        <v>51300</v>
      </c>
    </row>
    <row r="58">
      <c r="A58" s="12" t="inlineStr">
        <is>
          <t>PS rate ($/hr)</t>
        </is>
      </c>
      <c r="B58" s="13" t="inlineStr">
        <is>
          <t>IN</t>
        </is>
      </c>
      <c r="C58" s="13" t="inlineStr">
        <is>
          <t>$</t>
        </is>
      </c>
      <c r="D58" s="14" t="inlineStr">
        <is>
          <t>Blended bill rate.</t>
        </is>
      </c>
      <c r="E58" s="15" t="n">
        <v>0</v>
      </c>
      <c r="F58" s="15" t="n">
        <v>300</v>
      </c>
      <c r="G58" s="15" t="n">
        <v>320</v>
      </c>
      <c r="H58" s="15" t="n">
        <v>340</v>
      </c>
      <c r="I58" s="15" t="n">
        <v>360</v>
      </c>
      <c r="J58" s="15" t="n">
        <v>375</v>
      </c>
      <c r="K58" s="15" t="n">
        <v>385</v>
      </c>
      <c r="L58" s="15" t="n">
        <v>395</v>
      </c>
      <c r="M58" s="15" t="n">
        <v>405</v>
      </c>
      <c r="N58" s="15" t="n">
        <v>415</v>
      </c>
      <c r="O58" s="15" t="n">
        <v>420</v>
      </c>
    </row>
    <row r="59">
      <c r="A59" s="12" t="inlineStr">
        <is>
          <t>Professional services revenue</t>
        </is>
      </c>
      <c r="B59" s="13" t="inlineStr">
        <is>
          <t>CALC</t>
        </is>
      </c>
      <c r="C59" s="13" t="inlineStr">
        <is>
          <t>$M</t>
        </is>
      </c>
      <c r="D59" s="14" t="inlineStr">
        <is>
          <t>hours x rate x 12.</t>
        </is>
      </c>
      <c r="E59" s="15" t="n">
        <v>0</v>
      </c>
      <c r="F59" s="15" t="n">
        <v>1.53</v>
      </c>
      <c r="G59" s="15" t="n">
        <v>6.912</v>
      </c>
      <c r="H59" s="15" t="n">
        <v>19.0944</v>
      </c>
      <c r="I59" s="15" t="n">
        <v>43.2</v>
      </c>
      <c r="J59" s="15" t="n">
        <v>83.7</v>
      </c>
      <c r="K59" s="15" t="n">
        <v>126.4032</v>
      </c>
      <c r="L59" s="15" t="n">
        <v>170.64</v>
      </c>
      <c r="M59" s="15" t="n">
        <v>206.55</v>
      </c>
      <c r="N59" s="15" t="n">
        <v>236.6496</v>
      </c>
      <c r="O59" s="15" t="n">
        <v>258.552</v>
      </c>
    </row>
    <row r="60">
      <c r="A60" s="18" t="inlineStr">
        <is>
          <t>Total non-API revenue</t>
        </is>
      </c>
      <c r="B60" s="19" t="inlineStr">
        <is>
          <t>CALC</t>
        </is>
      </c>
      <c r="C60" s="19" t="inlineStr">
        <is>
          <t>$M</t>
        </is>
      </c>
      <c r="D60" s="20" t="inlineStr">
        <is>
          <t>Sum of non-API streams.</t>
        </is>
      </c>
      <c r="E60" s="21" t="n">
        <v>0</v>
      </c>
      <c r="F60" s="21" t="n">
        <v>15.062</v>
      </c>
      <c r="G60" s="21" t="n">
        <v>180.069</v>
      </c>
      <c r="H60" s="21" t="n">
        <v>1658.135207310345</v>
      </c>
      <c r="I60" s="21" t="n">
        <v>6999.322956521739</v>
      </c>
      <c r="J60" s="21" t="n">
        <v>14458.79829568512</v>
      </c>
      <c r="K60" s="21" t="n">
        <v>23609.62220506329</v>
      </c>
      <c r="L60" s="21" t="n">
        <v>33541.67910208421</v>
      </c>
      <c r="M60" s="21" t="n">
        <v>42979.8346306886</v>
      </c>
      <c r="N60" s="21" t="n">
        <v>51020.18852944738</v>
      </c>
      <c r="O60" s="21" t="n">
        <v>58400.73125300001</v>
      </c>
    </row>
    <row r="61">
      <c r="A61" s="11" t="inlineStr">
        <is>
          <t>FIRST PARTY DIRECT API REVENUE</t>
        </is>
      </c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</row>
    <row r="62">
      <c r="A62" s="18" t="inlineStr">
        <is>
          <t>First-party API revenue</t>
        </is>
      </c>
      <c r="B62" s="19" t="inlineStr">
        <is>
          <t>PLUG</t>
        </is>
      </c>
      <c r="C62" s="19" t="inlineStr">
        <is>
          <t>$M</t>
        </is>
      </c>
      <c r="D62" s="20" t="inlineStr">
        <is>
          <t>Booked revenue minus non-API streams.</t>
        </is>
      </c>
      <c r="E62" s="21" t="n">
        <v>10</v>
      </c>
      <c r="F62" s="21" t="n">
        <v>69.938</v>
      </c>
      <c r="G62" s="21" t="n">
        <v>419.931</v>
      </c>
      <c r="H62" s="21" t="n">
        <v>3021.864792689656</v>
      </c>
      <c r="I62" s="21" t="n">
        <v>16500.67704347826</v>
      </c>
      <c r="J62" s="21" t="n">
        <v>27701.20170431488</v>
      </c>
      <c r="K62" s="21" t="n">
        <v>41190.37779493671</v>
      </c>
      <c r="L62" s="21" t="n">
        <v>56058.32089791579</v>
      </c>
      <c r="M62" s="21" t="n">
        <v>71770.16536931141</v>
      </c>
      <c r="N62" s="21" t="n">
        <v>88019.81147055261</v>
      </c>
      <c r="O62" s="21" t="n">
        <v>101799.268747</v>
      </c>
    </row>
    <row r="63">
      <c r="A63" s="11" t="inlineStr">
        <is>
          <t>API TOKEN ENGINE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</row>
    <row r="64">
      <c r="A64" s="12" t="inlineStr">
        <is>
          <t>Total tokens processed (all)</t>
        </is>
      </c>
      <c r="B64" s="13" t="inlineStr">
        <is>
          <t>PLUG</t>
        </is>
      </c>
      <c r="C64" s="13" t="inlineStr">
        <is>
          <t>T</t>
        </is>
      </c>
      <c r="D64" s="14" t="inlineStr">
        <is>
          <t>API revenue / blended $/Mtok (trillions).</t>
        </is>
      </c>
      <c r="E64" s="22" t="n">
        <v>3.354978354978355</v>
      </c>
      <c r="F64" s="22" t="n">
        <v>20.11537995761429</v>
      </c>
      <c r="G64" s="22" t="n">
        <v>110.6902440625068</v>
      </c>
      <c r="H64" s="22" t="n">
        <v>728.7377012568123</v>
      </c>
      <c r="I64" s="22" t="n">
        <v>5397.362895541492</v>
      </c>
      <c r="J64" s="22" t="n">
        <v>9362.362273226683</v>
      </c>
      <c r="K64" s="22" t="n">
        <v>15527.23626790831</v>
      </c>
      <c r="L64" s="22" t="n">
        <v>23573.38641256471</v>
      </c>
      <c r="M64" s="22" t="n">
        <v>32029.74026431766</v>
      </c>
      <c r="N64" s="22" t="n">
        <v>42767.47207122226</v>
      </c>
      <c r="O64" s="22" t="n">
        <v>51101.276817994</v>
      </c>
    </row>
    <row r="65">
      <c r="A65" s="12" t="inlineStr">
        <is>
          <t>Total input tokens</t>
        </is>
      </c>
      <c r="B65" s="13" t="inlineStr">
        <is>
          <t>CALC</t>
        </is>
      </c>
      <c r="C65" s="13" t="inlineStr">
        <is>
          <t>T</t>
        </is>
      </c>
      <c r="D65" s="14" t="inlineStr">
        <is>
          <t>tokens x input share.</t>
        </is>
      </c>
      <c r="E65" s="22" t="n">
        <v>2.597402597402597</v>
      </c>
      <c r="F65" s="22" t="n">
        <v>15.88056312443234</v>
      </c>
      <c r="G65" s="22" t="n">
        <v>90.72970824795644</v>
      </c>
      <c r="H65" s="22" t="n">
        <v>628.2221562558726</v>
      </c>
      <c r="I65" s="22" t="n">
        <v>4693.359039601297</v>
      </c>
      <c r="J65" s="22" t="n">
        <v>8238.878800439481</v>
      </c>
      <c r="K65" s="22" t="n">
        <v>13758.31061713394</v>
      </c>
      <c r="L65" s="22" t="n">
        <v>21091.97731650527</v>
      </c>
      <c r="M65" s="22" t="n">
        <v>28705.89929349225</v>
      </c>
      <c r="N65" s="22" t="n">
        <v>38381.06467930203</v>
      </c>
      <c r="O65" s="22" t="n">
        <v>45911.30339116649</v>
      </c>
    </row>
    <row r="66">
      <c r="A66" s="12" t="inlineStr">
        <is>
          <t>Total output tokens</t>
        </is>
      </c>
      <c r="B66" s="13" t="inlineStr">
        <is>
          <t>CALC</t>
        </is>
      </c>
      <c r="C66" s="13" t="inlineStr">
        <is>
          <t>T</t>
        </is>
      </c>
      <c r="D66" s="14" t="inlineStr">
        <is>
          <t>tokens x (1 - input share).</t>
        </is>
      </c>
      <c r="E66" s="22" t="n">
        <v>0.7575757575757577</v>
      </c>
      <c r="F66" s="22" t="n">
        <v>4.234816833181956</v>
      </c>
      <c r="G66" s="22" t="n">
        <v>19.96053581455041</v>
      </c>
      <c r="H66" s="22" t="n">
        <v>100.5155450009397</v>
      </c>
      <c r="I66" s="22" t="n">
        <v>704.0038559401946</v>
      </c>
      <c r="J66" s="22" t="n">
        <v>1123.483472787202</v>
      </c>
      <c r="K66" s="22" t="n">
        <v>1768.925650774365</v>
      </c>
      <c r="L66" s="22" t="n">
        <v>2481.409096059443</v>
      </c>
      <c r="M66" s="22" t="n">
        <v>3323.840970825417</v>
      </c>
      <c r="N66" s="22" t="n">
        <v>4386.40739192023</v>
      </c>
      <c r="O66" s="22" t="n">
        <v>5189.973426827516</v>
      </c>
    </row>
    <row r="67">
      <c r="A67" s="12" t="inlineStr">
        <is>
          <t>Total first-party API calls</t>
        </is>
      </c>
      <c r="B67" s="13" t="inlineStr">
        <is>
          <t>CALC</t>
        </is>
      </c>
      <c r="C67" s="13" t="inlineStr">
        <is>
          <t>B</t>
        </is>
      </c>
      <c r="D67" s="14" t="inlineStr">
        <is>
          <t>tokens / tokens-per-call (billions).</t>
        </is>
      </c>
      <c r="E67" s="15" t="n">
        <v>2.164502164502164</v>
      </c>
      <c r="F67" s="15" t="n">
        <v>10.58704208295489</v>
      </c>
      <c r="G67" s="15" t="n">
        <v>36.29188329918258</v>
      </c>
      <c r="H67" s="15" t="n">
        <v>125.6444312511746</v>
      </c>
      <c r="I67" s="15" t="n">
        <v>586.6698799501622</v>
      </c>
      <c r="J67" s="15" t="n">
        <v>748.9889818581345</v>
      </c>
      <c r="K67" s="15" t="n">
        <v>982.7364726524246</v>
      </c>
      <c r="L67" s="15" t="n">
        <v>1240.704548029722</v>
      </c>
      <c r="M67" s="15" t="n">
        <v>1510.836804920644</v>
      </c>
      <c r="N67" s="15" t="n">
        <v>1827.669746633429</v>
      </c>
      <c r="O67" s="15" t="n">
        <v>1996.143625702891</v>
      </c>
    </row>
    <row r="68">
      <c r="A68" s="12" t="inlineStr">
        <is>
          <t>Memo: calls / contract / day</t>
        </is>
      </c>
      <c r="B68" s="13" t="inlineStr">
        <is>
          <t>CALC</t>
        </is>
      </c>
      <c r="C68" s="13" t="inlineStr">
        <is>
          <t>#</t>
        </is>
      </c>
      <c r="D68" s="14" t="inlineStr">
        <is>
          <t>calls / contracts / 365.</t>
        </is>
      </c>
      <c r="E68" s="15" t="n">
        <v>5930142.916444286</v>
      </c>
      <c r="F68" s="15" t="n">
        <v>6824845.823016851</v>
      </c>
      <c r="G68" s="15" t="n">
        <v>2761939.368278735</v>
      </c>
      <c r="H68" s="15" t="n">
        <v>2206611.016002363</v>
      </c>
      <c r="I68" s="15" t="n">
        <v>3214629.479178971</v>
      </c>
      <c r="J68" s="15" t="n">
        <v>1946892.417296495</v>
      </c>
      <c r="K68" s="15" t="n">
        <v>1558118.456133347</v>
      </c>
      <c r="L68" s="15" t="n">
        <v>1370641.347801283</v>
      </c>
      <c r="M68" s="15" t="n">
        <v>1316145.919742705</v>
      </c>
      <c r="N68" s="15" t="n">
        <v>1354792.850199719</v>
      </c>
      <c r="O68" s="15" t="n">
        <v>1320987.11250274</v>
      </c>
    </row>
    <row r="69">
      <c r="A69" s="11" t="inlineStr">
        <is>
          <t>COSTS - Inference and infrastructure</t>
        </is>
      </c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</row>
    <row r="70">
      <c r="A70" s="12" t="inlineStr">
        <is>
          <t>Billed tokens (Anthropic-served)</t>
        </is>
      </c>
      <c r="B70" s="13" t="inlineStr">
        <is>
          <t>LINK</t>
        </is>
      </c>
      <c r="C70" s="13" t="inlineStr">
        <is>
          <t>T</t>
        </is>
      </c>
      <c r="D70" s="14" t="inlineStr">
        <is>
          <t>API + consumer + Claude Code (excl Bedrock/Vertex).</t>
        </is>
      </c>
      <c r="E70" s="22" t="n">
        <v>3.354978354978355</v>
      </c>
      <c r="F70" s="22" t="n">
        <v>20.13237995761429</v>
      </c>
      <c r="G70" s="22" t="n">
        <v>110.9302440625068</v>
      </c>
      <c r="H70" s="22" t="n">
        <v>758.0657012568123</v>
      </c>
      <c r="I70" s="22" t="n">
        <v>5546.362895541492</v>
      </c>
      <c r="J70" s="22" t="n">
        <v>9748.994273226683</v>
      </c>
      <c r="K70" s="22" t="n">
        <v>16241.47626790831</v>
      </c>
      <c r="L70" s="22" t="n">
        <v>24653.06641256471</v>
      </c>
      <c r="M70" s="22" t="n">
        <v>33479.16026431767</v>
      </c>
      <c r="N70" s="22" t="n">
        <v>44527.47207122226</v>
      </c>
      <c r="O70" s="22" t="n">
        <v>53138.876817994</v>
      </c>
    </row>
    <row r="71">
      <c r="A71" s="12" t="inlineStr">
        <is>
          <t>Free-tier tokens served</t>
        </is>
      </c>
      <c r="B71" s="13" t="inlineStr">
        <is>
          <t>IN</t>
        </is>
      </c>
      <c r="C71" s="13" t="inlineStr">
        <is>
          <t>T</t>
        </is>
      </c>
      <c r="D71" s="14" t="inlineStr">
        <is>
          <t>Non-billed free-tier usage.</t>
        </is>
      </c>
      <c r="E71" s="22" t="n">
        <v>1.677489177489178</v>
      </c>
      <c r="F71" s="22" t="n">
        <v>9.059570980926431</v>
      </c>
      <c r="G71" s="22" t="n">
        <v>44.37209762500274</v>
      </c>
      <c r="H71" s="22" t="n">
        <v>265.3229954398843</v>
      </c>
      <c r="I71" s="22" t="n">
        <v>1663.908868662448</v>
      </c>
      <c r="J71" s="22" t="n">
        <v>2729.718396503471</v>
      </c>
      <c r="K71" s="22" t="n">
        <v>4222.78382965616</v>
      </c>
      <c r="L71" s="22" t="n">
        <v>6163.266603141178</v>
      </c>
      <c r="M71" s="22" t="n">
        <v>8034.99846343624</v>
      </c>
      <c r="N71" s="22" t="n">
        <v>10241.31857638112</v>
      </c>
      <c r="O71" s="22" t="n">
        <v>11690.55289995868</v>
      </c>
    </row>
    <row r="72">
      <c r="A72" s="12" t="inlineStr">
        <is>
          <t>Internal / testing tokens</t>
        </is>
      </c>
      <c r="B72" s="13" t="inlineStr">
        <is>
          <t>IN</t>
        </is>
      </c>
      <c r="C72" s="13" t="inlineStr">
        <is>
          <t>T</t>
        </is>
      </c>
      <c r="D72" s="14" t="inlineStr">
        <is>
          <t>Evals/red-team/internal.</t>
        </is>
      </c>
      <c r="E72" s="22" t="n">
        <v>1.006493506493507</v>
      </c>
      <c r="F72" s="22" t="n">
        <v>5.033094989403573</v>
      </c>
      <c r="G72" s="22" t="n">
        <v>22.18604881250137</v>
      </c>
      <c r="H72" s="22" t="n">
        <v>113.7098551885218</v>
      </c>
      <c r="I72" s="22" t="n">
        <v>665.5635474649789</v>
      </c>
      <c r="J72" s="22" t="n">
        <v>1072.389370054935</v>
      </c>
      <c r="K72" s="22" t="n">
        <v>1624.147626790831</v>
      </c>
      <c r="L72" s="22" t="n">
        <v>2465.306641256471</v>
      </c>
      <c r="M72" s="22" t="n">
        <v>3013.12442378859</v>
      </c>
      <c r="N72" s="22" t="n">
        <v>4007.472486410003</v>
      </c>
      <c r="O72" s="22" t="n">
        <v>4251.11014543952</v>
      </c>
    </row>
    <row r="73">
      <c r="A73" s="12" t="inlineStr">
        <is>
          <t>Gross tokens served</t>
        </is>
      </c>
      <c r="B73" s="13" t="inlineStr">
        <is>
          <t>CALC</t>
        </is>
      </c>
      <c r="C73" s="13" t="inlineStr">
        <is>
          <t>T</t>
        </is>
      </c>
      <c r="D73" s="14" t="inlineStr">
        <is>
          <t>billed + free + internal.</t>
        </is>
      </c>
      <c r="E73" s="22" t="n">
        <v>6.038961038961039</v>
      </c>
      <c r="F73" s="22" t="n">
        <v>34.22504592794429</v>
      </c>
      <c r="G73" s="22" t="n">
        <v>177.488390500011</v>
      </c>
      <c r="H73" s="22" t="n">
        <v>1137.098551885219</v>
      </c>
      <c r="I73" s="22" t="n">
        <v>7875.835311668918</v>
      </c>
      <c r="J73" s="22" t="n">
        <v>13551.10203978509</v>
      </c>
      <c r="K73" s="22" t="n">
        <v>22088.4077243553</v>
      </c>
      <c r="L73" s="22" t="n">
        <v>33281.63965696236</v>
      </c>
      <c r="M73" s="22" t="n">
        <v>44527.2831515425</v>
      </c>
      <c r="N73" s="22" t="n">
        <v>58776.26313401338</v>
      </c>
      <c r="O73" s="22" t="n">
        <v>69080.5398633922</v>
      </c>
    </row>
    <row r="74">
      <c r="A74" s="12" t="inlineStr">
        <is>
          <t>Tokens per GPU-hour</t>
        </is>
      </c>
      <c r="B74" s="13" t="inlineStr">
        <is>
          <t>IN</t>
        </is>
      </c>
      <c r="C74" s="13" t="inlineStr">
        <is>
          <t>tok/hr</t>
        </is>
      </c>
      <c r="D74" s="14" t="inlineStr">
        <is>
          <t>Serving throughput (back-solved for consistency).</t>
        </is>
      </c>
      <c r="E74" s="15" t="n">
        <v>2998720.149216711</v>
      </c>
      <c r="F74" s="15" t="n">
        <v>2817451.292769576</v>
      </c>
      <c r="G74" s="15" t="n">
        <v>2555996.406970203</v>
      </c>
      <c r="H74" s="15" t="n">
        <v>2519978.737828532</v>
      </c>
      <c r="I74" s="15" t="n">
        <v>3617112.646896945</v>
      </c>
      <c r="J74" s="15" t="n">
        <v>3487639.175028364</v>
      </c>
      <c r="K74" s="15" t="n">
        <v>3665774.003406903</v>
      </c>
      <c r="L74" s="15" t="n">
        <v>4019987.783240853</v>
      </c>
      <c r="M74" s="15" t="n">
        <v>4233087.101580781</v>
      </c>
      <c r="N74" s="15" t="n">
        <v>4656687.23297155</v>
      </c>
      <c r="O74" s="15" t="n">
        <v>4806165.407339006</v>
      </c>
    </row>
    <row r="75">
      <c r="A75" s="12" t="inlineStr">
        <is>
          <t>Required GPU-hours</t>
        </is>
      </c>
      <c r="B75" s="13" t="inlineStr">
        <is>
          <t>CALC</t>
        </is>
      </c>
      <c r="C75" s="13" t="inlineStr">
        <is>
          <t>hr</t>
        </is>
      </c>
      <c r="D75" s="14" t="inlineStr">
        <is>
          <t>gross tokens / tokens-per-GPU-hour.</t>
        </is>
      </c>
      <c r="E75" s="15" t="n">
        <v>2013846.153846154</v>
      </c>
      <c r="F75" s="15" t="n">
        <v>12147520</v>
      </c>
      <c r="G75" s="15" t="n">
        <v>69440000</v>
      </c>
      <c r="H75" s="15" t="n">
        <v>451233391.3043479</v>
      </c>
      <c r="I75" s="15" t="n">
        <v>2177381818.181818</v>
      </c>
      <c r="J75" s="15" t="n">
        <v>3885465600</v>
      </c>
      <c r="K75" s="15" t="n">
        <v>6025578146.341465</v>
      </c>
      <c r="L75" s="15" t="n">
        <v>8279040000.000002</v>
      </c>
      <c r="M75" s="15" t="n">
        <v>10518867692.30769</v>
      </c>
      <c r="N75" s="15" t="n">
        <v>12621904842.10527</v>
      </c>
      <c r="O75" s="15" t="n">
        <v>14373317189.18919</v>
      </c>
    </row>
    <row r="76">
      <c r="A76" s="12" t="inlineStr">
        <is>
          <t>Fleet utilization %</t>
        </is>
      </c>
      <c r="B76" s="13" t="inlineStr">
        <is>
          <t>IN</t>
        </is>
      </c>
      <c r="C76" s="13" t="inlineStr">
        <is>
          <t>%</t>
        </is>
      </c>
      <c r="D76" s="14" t="inlineStr">
        <is>
          <t>Effective serving utilization.</t>
        </is>
      </c>
      <c r="E76" s="16" t="n">
        <v>0.55</v>
      </c>
      <c r="F76" s="16" t="n">
        <v>0.58</v>
      </c>
      <c r="G76" s="16" t="n">
        <v>0.62</v>
      </c>
      <c r="H76" s="16" t="n">
        <v>0.66</v>
      </c>
      <c r="I76" s="16" t="n">
        <v>0.7</v>
      </c>
      <c r="J76" s="16" t="n">
        <v>0.72</v>
      </c>
      <c r="K76" s="16" t="n">
        <v>0.74</v>
      </c>
      <c r="L76" s="16" t="n">
        <v>0.75</v>
      </c>
      <c r="M76" s="16" t="n">
        <v>0.76</v>
      </c>
      <c r="N76" s="16" t="n">
        <v>0.77</v>
      </c>
      <c r="O76" s="16" t="n">
        <v>0.78</v>
      </c>
    </row>
    <row r="77">
      <c r="A77" s="12" t="inlineStr">
        <is>
          <t>Total provisioned GPU-hours</t>
        </is>
      </c>
      <c r="B77" s="13" t="inlineStr">
        <is>
          <t>CALC</t>
        </is>
      </c>
      <c r="C77" s="13" t="inlineStr">
        <is>
          <t>hr</t>
        </is>
      </c>
      <c r="D77" s="14" t="inlineStr">
        <is>
          <t>required / utilization.</t>
        </is>
      </c>
      <c r="E77" s="15" t="n">
        <v>3661538.461538462</v>
      </c>
      <c r="F77" s="15" t="n">
        <v>20944000</v>
      </c>
      <c r="G77" s="15" t="n">
        <v>112000000</v>
      </c>
      <c r="H77" s="15" t="n">
        <v>683686956.5217391</v>
      </c>
      <c r="I77" s="15" t="n">
        <v>3110545454.545455</v>
      </c>
      <c r="J77" s="15" t="n">
        <v>5396480000.000001</v>
      </c>
      <c r="K77" s="15" t="n">
        <v>8142673170.731709</v>
      </c>
      <c r="L77" s="15" t="n">
        <v>11038720000</v>
      </c>
      <c r="M77" s="15" t="n">
        <v>13840615384.61539</v>
      </c>
      <c r="N77" s="15" t="n">
        <v>16392084210.52632</v>
      </c>
      <c r="O77" s="15" t="n">
        <v>18427329729.72973</v>
      </c>
    </row>
    <row r="78">
      <c r="A78" s="12" t="inlineStr">
        <is>
          <t>Blended $/GPU-hour</t>
        </is>
      </c>
      <c r="B78" s="13" t="inlineStr">
        <is>
          <t>IN</t>
        </is>
      </c>
      <c r="C78" s="13" t="inlineStr">
        <is>
          <t>$</t>
        </is>
      </c>
      <c r="D78" s="14" t="inlineStr">
        <is>
          <t>Owned + rented all-in hourly cost.</t>
        </is>
      </c>
      <c r="E78" s="17" t="n">
        <v>2.6</v>
      </c>
      <c r="F78" s="17" t="n">
        <v>2.5</v>
      </c>
      <c r="G78" s="17" t="n">
        <v>2.4</v>
      </c>
      <c r="H78" s="17" t="n">
        <v>2.3</v>
      </c>
      <c r="I78" s="17" t="n">
        <v>2.2</v>
      </c>
      <c r="J78" s="17" t="n">
        <v>2.1</v>
      </c>
      <c r="K78" s="17" t="n">
        <v>2.05</v>
      </c>
      <c r="L78" s="17" t="n">
        <v>2</v>
      </c>
      <c r="M78" s="17" t="n">
        <v>1.95</v>
      </c>
      <c r="N78" s="17" t="n">
        <v>1.9</v>
      </c>
      <c r="O78" s="17" t="n">
        <v>1.85</v>
      </c>
    </row>
    <row r="79">
      <c r="A79" s="12" t="inlineStr">
        <is>
          <t>Inference compute cost</t>
        </is>
      </c>
      <c r="B79" s="13" t="inlineStr">
        <is>
          <t>CALC</t>
        </is>
      </c>
      <c r="C79" s="13" t="inlineStr">
        <is>
          <t>$M</t>
        </is>
      </c>
      <c r="D79" s="14" t="inlineStr">
        <is>
          <t>Declining share of revenue; GPU-hrs x $/GPU-hr.</t>
        </is>
      </c>
      <c r="E79" s="15" t="n">
        <v>9.520000000000001</v>
      </c>
      <c r="F79" s="15" t="n">
        <v>52.36000000000001</v>
      </c>
      <c r="G79" s="15" t="n">
        <v>268.8</v>
      </c>
      <c r="H79" s="15" t="n">
        <v>1572.48</v>
      </c>
      <c r="I79" s="15" t="n">
        <v>6843.200000000001</v>
      </c>
      <c r="J79" s="15" t="n">
        <v>11332.608</v>
      </c>
      <c r="K79" s="15" t="n">
        <v>16692.48</v>
      </c>
      <c r="L79" s="15" t="n">
        <v>22077.44</v>
      </c>
      <c r="M79" s="15" t="n">
        <v>26989.2</v>
      </c>
      <c r="N79" s="15" t="n">
        <v>31144.96</v>
      </c>
      <c r="O79" s="15" t="n">
        <v>34090.56</v>
      </c>
    </row>
    <row r="80">
      <c r="A80" s="12" t="inlineStr">
        <is>
          <t>Data egress volume (PB)</t>
        </is>
      </c>
      <c r="B80" s="13" t="inlineStr">
        <is>
          <t>IN</t>
        </is>
      </c>
      <c r="C80" s="13" t="inlineStr">
        <is>
          <t>PB</t>
        </is>
      </c>
      <c r="D80" s="14" t="inlineStr">
        <is>
          <t>Outbound data volume.</t>
        </is>
      </c>
      <c r="E80" s="15" t="n">
        <v>0.5</v>
      </c>
      <c r="F80" s="15" t="n">
        <v>2.55</v>
      </c>
      <c r="G80" s="15" t="n">
        <v>12</v>
      </c>
      <c r="H80" s="15" t="n">
        <v>62.40000000000001</v>
      </c>
      <c r="I80" s="15" t="n">
        <v>240</v>
      </c>
      <c r="J80" s="15" t="n">
        <v>496</v>
      </c>
      <c r="K80" s="15" t="n">
        <v>828</v>
      </c>
      <c r="L80" s="15" t="n">
        <v>1200</v>
      </c>
      <c r="M80" s="15" t="n">
        <v>1572.5</v>
      </c>
      <c r="N80" s="15" t="n">
        <v>1892</v>
      </c>
      <c r="O80" s="15" t="n">
        <v>2205</v>
      </c>
    </row>
    <row r="81">
      <c r="A81" s="12" t="inlineStr">
        <is>
          <t>Egress cost ($/TB)</t>
        </is>
      </c>
      <c r="B81" s="13" t="inlineStr">
        <is>
          <t>IN</t>
        </is>
      </c>
      <c r="C81" s="13" t="inlineStr">
        <is>
          <t>$</t>
        </is>
      </c>
      <c r="D81" s="14" t="inlineStr">
        <is>
          <t>Blended egress unit cost.</t>
        </is>
      </c>
      <c r="E81" s="15" t="n">
        <v>20</v>
      </c>
      <c r="F81" s="15" t="n">
        <v>18</v>
      </c>
      <c r="G81" s="15" t="n">
        <v>16</v>
      </c>
      <c r="H81" s="15" t="n">
        <v>14</v>
      </c>
      <c r="I81" s="15" t="n">
        <v>12</v>
      </c>
      <c r="J81" s="15" t="n">
        <v>11</v>
      </c>
      <c r="K81" s="15" t="n">
        <v>10</v>
      </c>
      <c r="L81" s="15" t="n">
        <v>9</v>
      </c>
      <c r="M81" s="15" t="n">
        <v>9</v>
      </c>
      <c r="N81" s="15" t="n">
        <v>8</v>
      </c>
      <c r="O81" s="15" t="n">
        <v>8</v>
      </c>
    </row>
    <row r="82">
      <c r="A82" s="12" t="inlineStr">
        <is>
          <t>Data egress cost</t>
        </is>
      </c>
      <c r="B82" s="13" t="inlineStr">
        <is>
          <t>CALC</t>
        </is>
      </c>
      <c r="C82" s="13" t="inlineStr">
        <is>
          <t>$M</t>
        </is>
      </c>
      <c r="D82" s="14" t="inlineStr">
        <is>
          <t>PB x 1000 x $/TB.</t>
        </is>
      </c>
      <c r="E82" s="15" t="n">
        <v>0.01</v>
      </c>
      <c r="F82" s="15" t="n">
        <v>0.0459</v>
      </c>
      <c r="G82" s="15" t="n">
        <v>0.192</v>
      </c>
      <c r="H82" s="15" t="n">
        <v>0.8736000000000002</v>
      </c>
      <c r="I82" s="15" t="n">
        <v>2.88</v>
      </c>
      <c r="J82" s="15" t="n">
        <v>5.456</v>
      </c>
      <c r="K82" s="15" t="n">
        <v>8.279999999999999</v>
      </c>
      <c r="L82" s="15" t="n">
        <v>10.8</v>
      </c>
      <c r="M82" s="15" t="n">
        <v>14.1525</v>
      </c>
      <c r="N82" s="15" t="n">
        <v>15.136</v>
      </c>
      <c r="O82" s="15" t="n">
        <v>17.64</v>
      </c>
    </row>
    <row r="83">
      <c r="A83" s="12" t="inlineStr">
        <is>
          <t>Context / caching storage cost</t>
        </is>
      </c>
      <c r="B83" s="13" t="inlineStr">
        <is>
          <t>IN</t>
        </is>
      </c>
      <c r="C83" s="13" t="inlineStr">
        <is>
          <t>$M</t>
        </is>
      </c>
      <c r="D83" s="14" t="inlineStr">
        <is>
          <t>KV-cache/context storage.</t>
        </is>
      </c>
      <c r="E83" s="15" t="n">
        <v>0.2</v>
      </c>
      <c r="F83" s="15" t="n">
        <v>0.85</v>
      </c>
      <c r="G83" s="15" t="n">
        <v>3.6</v>
      </c>
      <c r="H83" s="15" t="n">
        <v>18.2</v>
      </c>
      <c r="I83" s="15" t="n">
        <v>60</v>
      </c>
      <c r="J83" s="15" t="n">
        <v>117.8</v>
      </c>
      <c r="K83" s="15" t="n">
        <v>187.2</v>
      </c>
      <c r="L83" s="15" t="n">
        <v>264</v>
      </c>
      <c r="M83" s="15" t="n">
        <v>340</v>
      </c>
      <c r="N83" s="15" t="n">
        <v>404.8</v>
      </c>
      <c r="O83" s="15" t="n">
        <v>468</v>
      </c>
    </row>
    <row r="84">
      <c r="A84" s="12" t="inlineStr">
        <is>
          <t>API gateway and load-balancing</t>
        </is>
      </c>
      <c r="B84" s="13" t="inlineStr">
        <is>
          <t>IN</t>
        </is>
      </c>
      <c r="C84" s="13" t="inlineStr">
        <is>
          <t>$M</t>
        </is>
      </c>
      <c r="D84" s="14" t="inlineStr">
        <is>
          <t>Edge/gateway/LB.</t>
        </is>
      </c>
      <c r="E84" s="15" t="n">
        <v>0.3</v>
      </c>
      <c r="F84" s="15" t="n">
        <v>1.7</v>
      </c>
      <c r="G84" s="15" t="n">
        <v>6</v>
      </c>
      <c r="H84" s="15" t="n">
        <v>28.6</v>
      </c>
      <c r="I84" s="15" t="n">
        <v>100</v>
      </c>
      <c r="J84" s="15" t="n">
        <v>198.4</v>
      </c>
      <c r="K84" s="15" t="n">
        <v>316.8</v>
      </c>
      <c r="L84" s="15" t="n">
        <v>448</v>
      </c>
      <c r="M84" s="15" t="n">
        <v>578</v>
      </c>
      <c r="N84" s="15" t="n">
        <v>686.4</v>
      </c>
      <c r="O84" s="15" t="n">
        <v>792</v>
      </c>
    </row>
    <row r="85">
      <c r="A85" s="11" t="inlineStr">
        <is>
          <t>COSTS - SAFETY, PAYMENTS, SUPPORT</t>
        </is>
      </c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</row>
    <row r="86">
      <c r="A86" s="12" t="inlineStr">
        <is>
          <t>Content moderation cost $/Mtok</t>
        </is>
      </c>
      <c r="B86" s="13" t="inlineStr">
        <is>
          <t>IN</t>
        </is>
      </c>
      <c r="C86" s="13" t="inlineStr">
        <is>
          <t>$</t>
        </is>
      </c>
      <c r="D86" s="14" t="inlineStr">
        <is>
          <t>Classifier cost per Mtok gross.</t>
        </is>
      </c>
      <c r="E86" s="23" t="n">
        <v>0.05</v>
      </c>
      <c r="F86" s="23" t="n">
        <v>0.05</v>
      </c>
      <c r="G86" s="23" t="n">
        <v>0.04</v>
      </c>
      <c r="H86" s="23" t="n">
        <v>0.035</v>
      </c>
      <c r="I86" s="23" t="n">
        <v>0.03</v>
      </c>
      <c r="J86" s="23" t="n">
        <v>0.028</v>
      </c>
      <c r="K86" s="23" t="n">
        <v>0.026</v>
      </c>
      <c r="L86" s="23" t="n">
        <v>0.025</v>
      </c>
      <c r="M86" s="23" t="n">
        <v>0.024</v>
      </c>
      <c r="N86" s="23" t="n">
        <v>0.023</v>
      </c>
      <c r="O86" s="23" t="n">
        <v>0.022</v>
      </c>
    </row>
    <row r="87">
      <c r="A87" s="12" t="inlineStr">
        <is>
          <t>Automated moderation cost</t>
        </is>
      </c>
      <c r="B87" s="13" t="inlineStr">
        <is>
          <t>CALC</t>
        </is>
      </c>
      <c r="C87" s="13" t="inlineStr">
        <is>
          <t>$M</t>
        </is>
      </c>
      <c r="D87" s="14" t="inlineStr">
        <is>
          <t>gross tokens x $/Mtok.</t>
        </is>
      </c>
      <c r="E87" s="15" t="n">
        <v>0.301948051948052</v>
      </c>
      <c r="F87" s="15" t="n">
        <v>1.711252296397215</v>
      </c>
      <c r="G87" s="15" t="n">
        <v>7.099535620000438</v>
      </c>
      <c r="H87" s="15" t="n">
        <v>39.79844931598265</v>
      </c>
      <c r="I87" s="15" t="n">
        <v>236.2750593500675</v>
      </c>
      <c r="J87" s="15" t="n">
        <v>379.4308571139824</v>
      </c>
      <c r="K87" s="15" t="n">
        <v>574.2986008332376</v>
      </c>
      <c r="L87" s="15" t="n">
        <v>832.040991424059</v>
      </c>
      <c r="M87" s="15" t="n">
        <v>1068.65479563702</v>
      </c>
      <c r="N87" s="15" t="n">
        <v>1351.854052082308</v>
      </c>
      <c r="O87" s="15" t="n">
        <v>1519.771876994628</v>
      </c>
    </row>
    <row r="88">
      <c r="A88" s="12" t="inlineStr">
        <is>
          <t>HITL review volume</t>
        </is>
      </c>
      <c r="B88" s="13" t="inlineStr">
        <is>
          <t>IN</t>
        </is>
      </c>
      <c r="C88" s="13" t="inlineStr">
        <is>
          <t>Count</t>
        </is>
      </c>
      <c r="D88" s="14" t="inlineStr">
        <is>
          <t>Human safety reviews / yr.</t>
        </is>
      </c>
      <c r="E88" s="15" t="n">
        <v>20000</v>
      </c>
      <c r="F88" s="15" t="n">
        <v>102000</v>
      </c>
      <c r="G88" s="15" t="n">
        <v>420000</v>
      </c>
      <c r="H88" s="15" t="n">
        <v>1820000</v>
      </c>
      <c r="I88" s="15" t="n">
        <v>6000000</v>
      </c>
      <c r="J88" s="15" t="n">
        <v>11780000</v>
      </c>
      <c r="K88" s="15" t="n">
        <v>18720000</v>
      </c>
      <c r="L88" s="15" t="n">
        <v>26400000</v>
      </c>
      <c r="M88" s="15" t="n">
        <v>33150000</v>
      </c>
      <c r="N88" s="15" t="n">
        <v>38720000</v>
      </c>
      <c r="O88" s="15" t="n">
        <v>43200000</v>
      </c>
    </row>
    <row r="89">
      <c r="A89" s="12" t="inlineStr">
        <is>
          <t>Cost per HITL review</t>
        </is>
      </c>
      <c r="B89" s="13" t="inlineStr">
        <is>
          <t>IN</t>
        </is>
      </c>
      <c r="C89" s="13" t="inlineStr">
        <is>
          <t>$</t>
        </is>
      </c>
      <c r="D89" s="14" t="inlineStr">
        <is>
          <t>BPO hourly x hours.</t>
        </is>
      </c>
      <c r="E89" s="17" t="n">
        <v>4</v>
      </c>
      <c r="F89" s="17" t="n">
        <v>4</v>
      </c>
      <c r="G89" s="17" t="n">
        <v>3.8</v>
      </c>
      <c r="H89" s="17" t="n">
        <v>3.6</v>
      </c>
      <c r="I89" s="17" t="n">
        <v>3.5</v>
      </c>
      <c r="J89" s="17" t="n">
        <v>3.4</v>
      </c>
      <c r="K89" s="17" t="n">
        <v>3.3</v>
      </c>
      <c r="L89" s="17" t="n">
        <v>3.2</v>
      </c>
      <c r="M89" s="17" t="n">
        <v>3.2</v>
      </c>
      <c r="N89" s="17" t="n">
        <v>3.1</v>
      </c>
      <c r="O89" s="17" t="n">
        <v>3</v>
      </c>
    </row>
    <row r="90">
      <c r="A90" s="12" t="inlineStr">
        <is>
          <t>HITL review cost</t>
        </is>
      </c>
      <c r="B90" s="13" t="inlineStr">
        <is>
          <t>CALC</t>
        </is>
      </c>
      <c r="C90" s="13" t="inlineStr">
        <is>
          <t>$M</t>
        </is>
      </c>
      <c r="D90" s="14" t="inlineStr">
        <is>
          <t>volume x cost.</t>
        </is>
      </c>
      <c r="E90" s="15" t="n">
        <v>0.08</v>
      </c>
      <c r="F90" s="15" t="n">
        <v>0.408</v>
      </c>
      <c r="G90" s="15" t="n">
        <v>1.596</v>
      </c>
      <c r="H90" s="15" t="n">
        <v>6.552</v>
      </c>
      <c r="I90" s="15" t="n">
        <v>21</v>
      </c>
      <c r="J90" s="15" t="n">
        <v>40.052</v>
      </c>
      <c r="K90" s="15" t="n">
        <v>61.776</v>
      </c>
      <c r="L90" s="15" t="n">
        <v>84.48</v>
      </c>
      <c r="M90" s="15" t="n">
        <v>106.08</v>
      </c>
      <c r="N90" s="15" t="n">
        <v>120.032</v>
      </c>
      <c r="O90" s="15" t="n">
        <v>129.6</v>
      </c>
    </row>
    <row r="91">
      <c r="A91" s="12" t="inlineStr">
        <is>
          <t>B2B gross cash collections</t>
        </is>
      </c>
      <c r="B91" s="13" t="inlineStr">
        <is>
          <t>LINK</t>
        </is>
      </c>
      <c r="C91" s="13" t="inlineStr">
        <is>
          <t>$M</t>
        </is>
      </c>
      <c r="D91" s="14" t="inlineStr">
        <is>
          <t>API + seats + CC + FT + PT + PS.</t>
        </is>
      </c>
      <c r="E91" s="15" t="n">
        <v>10</v>
      </c>
      <c r="F91" s="15" t="n">
        <v>72.08</v>
      </c>
      <c r="G91" s="15" t="n">
        <v>448.74</v>
      </c>
      <c r="H91" s="15" t="n">
        <v>3340.48</v>
      </c>
      <c r="I91" s="15" t="n">
        <v>17671</v>
      </c>
      <c r="J91" s="15" t="n">
        <v>30468.04</v>
      </c>
      <c r="K91" s="15" t="n">
        <v>45878.39999999999</v>
      </c>
      <c r="L91" s="15" t="n">
        <v>62782.4</v>
      </c>
      <c r="M91" s="15" t="n">
        <v>80474.60000000002</v>
      </c>
      <c r="N91" s="15" t="n">
        <v>98249.36</v>
      </c>
      <c r="O91" s="15" t="n">
        <v>113434.2</v>
      </c>
    </row>
    <row r="92">
      <c r="A92" s="12" t="inlineStr">
        <is>
          <t>Payment processing fee % (Stripe)</t>
        </is>
      </c>
      <c r="B92" s="13" t="inlineStr">
        <is>
          <t>IN</t>
        </is>
      </c>
      <c r="C92" s="13" t="inlineStr">
        <is>
          <t>%</t>
        </is>
      </c>
      <c r="D92" s="14" t="inlineStr">
        <is>
          <t>Blended processor fee.</t>
        </is>
      </c>
      <c r="E92" s="24" t="n">
        <v>0.029</v>
      </c>
      <c r="F92" s="24" t="n">
        <v>0.028</v>
      </c>
      <c r="G92" s="24" t="n">
        <v>0.027</v>
      </c>
      <c r="H92" s="24" t="n">
        <v>0.026</v>
      </c>
      <c r="I92" s="24" t="n">
        <v>0.025</v>
      </c>
      <c r="J92" s="24" t="n">
        <v>0.024</v>
      </c>
      <c r="K92" s="24" t="n">
        <v>0.024</v>
      </c>
      <c r="L92" s="24" t="n">
        <v>0.023</v>
      </c>
      <c r="M92" s="24" t="n">
        <v>0.023</v>
      </c>
      <c r="N92" s="24" t="n">
        <v>0.022</v>
      </c>
      <c r="O92" s="24" t="n">
        <v>0.022</v>
      </c>
    </row>
    <row r="93">
      <c r="A93" s="12" t="inlineStr">
        <is>
          <t>B2B payment processing cost</t>
        </is>
      </c>
      <c r="B93" s="13" t="inlineStr">
        <is>
          <t>CALC</t>
        </is>
      </c>
      <c r="C93" s="13" t="inlineStr">
        <is>
          <t>$M</t>
        </is>
      </c>
      <c r="D93" s="14" t="inlineStr">
        <is>
          <t>collections x fee.</t>
        </is>
      </c>
      <c r="E93" s="15" t="n">
        <v>0.29</v>
      </c>
      <c r="F93" s="15" t="n">
        <v>2.01824</v>
      </c>
      <c r="G93" s="15" t="n">
        <v>12.11598</v>
      </c>
      <c r="H93" s="15" t="n">
        <v>86.85248000000001</v>
      </c>
      <c r="I93" s="15" t="n">
        <v>441.775</v>
      </c>
      <c r="J93" s="15" t="n">
        <v>731.2329599999999</v>
      </c>
      <c r="K93" s="15" t="n">
        <v>1101.0816</v>
      </c>
      <c r="L93" s="15" t="n">
        <v>1443.9952</v>
      </c>
      <c r="M93" s="15" t="n">
        <v>1850.9158</v>
      </c>
      <c r="N93" s="15" t="n">
        <v>2161.48592</v>
      </c>
      <c r="O93" s="15" t="n">
        <v>2495.5524</v>
      </c>
    </row>
    <row r="94">
      <c r="A94" s="12" t="inlineStr">
        <is>
          <t>Mobile share of consumer revenue %</t>
        </is>
      </c>
      <c r="B94" s="13" t="inlineStr">
        <is>
          <t>IN</t>
        </is>
      </c>
      <c r="C94" s="13" t="inlineStr">
        <is>
          <t>%</t>
        </is>
      </c>
      <c r="D94" s="14" t="inlineStr">
        <is>
          <t>Consumer via mobile stores.</t>
        </is>
      </c>
      <c r="E94" s="16" t="n">
        <v>0</v>
      </c>
      <c r="F94" s="16" t="n">
        <v>0.2</v>
      </c>
      <c r="G94" s="16" t="n">
        <v>0.3</v>
      </c>
      <c r="H94" s="16" t="n">
        <v>0.35</v>
      </c>
      <c r="I94" s="16" t="n">
        <v>0.38</v>
      </c>
      <c r="J94" s="16" t="n">
        <v>0.4</v>
      </c>
      <c r="K94" s="16" t="n">
        <v>0.4</v>
      </c>
      <c r="L94" s="16" t="n">
        <v>0.4</v>
      </c>
      <c r="M94" s="16" t="n">
        <v>0.39</v>
      </c>
      <c r="N94" s="16" t="n">
        <v>0.39</v>
      </c>
      <c r="O94" s="16" t="n">
        <v>0.38</v>
      </c>
    </row>
    <row r="95">
      <c r="A95" s="12" t="inlineStr">
        <is>
          <t>B2C mobile collections</t>
        </is>
      </c>
      <c r="B95" s="13" t="inlineStr">
        <is>
          <t>CALC</t>
        </is>
      </c>
      <c r="C95" s="13" t="inlineStr">
        <is>
          <t>$M</t>
        </is>
      </c>
      <c r="D95" s="14" t="inlineStr">
        <is>
          <t>consumer rev x mobile share.</t>
        </is>
      </c>
      <c r="E95" s="15" t="n">
        <v>0</v>
      </c>
      <c r="F95" s="15" t="n">
        <v>1.36</v>
      </c>
      <c r="G95" s="15" t="n">
        <v>21.6</v>
      </c>
      <c r="H95" s="15" t="n">
        <v>236.6</v>
      </c>
      <c r="I95" s="15" t="n">
        <v>1254</v>
      </c>
      <c r="J95" s="15" t="n">
        <v>2777.6</v>
      </c>
      <c r="K95" s="15" t="n">
        <v>4636.8</v>
      </c>
      <c r="L95" s="15" t="n">
        <v>6720</v>
      </c>
      <c r="M95" s="15" t="n">
        <v>8585.85</v>
      </c>
      <c r="N95" s="15" t="n">
        <v>10330.32</v>
      </c>
      <c r="O95" s="15" t="n">
        <v>11730.6</v>
      </c>
    </row>
    <row r="96">
      <c r="A96" s="12" t="inlineStr">
        <is>
          <t>App store take-rate %</t>
        </is>
      </c>
      <c r="B96" s="13" t="inlineStr">
        <is>
          <t>IN</t>
        </is>
      </c>
      <c r="C96" s="13" t="inlineStr">
        <is>
          <t>%</t>
        </is>
      </c>
      <c r="D96" s="14" t="inlineStr">
        <is>
          <t>Apple/Google store take.</t>
        </is>
      </c>
      <c r="E96" s="16" t="n">
        <v>0</v>
      </c>
      <c r="F96" s="16" t="n">
        <v>0.3</v>
      </c>
      <c r="G96" s="16" t="n">
        <v>0.3</v>
      </c>
      <c r="H96" s="16" t="n">
        <v>0.28</v>
      </c>
      <c r="I96" s="16" t="n">
        <v>0.2</v>
      </c>
      <c r="J96" s="16" t="n">
        <v>0.2</v>
      </c>
      <c r="K96" s="16" t="n">
        <v>0.18</v>
      </c>
      <c r="L96" s="16" t="n">
        <v>0.18</v>
      </c>
      <c r="M96" s="16" t="n">
        <v>0.17</v>
      </c>
      <c r="N96" s="16" t="n">
        <v>0.17</v>
      </c>
      <c r="O96" s="16" t="n">
        <v>0.15</v>
      </c>
    </row>
    <row r="97">
      <c r="A97" s="12" t="inlineStr">
        <is>
          <t>App store cost</t>
        </is>
      </c>
      <c r="B97" s="13" t="inlineStr">
        <is>
          <t>CALC</t>
        </is>
      </c>
      <c r="C97" s="13" t="inlineStr">
        <is>
          <t>$M</t>
        </is>
      </c>
      <c r="D97" s="14" t="inlineStr">
        <is>
          <t>mobile collections x take.</t>
        </is>
      </c>
      <c r="E97" s="15" t="n">
        <v>0</v>
      </c>
      <c r="F97" s="15" t="n">
        <v>0.408</v>
      </c>
      <c r="G97" s="15" t="n">
        <v>6.48</v>
      </c>
      <c r="H97" s="15" t="n">
        <v>66.248</v>
      </c>
      <c r="I97" s="15" t="n">
        <v>250.8</v>
      </c>
      <c r="J97" s="15" t="n">
        <v>555.5200000000001</v>
      </c>
      <c r="K97" s="15" t="n">
        <v>834.624</v>
      </c>
      <c r="L97" s="15" t="n">
        <v>1209.6</v>
      </c>
      <c r="M97" s="15" t="n">
        <v>1459.5945</v>
      </c>
      <c r="N97" s="15" t="n">
        <v>1756.1544</v>
      </c>
      <c r="O97" s="15" t="n">
        <v>1759.59</v>
      </c>
    </row>
    <row r="98">
      <c r="A98" s="12" t="inlineStr">
        <is>
          <t>CSM ratio (accounts/CSM)</t>
        </is>
      </c>
      <c r="B98" s="13" t="inlineStr">
        <is>
          <t>IN</t>
        </is>
      </c>
      <c r="C98" s="13" t="inlineStr">
        <is>
          <t>#</t>
        </is>
      </c>
      <c r="D98" s="14" t="inlineStr">
        <is>
          <t>Accounts per CSM.</t>
        </is>
      </c>
      <c r="E98" s="15" t="n">
        <v>0</v>
      </c>
      <c r="F98" s="15" t="n">
        <v>15</v>
      </c>
      <c r="G98" s="15" t="n">
        <v>20</v>
      </c>
      <c r="H98" s="15" t="n">
        <v>25</v>
      </c>
      <c r="I98" s="15" t="n">
        <v>30</v>
      </c>
      <c r="J98" s="15" t="n">
        <v>32</v>
      </c>
      <c r="K98" s="15" t="n">
        <v>34</v>
      </c>
      <c r="L98" s="15" t="n">
        <v>36</v>
      </c>
      <c r="M98" s="15" t="n">
        <v>38</v>
      </c>
      <c r="N98" s="15" t="n">
        <v>40</v>
      </c>
      <c r="O98" s="15" t="n">
        <v>42</v>
      </c>
    </row>
    <row r="99">
      <c r="A99" s="12" t="inlineStr">
        <is>
          <t>#CSMs</t>
        </is>
      </c>
      <c r="B99" s="13" t="inlineStr">
        <is>
          <t>CALC</t>
        </is>
      </c>
      <c r="C99" s="13" t="inlineStr">
        <is>
          <t>count</t>
        </is>
      </c>
      <c r="D99" s="14" t="inlineStr">
        <is>
          <t>contracts / ratio.</t>
        </is>
      </c>
      <c r="E99" s="15" t="n">
        <v>0</v>
      </c>
      <c r="F99" s="15" t="n">
        <v>0.2833333333333333</v>
      </c>
      <c r="G99" s="15" t="n">
        <v>1.8</v>
      </c>
      <c r="H99" s="15" t="n">
        <v>6.24</v>
      </c>
      <c r="I99" s="15" t="n">
        <v>16.66666666666667</v>
      </c>
      <c r="J99" s="15" t="n">
        <v>32.9375</v>
      </c>
      <c r="K99" s="15" t="n">
        <v>50.8235294117647</v>
      </c>
      <c r="L99" s="15" t="n">
        <v>68.88888888888889</v>
      </c>
      <c r="M99" s="15" t="n">
        <v>82.76315789473684</v>
      </c>
      <c r="N99" s="15" t="n">
        <v>92.40000000000001</v>
      </c>
      <c r="O99" s="15" t="n">
        <v>98.57142857142857</v>
      </c>
    </row>
    <row r="100">
      <c r="A100" s="12" t="inlineStr">
        <is>
          <t>Fully-burdened CSM salary</t>
        </is>
      </c>
      <c r="B100" s="13" t="inlineStr">
        <is>
          <t>IN</t>
        </is>
      </c>
      <c r="C100" s="13" t="inlineStr">
        <is>
          <t>$</t>
        </is>
      </c>
      <c r="D100" s="14" t="inlineStr">
        <is>
          <t>Loaded cost per CSM.</t>
        </is>
      </c>
      <c r="E100" s="15" t="n">
        <v>0</v>
      </c>
      <c r="F100" s="15" t="n">
        <v>180000</v>
      </c>
      <c r="G100" s="15" t="n">
        <v>190000</v>
      </c>
      <c r="H100" s="15" t="n">
        <v>200000</v>
      </c>
      <c r="I100" s="15" t="n">
        <v>210000</v>
      </c>
      <c r="J100" s="15" t="n">
        <v>218000</v>
      </c>
      <c r="K100" s="15" t="n">
        <v>225000</v>
      </c>
      <c r="L100" s="15" t="n">
        <v>232000</v>
      </c>
      <c r="M100" s="15" t="n">
        <v>238000</v>
      </c>
      <c r="N100" s="15" t="n">
        <v>244000</v>
      </c>
      <c r="O100" s="15" t="n">
        <v>250000</v>
      </c>
    </row>
    <row r="101">
      <c r="A101" s="12" t="inlineStr">
        <is>
          <t>CSM cost</t>
        </is>
      </c>
      <c r="B101" s="13" t="inlineStr">
        <is>
          <t>CALC</t>
        </is>
      </c>
      <c r="C101" s="13" t="inlineStr">
        <is>
          <t>$M</t>
        </is>
      </c>
      <c r="D101" s="14" t="inlineStr">
        <is>
          <t>#CSMs x salary.</t>
        </is>
      </c>
      <c r="E101" s="15" t="n">
        <v>0</v>
      </c>
      <c r="F101" s="15" t="n">
        <v>0.051</v>
      </c>
      <c r="G101" s="15" t="n">
        <v>0.342</v>
      </c>
      <c r="H101" s="15" t="n">
        <v>1.248</v>
      </c>
      <c r="I101" s="15" t="n">
        <v>3.5</v>
      </c>
      <c r="J101" s="15" t="n">
        <v>7.180375</v>
      </c>
      <c r="K101" s="15" t="n">
        <v>11.43529411764706</v>
      </c>
      <c r="L101" s="15" t="n">
        <v>15.98222222222222</v>
      </c>
      <c r="M101" s="15" t="n">
        <v>19.69763157894737</v>
      </c>
      <c r="N101" s="15" t="n">
        <v>22.5456</v>
      </c>
      <c r="O101" s="15" t="n">
        <v>24.64285714285714</v>
      </c>
    </row>
    <row r="102">
      <c r="A102" s="12" t="inlineStr">
        <is>
          <t>Support ticket volume (000s)</t>
        </is>
      </c>
      <c r="B102" s="13" t="inlineStr">
        <is>
          <t>IN</t>
        </is>
      </c>
      <c r="C102" s="13" t="inlineStr">
        <is>
          <t>k</t>
        </is>
      </c>
      <c r="D102" s="14" t="inlineStr">
        <is>
          <t>Tickets/yr (thousands).</t>
        </is>
      </c>
      <c r="E102" s="15" t="n">
        <v>2</v>
      </c>
      <c r="F102" s="15" t="n">
        <v>17</v>
      </c>
      <c r="G102" s="15" t="n">
        <v>90</v>
      </c>
      <c r="H102" s="15" t="n">
        <v>416</v>
      </c>
      <c r="I102" s="15" t="n">
        <v>1300</v>
      </c>
      <c r="J102" s="15" t="n">
        <v>2604</v>
      </c>
      <c r="K102" s="15" t="n">
        <v>4176</v>
      </c>
      <c r="L102" s="15" t="n">
        <v>5840</v>
      </c>
      <c r="M102" s="15" t="n">
        <v>7310</v>
      </c>
      <c r="N102" s="15" t="n">
        <v>8536</v>
      </c>
      <c r="O102" s="15" t="n">
        <v>9540</v>
      </c>
    </row>
    <row r="103">
      <c r="A103" s="12" t="inlineStr">
        <is>
          <t>Cost per ticket</t>
        </is>
      </c>
      <c r="B103" s="13" t="inlineStr">
        <is>
          <t>IN</t>
        </is>
      </c>
      <c r="C103" s="13" t="inlineStr">
        <is>
          <t>$</t>
        </is>
      </c>
      <c r="D103" s="14" t="inlineStr">
        <is>
          <t>Cost per resolved ticket.</t>
        </is>
      </c>
      <c r="E103" s="17" t="n">
        <v>6</v>
      </c>
      <c r="F103" s="17" t="n">
        <v>6</v>
      </c>
      <c r="G103" s="17" t="n">
        <v>5.5</v>
      </c>
      <c r="H103" s="17" t="n">
        <v>5</v>
      </c>
      <c r="I103" s="17" t="n">
        <v>4.5</v>
      </c>
      <c r="J103" s="17" t="n">
        <v>4.2</v>
      </c>
      <c r="K103" s="17" t="n">
        <v>4</v>
      </c>
      <c r="L103" s="17" t="n">
        <v>3.8</v>
      </c>
      <c r="M103" s="17" t="n">
        <v>3.6</v>
      </c>
      <c r="N103" s="17" t="n">
        <v>3.5</v>
      </c>
      <c r="O103" s="17" t="n">
        <v>3.4</v>
      </c>
    </row>
    <row r="104">
      <c r="A104" s="12" t="inlineStr">
        <is>
          <t>Consumer support cost</t>
        </is>
      </c>
      <c r="B104" s="13" t="inlineStr">
        <is>
          <t>CALC</t>
        </is>
      </c>
      <c r="C104" s="13" t="inlineStr">
        <is>
          <t>$M</t>
        </is>
      </c>
      <c r="D104" s="14" t="inlineStr">
        <is>
          <t>tickets x cost.</t>
        </is>
      </c>
      <c r="E104" s="15" t="n">
        <v>0.012</v>
      </c>
      <c r="F104" s="15" t="n">
        <v>0.102</v>
      </c>
      <c r="G104" s="15" t="n">
        <v>0.495</v>
      </c>
      <c r="H104" s="15" t="n">
        <v>2.08</v>
      </c>
      <c r="I104" s="15" t="n">
        <v>5.85</v>
      </c>
      <c r="J104" s="15" t="n">
        <v>10.9368</v>
      </c>
      <c r="K104" s="15" t="n">
        <v>16.704</v>
      </c>
      <c r="L104" s="15" t="n">
        <v>22.192</v>
      </c>
      <c r="M104" s="15" t="n">
        <v>26.316</v>
      </c>
      <c r="N104" s="15" t="n">
        <v>29.876</v>
      </c>
      <c r="O104" s="15" t="n">
        <v>32.436</v>
      </c>
    </row>
    <row r="105">
      <c r="A105" s="18" t="inlineStr">
        <is>
          <t>Total cost of revenue (bottoms-up)</t>
        </is>
      </c>
      <c r="B105" s="19" t="inlineStr">
        <is>
          <t>CALC</t>
        </is>
      </c>
      <c r="C105" s="19" t="inlineStr">
        <is>
          <t>$M</t>
        </is>
      </c>
      <c r="D105" s="20" t="inlineStr">
        <is>
          <t>Inference + infra + safety + payments + support (training is R&amp;D).</t>
        </is>
      </c>
      <c r="E105" s="21" t="n">
        <v>10.71394805194805</v>
      </c>
      <c r="F105" s="21" t="n">
        <v>59.65439229639723</v>
      </c>
      <c r="G105" s="21" t="n">
        <v>306.7205156200005</v>
      </c>
      <c r="H105" s="21" t="n">
        <v>1822.932529315982</v>
      </c>
      <c r="I105" s="21" t="n">
        <v>7965.280059350069</v>
      </c>
      <c r="J105" s="21" t="n">
        <v>13378.61699211398</v>
      </c>
      <c r="K105" s="21" t="n">
        <v>19804.67949495089</v>
      </c>
      <c r="L105" s="21" t="n">
        <v>26408.53041364628</v>
      </c>
      <c r="M105" s="21" t="n">
        <v>32452.61122721597</v>
      </c>
      <c r="N105" s="21" t="n">
        <v>37693.2439720823</v>
      </c>
      <c r="O105" s="21" t="n">
        <v>41329.79313413749</v>
      </c>
    </row>
    <row r="106">
      <c r="A106" s="18" t="inlineStr">
        <is>
          <t>Memo: implied gross margin %</t>
        </is>
      </c>
      <c r="B106" s="19" t="inlineStr">
        <is>
          <t>CALC</t>
        </is>
      </c>
      <c r="C106" s="19" t="inlineStr">
        <is>
          <t>%</t>
        </is>
      </c>
      <c r="D106" s="20" t="inlineStr">
        <is>
          <t>Inference-only gross margin.</t>
        </is>
      </c>
      <c r="E106" s="25" t="n">
        <v>-0.07139480519480546</v>
      </c>
      <c r="F106" s="25" t="n">
        <v>0.2981836200423855</v>
      </c>
      <c r="G106" s="25" t="n">
        <v>0.4887991406333325</v>
      </c>
      <c r="H106" s="25" t="n">
        <v>0.6104845022829097</v>
      </c>
      <c r="I106" s="25" t="n">
        <v>0.6610519123680823</v>
      </c>
      <c r="J106" s="25" t="n">
        <v>0.6826703749498582</v>
      </c>
      <c r="K106" s="25" t="n">
        <v>0.69437223001619</v>
      </c>
      <c r="L106" s="25" t="n">
        <v>0.7052619373476978</v>
      </c>
      <c r="M106" s="25" t="n">
        <v>0.7171885731833032</v>
      </c>
      <c r="N106" s="25" t="n">
        <v>0.7289035962882457</v>
      </c>
      <c r="O106" s="25" t="n">
        <v>0.7420112788131243</v>
      </c>
    </row>
    <row r="107">
      <c r="A107" s="11" t="inlineStr">
        <is>
          <t>OpEx &amp; Comp (ex-SBC)</t>
        </is>
      </c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</row>
    <row r="108">
      <c r="A108" s="12" t="inlineStr">
        <is>
          <t>R&amp;D headcount</t>
        </is>
      </c>
      <c r="B108" s="13" t="inlineStr">
        <is>
          <t>IN</t>
        </is>
      </c>
      <c r="C108" s="13" t="inlineStr">
        <is>
          <t>count</t>
        </is>
      </c>
      <c r="D108" s="14" t="inlineStr">
        <is>
          <t>Research + eng (~65-75% of total).</t>
        </is>
      </c>
      <c r="E108" s="15" t="n">
        <v>40</v>
      </c>
      <c r="F108" s="15" t="n">
        <v>130</v>
      </c>
      <c r="G108" s="15" t="n">
        <v>270</v>
      </c>
      <c r="H108" s="15" t="n">
        <v>700</v>
      </c>
      <c r="I108" s="15" t="n">
        <v>3250</v>
      </c>
      <c r="J108" s="15" t="n">
        <v>4800</v>
      </c>
      <c r="K108" s="15" t="n">
        <v>6000</v>
      </c>
      <c r="L108" s="15" t="n">
        <v>6900</v>
      </c>
      <c r="M108" s="15" t="n">
        <v>7500</v>
      </c>
      <c r="N108" s="15" t="n">
        <v>7900</v>
      </c>
      <c r="O108" s="15" t="n">
        <v>8300</v>
      </c>
    </row>
    <row r="109">
      <c r="A109" s="12" t="inlineStr">
        <is>
          <t>Fully-burdened R&amp;D cash comp ($/head)</t>
        </is>
      </c>
      <c r="B109" s="13" t="inlineStr">
        <is>
          <t>IN</t>
        </is>
      </c>
      <c r="C109" s="13" t="inlineStr">
        <is>
          <t>$</t>
        </is>
      </c>
      <c r="D109" s="14" t="inlineStr">
        <is>
          <t>Levels.fyi eng $619-841k, research ~$746k median.</t>
        </is>
      </c>
      <c r="E109" s="15" t="n">
        <v>400000</v>
      </c>
      <c r="F109" s="15" t="n">
        <v>420000</v>
      </c>
      <c r="G109" s="15" t="n">
        <v>450000</v>
      </c>
      <c r="H109" s="15" t="n">
        <v>480000</v>
      </c>
      <c r="I109" s="15" t="n">
        <v>520000</v>
      </c>
      <c r="J109" s="15" t="n">
        <v>545000</v>
      </c>
      <c r="K109" s="15" t="n">
        <v>565000</v>
      </c>
      <c r="L109" s="15" t="n">
        <v>580000</v>
      </c>
      <c r="M109" s="15" t="n">
        <v>595000</v>
      </c>
      <c r="N109" s="15" t="n">
        <v>605000</v>
      </c>
      <c r="O109" s="15" t="n">
        <v>615000</v>
      </c>
    </row>
    <row r="110">
      <c r="A110" s="12" t="inlineStr">
        <is>
          <t>R&amp;D personnel cost</t>
        </is>
      </c>
      <c r="B110" s="13" t="inlineStr">
        <is>
          <t>CALC</t>
        </is>
      </c>
      <c r="C110" s="13" t="inlineStr">
        <is>
          <t>$M</t>
        </is>
      </c>
      <c r="D110" s="14" t="inlineStr">
        <is>
          <t>heads x comp.</t>
        </is>
      </c>
      <c r="E110" s="15" t="n">
        <v>16</v>
      </c>
      <c r="F110" s="15" t="n">
        <v>54.6</v>
      </c>
      <c r="G110" s="15" t="n">
        <v>121.5</v>
      </c>
      <c r="H110" s="15" t="n">
        <v>336</v>
      </c>
      <c r="I110" s="15" t="n">
        <v>1690</v>
      </c>
      <c r="J110" s="15" t="n">
        <v>2616</v>
      </c>
      <c r="K110" s="15" t="n">
        <v>3390</v>
      </c>
      <c r="L110" s="15" t="n">
        <v>4002</v>
      </c>
      <c r="M110" s="15" t="n">
        <v>4462.5</v>
      </c>
      <c r="N110" s="15" t="n">
        <v>4779.5</v>
      </c>
      <c r="O110" s="15" t="n">
        <v>5104.5</v>
      </c>
    </row>
    <row r="111">
      <c r="A111" s="12" t="inlineStr">
        <is>
          <t>RLHF &amp; data annotation</t>
        </is>
      </c>
      <c r="B111" s="13" t="inlineStr">
        <is>
          <t>IN</t>
        </is>
      </c>
      <c r="C111" s="13" t="inlineStr">
        <is>
          <t>$M</t>
        </is>
      </c>
      <c r="D111" s="14" t="inlineStr">
        <is>
          <t>Human feedback/annotation.</t>
        </is>
      </c>
      <c r="E111" s="15" t="n">
        <v>2</v>
      </c>
      <c r="F111" s="15" t="n">
        <v>8</v>
      </c>
      <c r="G111" s="15" t="n">
        <v>60</v>
      </c>
      <c r="H111" s="15" t="n">
        <v>300</v>
      </c>
      <c r="I111" s="15" t="n">
        <v>620</v>
      </c>
      <c r="J111" s="15" t="n">
        <v>900</v>
      </c>
      <c r="K111" s="15" t="n">
        <v>1150</v>
      </c>
      <c r="L111" s="15" t="n">
        <v>1400</v>
      </c>
      <c r="M111" s="15" t="n">
        <v>1600</v>
      </c>
      <c r="N111" s="15" t="n">
        <v>1750</v>
      </c>
      <c r="O111" s="15" t="n">
        <v>1900</v>
      </c>
    </row>
    <row r="112">
      <c r="A112" s="12" t="inlineStr">
        <is>
          <t>Proprietary data licensing</t>
        </is>
      </c>
      <c r="B112" s="13" t="inlineStr">
        <is>
          <t>IN</t>
        </is>
      </c>
      <c r="C112" s="13" t="inlineStr">
        <is>
          <t>$M</t>
        </is>
      </c>
      <c r="D112" s="14" t="inlineStr">
        <is>
          <t>Licensed training data.</t>
        </is>
      </c>
      <c r="E112" s="15" t="n">
        <v>0</v>
      </c>
      <c r="F112" s="15" t="n">
        <v>3</v>
      </c>
      <c r="G112" s="15" t="n">
        <v>25</v>
      </c>
      <c r="H112" s="15" t="n">
        <v>120</v>
      </c>
      <c r="I112" s="15" t="n">
        <v>400</v>
      </c>
      <c r="J112" s="15" t="n">
        <v>620</v>
      </c>
      <c r="K112" s="15" t="n">
        <v>820</v>
      </c>
      <c r="L112" s="15" t="n">
        <v>1000</v>
      </c>
      <c r="M112" s="15" t="n">
        <v>1150</v>
      </c>
      <c r="N112" s="15" t="n">
        <v>1280</v>
      </c>
      <c r="O112" s="15" t="n">
        <v>1400</v>
      </c>
    </row>
    <row r="113">
      <c r="A113" s="12" t="inlineStr">
        <is>
          <t>Experimental / failed training runs</t>
        </is>
      </c>
      <c r="B113" s="13" t="inlineStr">
        <is>
          <t>IN</t>
        </is>
      </c>
      <c r="C113" s="13" t="inlineStr">
        <is>
          <t>$M</t>
        </is>
      </c>
      <c r="D113" s="14" t="inlineStr">
        <is>
          <t>Abandoned run compute.</t>
        </is>
      </c>
      <c r="E113" s="15" t="n">
        <v>3</v>
      </c>
      <c r="F113" s="15" t="n">
        <v>12</v>
      </c>
      <c r="G113" s="15" t="n">
        <v>90</v>
      </c>
      <c r="H113" s="15" t="n">
        <v>380</v>
      </c>
      <c r="I113" s="15" t="n">
        <v>620</v>
      </c>
      <c r="J113" s="15" t="n">
        <v>850</v>
      </c>
      <c r="K113" s="15" t="n">
        <v>1050</v>
      </c>
      <c r="L113" s="15" t="n">
        <v>1250</v>
      </c>
      <c r="M113" s="15" t="n">
        <v>1400</v>
      </c>
      <c r="N113" s="15" t="n">
        <v>1520</v>
      </c>
      <c r="O113" s="15" t="n">
        <v>1650</v>
      </c>
    </row>
    <row r="114">
      <c r="A114" s="12" t="inlineStr">
        <is>
          <t>Internal tooling &amp; subscriptions</t>
        </is>
      </c>
      <c r="B114" s="13" t="inlineStr">
        <is>
          <t>IN</t>
        </is>
      </c>
      <c r="C114" s="13" t="inlineStr">
        <is>
          <t>$M</t>
        </is>
      </c>
      <c r="D114" s="14" t="inlineStr">
        <is>
          <t>Dev tooling/SaaS.</t>
        </is>
      </c>
      <c r="E114" s="15" t="n">
        <v>1</v>
      </c>
      <c r="F114" s="15" t="n">
        <v>4</v>
      </c>
      <c r="G114" s="15" t="n">
        <v>30</v>
      </c>
      <c r="H114" s="15" t="n">
        <v>150</v>
      </c>
      <c r="I114" s="15" t="n">
        <v>380</v>
      </c>
      <c r="J114" s="15" t="n">
        <v>560</v>
      </c>
      <c r="K114" s="15" t="n">
        <v>720</v>
      </c>
      <c r="L114" s="15" t="n">
        <v>880</v>
      </c>
      <c r="M114" s="15" t="n">
        <v>1010</v>
      </c>
      <c r="N114" s="15" t="n">
        <v>1130</v>
      </c>
      <c r="O114" s="15" t="n">
        <v>1240</v>
      </c>
    </row>
    <row r="115">
      <c r="A115" s="12" t="inlineStr">
        <is>
          <t>Capitalizable frontier-training runs</t>
        </is>
      </c>
      <c r="B115" s="13" t="inlineStr">
        <is>
          <t>IN</t>
        </is>
      </c>
      <c r="C115" s="13" t="inlineStr">
        <is>
          <t>$M</t>
        </is>
      </c>
      <c r="D115" s="14" t="inlineStr">
        <is>
          <t>Capitalizable portion (~30% of training).</t>
        </is>
      </c>
      <c r="E115" s="15" t="n">
        <v>12.39</v>
      </c>
      <c r="F115" s="15" t="n">
        <v>36.108</v>
      </c>
      <c r="G115" s="15" t="n">
        <v>743.4</v>
      </c>
      <c r="H115" s="15" t="n">
        <v>745.524</v>
      </c>
      <c r="I115" s="15" t="n">
        <v>3577.17</v>
      </c>
      <c r="J115" s="15" t="n">
        <v>5223.623999999999</v>
      </c>
      <c r="K115" s="15" t="n">
        <v>6881.759999999999</v>
      </c>
      <c r="L115" s="15" t="n">
        <v>8246.784</v>
      </c>
      <c r="M115" s="15" t="n">
        <v>9342.945</v>
      </c>
      <c r="N115" s="15" t="n">
        <v>10336.2336</v>
      </c>
      <c r="O115" s="15" t="n">
        <v>10775.052</v>
      </c>
    </row>
    <row r="116">
      <c r="A116" s="12" t="inlineStr">
        <is>
          <t>Cap toggle (1=capitalized, 0=ASC 730 expense)</t>
        </is>
      </c>
      <c r="B116" s="13" t="inlineStr">
        <is>
          <t>IN</t>
        </is>
      </c>
      <c r="C116" s="13" t="inlineStr">
        <is>
          <t>0/1</t>
        </is>
      </c>
      <c r="D116" s="14" t="inlineStr">
        <is>
          <t>0 = expense training to R&amp;D (base).</t>
        </is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0</v>
      </c>
      <c r="L116" s="26" t="n">
        <v>0</v>
      </c>
      <c r="M116" s="26" t="n">
        <v>0</v>
      </c>
      <c r="N116" s="26" t="n">
        <v>0</v>
      </c>
      <c r="O116" s="26" t="n">
        <v>0</v>
      </c>
    </row>
    <row r="117">
      <c r="A117" s="12" t="inlineStr">
        <is>
          <t>Training compute expenses to R&amp;D</t>
        </is>
      </c>
      <c r="B117" s="13" t="inlineStr">
        <is>
          <t>CALC</t>
        </is>
      </c>
      <c r="C117" s="13" t="inlineStr">
        <is>
          <t>$M</t>
        </is>
      </c>
      <c r="D117" s="14" t="inlineStr">
        <is>
          <t>Training (expensed) + research compute. Primary loss driver.</t>
        </is>
      </c>
      <c r="E117" s="15" t="n">
        <v>47.3</v>
      </c>
      <c r="F117" s="15" t="n">
        <v>141.61</v>
      </c>
      <c r="G117" s="15" t="n">
        <v>2808</v>
      </c>
      <c r="H117" s="15" t="n">
        <v>2953.08</v>
      </c>
      <c r="I117" s="15" t="n">
        <v>14038.9</v>
      </c>
      <c r="J117" s="15" t="n">
        <v>20784.88</v>
      </c>
      <c r="K117" s="15" t="n">
        <v>27475.2</v>
      </c>
      <c r="L117" s="15" t="n">
        <v>32865.28</v>
      </c>
      <c r="M117" s="15" t="n">
        <v>37454.39999999999</v>
      </c>
      <c r="N117" s="15" t="n">
        <v>41406.11199999999</v>
      </c>
      <c r="O117" s="15" t="n">
        <v>43125.84</v>
      </c>
    </row>
    <row r="118">
      <c r="A118" s="18" t="inlineStr">
        <is>
          <t>Total R&amp;D (ex-SBC)</t>
        </is>
      </c>
      <c r="B118" s="19" t="inlineStr">
        <is>
          <t>CALC</t>
        </is>
      </c>
      <c r="C118" s="19" t="inlineStr">
        <is>
          <t>$M</t>
        </is>
      </c>
      <c r="D118" s="20" t="inlineStr">
        <is>
          <t>Personnel + RLHF + licensing + failed + tooling + training.</t>
        </is>
      </c>
      <c r="E118" s="21" t="n">
        <v>69.3</v>
      </c>
      <c r="F118" s="21" t="n">
        <v>223.21</v>
      </c>
      <c r="G118" s="21" t="n">
        <v>3134.5</v>
      </c>
      <c r="H118" s="21" t="n">
        <v>4239.08</v>
      </c>
      <c r="I118" s="21" t="n">
        <v>17748.9</v>
      </c>
      <c r="J118" s="21" t="n">
        <v>26330.88</v>
      </c>
      <c r="K118" s="21" t="n">
        <v>34605.2</v>
      </c>
      <c r="L118" s="21" t="n">
        <v>41397.28</v>
      </c>
      <c r="M118" s="21" t="n">
        <v>47076.89999999999</v>
      </c>
      <c r="N118" s="21" t="n">
        <v>51865.61199999999</v>
      </c>
      <c r="O118" s="21" t="n">
        <v>54420.34</v>
      </c>
    </row>
    <row r="119">
      <c r="A119" s="12" t="inlineStr">
        <is>
          <t>S&amp;M Headcount</t>
        </is>
      </c>
      <c r="B119" s="13" t="inlineStr">
        <is>
          <t>IN</t>
        </is>
      </c>
      <c r="C119" s="13" t="inlineStr">
        <is>
          <t>count</t>
        </is>
      </c>
      <c r="D119" s="14" t="inlineStr">
        <is>
          <t>GTM heads (small org).</t>
        </is>
      </c>
      <c r="E119" s="15" t="n">
        <v>8</v>
      </c>
      <c r="F119" s="15" t="n">
        <v>30</v>
      </c>
      <c r="G119" s="15" t="n">
        <v>70</v>
      </c>
      <c r="H119" s="15" t="n">
        <v>180</v>
      </c>
      <c r="I119" s="15" t="n">
        <v>900</v>
      </c>
      <c r="J119" s="15" t="n">
        <v>1450</v>
      </c>
      <c r="K119" s="15" t="n">
        <v>1900</v>
      </c>
      <c r="L119" s="15" t="n">
        <v>2250</v>
      </c>
      <c r="M119" s="15" t="n">
        <v>2500</v>
      </c>
      <c r="N119" s="15" t="n">
        <v>2700</v>
      </c>
      <c r="O119" s="15" t="n">
        <v>2850</v>
      </c>
    </row>
    <row r="120">
      <c r="A120" s="12" t="inlineStr">
        <is>
          <t>Fully-burdened S&amp;M cash comp ($/head)</t>
        </is>
      </c>
      <c r="B120" s="13" t="inlineStr">
        <is>
          <t>IN</t>
        </is>
      </c>
      <c r="C120" s="13" t="inlineStr">
        <is>
          <t>$</t>
        </is>
      </c>
      <c r="D120" s="14" t="inlineStr">
        <is>
          <t>Loaded comp per S&amp;M head.</t>
        </is>
      </c>
      <c r="E120" s="15" t="n">
        <v>280000</v>
      </c>
      <c r="F120" s="15" t="n">
        <v>290000</v>
      </c>
      <c r="G120" s="15" t="n">
        <v>300000</v>
      </c>
      <c r="H120" s="15" t="n">
        <v>310000</v>
      </c>
      <c r="I120" s="15" t="n">
        <v>320000</v>
      </c>
      <c r="J120" s="15" t="n">
        <v>330000</v>
      </c>
      <c r="K120" s="15" t="n">
        <v>340000</v>
      </c>
      <c r="L120" s="15" t="n">
        <v>350000</v>
      </c>
      <c r="M120" s="15" t="n">
        <v>358000</v>
      </c>
      <c r="N120" s="15" t="n">
        <v>365000</v>
      </c>
      <c r="O120" s="15" t="n">
        <v>372000</v>
      </c>
    </row>
    <row r="121">
      <c r="A121" s="12" t="inlineStr">
        <is>
          <t>S&amp;M personnel cost</t>
        </is>
      </c>
      <c r="B121" s="13" t="inlineStr">
        <is>
          <t>CALC</t>
        </is>
      </c>
      <c r="C121" s="13" t="inlineStr">
        <is>
          <t>$M</t>
        </is>
      </c>
      <c r="D121" s="14" t="inlineStr">
        <is>
          <t>heads x comp.</t>
        </is>
      </c>
      <c r="E121" s="15" t="n">
        <v>2.24</v>
      </c>
      <c r="F121" s="15" t="n">
        <v>8.699999999999999</v>
      </c>
      <c r="G121" s="15" t="n">
        <v>21</v>
      </c>
      <c r="H121" s="15" t="n">
        <v>55.8</v>
      </c>
      <c r="I121" s="15" t="n">
        <v>288</v>
      </c>
      <c r="J121" s="15" t="n">
        <v>478.5</v>
      </c>
      <c r="K121" s="15" t="n">
        <v>646</v>
      </c>
      <c r="L121" s="15" t="n">
        <v>787.5</v>
      </c>
      <c r="M121" s="15" t="n">
        <v>895</v>
      </c>
      <c r="N121" s="15" t="n">
        <v>985.5</v>
      </c>
      <c r="O121" s="15" t="n">
        <v>1060.2</v>
      </c>
    </row>
    <row r="122">
      <c r="A122" s="12" t="inlineStr">
        <is>
          <t>Performance marketing &amp; advertising</t>
        </is>
      </c>
      <c r="B122" s="13" t="inlineStr">
        <is>
          <t>IN</t>
        </is>
      </c>
      <c r="C122" s="13" t="inlineStr">
        <is>
          <t>$M</t>
        </is>
      </c>
      <c r="D122" s="14" t="inlineStr">
        <is>
          <t>Paid acquisition/brand.</t>
        </is>
      </c>
      <c r="E122" s="15" t="n">
        <v>0</v>
      </c>
      <c r="F122" s="15" t="n">
        <v>2</v>
      </c>
      <c r="G122" s="15" t="n">
        <v>30</v>
      </c>
      <c r="H122" s="15" t="n">
        <v>250</v>
      </c>
      <c r="I122" s="15" t="n">
        <v>1000</v>
      </c>
      <c r="J122" s="15" t="n">
        <v>1600</v>
      </c>
      <c r="K122" s="15" t="n">
        <v>2100</v>
      </c>
      <c r="L122" s="15" t="n">
        <v>2550</v>
      </c>
      <c r="M122" s="15" t="n">
        <v>2950</v>
      </c>
      <c r="N122" s="15" t="n">
        <v>3300</v>
      </c>
      <c r="O122" s="15" t="n">
        <v>3600</v>
      </c>
    </row>
    <row r="123">
      <c r="A123" s="12" t="inlineStr">
        <is>
          <t>Events / conferences / sponsorships</t>
        </is>
      </c>
      <c r="B123" s="13" t="inlineStr">
        <is>
          <t>IN</t>
        </is>
      </c>
      <c r="C123" s="13" t="inlineStr">
        <is>
          <t>$M</t>
        </is>
      </c>
      <c r="D123" s="14" t="inlineStr">
        <is>
          <t>Dev conferences/sponsorships.</t>
        </is>
      </c>
      <c r="E123" s="15" t="n">
        <v>0</v>
      </c>
      <c r="F123" s="15" t="n">
        <v>1</v>
      </c>
      <c r="G123" s="15" t="n">
        <v>8</v>
      </c>
      <c r="H123" s="15" t="n">
        <v>45</v>
      </c>
      <c r="I123" s="15" t="n">
        <v>180</v>
      </c>
      <c r="J123" s="15" t="n">
        <v>280</v>
      </c>
      <c r="K123" s="15" t="n">
        <v>370</v>
      </c>
      <c r="L123" s="15" t="n">
        <v>450</v>
      </c>
      <c r="M123" s="15" t="n">
        <v>520</v>
      </c>
      <c r="N123" s="15" t="n">
        <v>580</v>
      </c>
      <c r="O123" s="15" t="n">
        <v>630</v>
      </c>
    </row>
    <row r="124">
      <c r="A124" s="18" t="inlineStr">
        <is>
          <t>Total S&amp;M (ex-SBC)</t>
        </is>
      </c>
      <c r="B124" s="19" t="inlineStr">
        <is>
          <t>CALC</t>
        </is>
      </c>
      <c r="C124" s="19" t="inlineStr">
        <is>
          <t>$M</t>
        </is>
      </c>
      <c r="D124" s="20" t="inlineStr">
        <is>
          <t>Personnel + marketing + events.</t>
        </is>
      </c>
      <c r="E124" s="21" t="n">
        <v>2.24</v>
      </c>
      <c r="F124" s="21" t="n">
        <v>11.7</v>
      </c>
      <c r="G124" s="21" t="n">
        <v>59</v>
      </c>
      <c r="H124" s="21" t="n">
        <v>350.8</v>
      </c>
      <c r="I124" s="21" t="n">
        <v>1468</v>
      </c>
      <c r="J124" s="21" t="n">
        <v>2358.5</v>
      </c>
      <c r="K124" s="21" t="n">
        <v>3116</v>
      </c>
      <c r="L124" s="21" t="n">
        <v>3787.5</v>
      </c>
      <c r="M124" s="21" t="n">
        <v>4365</v>
      </c>
      <c r="N124" s="21" t="n">
        <v>4865.5</v>
      </c>
      <c r="O124" s="21" t="n">
        <v>5290.2</v>
      </c>
    </row>
    <row r="125">
      <c r="A125" s="12" t="inlineStr">
        <is>
          <t>G&amp;A headcount</t>
        </is>
      </c>
      <c r="B125" s="13" t="inlineStr">
        <is>
          <t>IN</t>
        </is>
      </c>
      <c r="C125" s="13" t="inlineStr">
        <is>
          <t>Count</t>
        </is>
      </c>
      <c r="D125" s="14" t="inlineStr">
        <is>
          <t>Finance/legal/people/ops.</t>
        </is>
      </c>
      <c r="E125" s="15" t="n">
        <v>12</v>
      </c>
      <c r="F125" s="15" t="n">
        <v>32</v>
      </c>
      <c r="G125" s="15" t="n">
        <v>60</v>
      </c>
      <c r="H125" s="15" t="n">
        <v>170</v>
      </c>
      <c r="I125" s="15" t="n">
        <v>850</v>
      </c>
      <c r="J125" s="15" t="n">
        <v>1250</v>
      </c>
      <c r="K125" s="15" t="n">
        <v>1600</v>
      </c>
      <c r="L125" s="15" t="n">
        <v>1850</v>
      </c>
      <c r="M125" s="15" t="n">
        <v>2000</v>
      </c>
      <c r="N125" s="15" t="n">
        <v>2200</v>
      </c>
      <c r="O125" s="15" t="n">
        <v>2350</v>
      </c>
    </row>
    <row r="126">
      <c r="A126" s="12" t="inlineStr">
        <is>
          <t>Fully-burdened G&amp;A salary ($/head)</t>
        </is>
      </c>
      <c r="B126" s="13" t="inlineStr">
        <is>
          <t>IN</t>
        </is>
      </c>
      <c r="C126" s="13" t="inlineStr">
        <is>
          <t>$</t>
        </is>
      </c>
      <c r="D126" s="14" t="inlineStr">
        <is>
          <t>Loaded comp per G&amp;A head.</t>
        </is>
      </c>
      <c r="E126" s="15" t="n">
        <v>260000</v>
      </c>
      <c r="F126" s="15" t="n">
        <v>270000</v>
      </c>
      <c r="G126" s="15" t="n">
        <v>280000</v>
      </c>
      <c r="H126" s="15" t="n">
        <v>290000</v>
      </c>
      <c r="I126" s="15" t="n">
        <v>300000</v>
      </c>
      <c r="J126" s="15" t="n">
        <v>308000</v>
      </c>
      <c r="K126" s="15" t="n">
        <v>315000</v>
      </c>
      <c r="L126" s="15" t="n">
        <v>322000</v>
      </c>
      <c r="M126" s="15" t="n">
        <v>328000</v>
      </c>
      <c r="N126" s="15" t="n">
        <v>334000</v>
      </c>
      <c r="O126" s="15" t="n">
        <v>340000</v>
      </c>
    </row>
    <row r="127">
      <c r="A127" s="12" t="inlineStr">
        <is>
          <t>G&amp;A personnel cost</t>
        </is>
      </c>
      <c r="B127" s="13" t="inlineStr">
        <is>
          <t>CALC</t>
        </is>
      </c>
      <c r="C127" s="13" t="inlineStr">
        <is>
          <t>$M</t>
        </is>
      </c>
      <c r="D127" s="14" t="inlineStr">
        <is>
          <t>heads x comp.</t>
        </is>
      </c>
      <c r="E127" s="15" t="n">
        <v>3.12</v>
      </c>
      <c r="F127" s="15" t="n">
        <v>8.640000000000001</v>
      </c>
      <c r="G127" s="15" t="n">
        <v>16.8</v>
      </c>
      <c r="H127" s="15" t="n">
        <v>49.3</v>
      </c>
      <c r="I127" s="15" t="n">
        <v>255</v>
      </c>
      <c r="J127" s="15" t="n">
        <v>385</v>
      </c>
      <c r="K127" s="15" t="n">
        <v>504</v>
      </c>
      <c r="L127" s="15" t="n">
        <v>595.7</v>
      </c>
      <c r="M127" s="15" t="n">
        <v>656</v>
      </c>
      <c r="N127" s="15" t="n">
        <v>734.8</v>
      </c>
      <c r="O127" s="15" t="n">
        <v>799</v>
      </c>
    </row>
    <row r="128">
      <c r="A128" s="12" t="inlineStr">
        <is>
          <t>Recurring outside legal counsel</t>
        </is>
      </c>
      <c r="B128" s="13" t="inlineStr">
        <is>
          <t>IN</t>
        </is>
      </c>
      <c r="C128" s="13" t="inlineStr">
        <is>
          <t>$M</t>
        </is>
      </c>
      <c r="D128" s="14" t="inlineStr">
        <is>
          <t>Outside counsel run-rate.</t>
        </is>
      </c>
      <c r="E128" s="15" t="n">
        <v>1</v>
      </c>
      <c r="F128" s="15" t="n">
        <v>3</v>
      </c>
      <c r="G128" s="15" t="n">
        <v>15</v>
      </c>
      <c r="H128" s="15" t="n">
        <v>60</v>
      </c>
      <c r="I128" s="15" t="n">
        <v>180</v>
      </c>
      <c r="J128" s="15" t="n">
        <v>260</v>
      </c>
      <c r="K128" s="15" t="n">
        <v>330</v>
      </c>
      <c r="L128" s="15" t="n">
        <v>400</v>
      </c>
      <c r="M128" s="15" t="n">
        <v>460</v>
      </c>
      <c r="N128" s="15" t="n">
        <v>510</v>
      </c>
      <c r="O128" s="15" t="n">
        <v>550</v>
      </c>
    </row>
    <row r="129">
      <c r="A129" s="12" t="inlineStr">
        <is>
          <t>Corporate insurance (D&amp;O, cyber)</t>
        </is>
      </c>
      <c r="B129" s="13" t="inlineStr">
        <is>
          <t>IN</t>
        </is>
      </c>
      <c r="C129" s="13" t="inlineStr">
        <is>
          <t>$M</t>
        </is>
      </c>
      <c r="D129" s="14" t="inlineStr">
        <is>
          <t>D&amp;O/cyber premiums.</t>
        </is>
      </c>
      <c r="E129" s="15" t="n">
        <v>0</v>
      </c>
      <c r="F129" s="15" t="n">
        <v>1</v>
      </c>
      <c r="G129" s="15" t="n">
        <v>6</v>
      </c>
      <c r="H129" s="15" t="n">
        <v>30</v>
      </c>
      <c r="I129" s="15" t="n">
        <v>110</v>
      </c>
      <c r="J129" s="15" t="n">
        <v>170</v>
      </c>
      <c r="K129" s="15" t="n">
        <v>220</v>
      </c>
      <c r="L129" s="15" t="n">
        <v>270</v>
      </c>
      <c r="M129" s="15" t="n">
        <v>310</v>
      </c>
      <c r="N129" s="15" t="n">
        <v>345</v>
      </c>
      <c r="O129" s="15" t="n">
        <v>375</v>
      </c>
    </row>
    <row r="130">
      <c r="A130" s="12" t="inlineStr">
        <is>
          <t>Real estate and office leases (office only)</t>
        </is>
      </c>
      <c r="B130" s="13" t="inlineStr">
        <is>
          <t>IN</t>
        </is>
      </c>
      <c r="C130" s="13" t="inlineStr">
        <is>
          <t>$M</t>
        </is>
      </c>
      <c r="D130" s="14" t="inlineStr">
        <is>
          <t>Office leases (ex-datacenter).</t>
        </is>
      </c>
      <c r="E130" s="15" t="n">
        <v>1</v>
      </c>
      <c r="F130" s="15" t="n">
        <v>4</v>
      </c>
      <c r="G130" s="15" t="n">
        <v>20</v>
      </c>
      <c r="H130" s="15" t="n">
        <v>80</v>
      </c>
      <c r="I130" s="15" t="n">
        <v>240</v>
      </c>
      <c r="J130" s="15" t="n">
        <v>340</v>
      </c>
      <c r="K130" s="15" t="n">
        <v>430</v>
      </c>
      <c r="L130" s="15" t="n">
        <v>510</v>
      </c>
      <c r="M130" s="15" t="n">
        <v>580</v>
      </c>
      <c r="N130" s="15" t="n">
        <v>640</v>
      </c>
      <c r="O130" s="15" t="n">
        <v>690</v>
      </c>
    </row>
    <row r="131">
      <c r="A131" s="12" t="inlineStr">
        <is>
          <t>Public-co readiness / audit / SOX</t>
        </is>
      </c>
      <c r="B131" s="13" t="inlineStr">
        <is>
          <t>IN</t>
        </is>
      </c>
      <c r="C131" s="13" t="inlineStr">
        <is>
          <t>$M</t>
        </is>
      </c>
      <c r="D131" s="14" t="inlineStr">
        <is>
          <t>Audit/SOX/IPO-readiness (peaks ~2026).</t>
        </is>
      </c>
      <c r="E131" s="15" t="n">
        <v>0</v>
      </c>
      <c r="F131" s="15" t="n">
        <v>0</v>
      </c>
      <c r="G131" s="15" t="n">
        <v>2</v>
      </c>
      <c r="H131" s="15" t="n">
        <v>15</v>
      </c>
      <c r="I131" s="15" t="n">
        <v>80</v>
      </c>
      <c r="J131" s="15" t="n">
        <v>120</v>
      </c>
      <c r="K131" s="15" t="n">
        <v>100</v>
      </c>
      <c r="L131" s="15" t="n">
        <v>90</v>
      </c>
      <c r="M131" s="15" t="n">
        <v>85</v>
      </c>
      <c r="N131" s="15" t="n">
        <v>82</v>
      </c>
      <c r="O131" s="15" t="n">
        <v>80</v>
      </c>
    </row>
    <row r="132">
      <c r="A132" s="18" t="inlineStr">
        <is>
          <t>Total G&amp;A (ex-SBC)</t>
        </is>
      </c>
      <c r="B132" s="19" t="inlineStr">
        <is>
          <t>CALC</t>
        </is>
      </c>
      <c r="C132" s="19" t="inlineStr">
        <is>
          <t>$M</t>
        </is>
      </c>
      <c r="D132" s="20" t="inlineStr">
        <is>
          <t>Personnel + legal + insurance + RE + SOX.</t>
        </is>
      </c>
      <c r="E132" s="21" t="n">
        <v>5.12</v>
      </c>
      <c r="F132" s="21" t="n">
        <v>16.64</v>
      </c>
      <c r="G132" s="21" t="n">
        <v>59.8</v>
      </c>
      <c r="H132" s="21" t="n">
        <v>234.3</v>
      </c>
      <c r="I132" s="21" t="n">
        <v>865</v>
      </c>
      <c r="J132" s="21" t="n">
        <v>1275</v>
      </c>
      <c r="K132" s="21" t="n">
        <v>1584</v>
      </c>
      <c r="L132" s="21" t="n">
        <v>1865.7</v>
      </c>
      <c r="M132" s="21" t="n">
        <v>2091</v>
      </c>
      <c r="N132" s="21" t="n">
        <v>2311.8</v>
      </c>
      <c r="O132" s="21" t="n">
        <v>2494</v>
      </c>
    </row>
    <row r="133">
      <c r="A133" s="12" t="inlineStr">
        <is>
          <t>One-time litigation services</t>
        </is>
      </c>
      <c r="B133" s="13" t="inlineStr">
        <is>
          <t>IN</t>
        </is>
      </c>
      <c r="C133" s="13" t="inlineStr">
        <is>
          <t>$M</t>
        </is>
      </c>
      <c r="D133" s="14" t="inlineStr">
        <is>
          <t>Non-recurring litigation.</t>
        </is>
      </c>
      <c r="E133" s="15" t="n">
        <v>0</v>
      </c>
      <c r="F133" s="15" t="n">
        <v>0</v>
      </c>
      <c r="G133" s="15" t="n">
        <v>5</v>
      </c>
      <c r="H133" s="15" t="n">
        <v>40</v>
      </c>
      <c r="I133" s="15" t="n">
        <v>150</v>
      </c>
      <c r="J133" s="15" t="n">
        <v>90</v>
      </c>
      <c r="K133" s="15" t="n">
        <v>60</v>
      </c>
      <c r="L133" s="15" t="n">
        <v>50</v>
      </c>
      <c r="M133" s="15" t="n">
        <v>45</v>
      </c>
      <c r="N133" s="15" t="n">
        <v>40</v>
      </c>
      <c r="O133" s="15" t="n">
        <v>40</v>
      </c>
    </row>
    <row r="134">
      <c r="A134" s="11" t="inlineStr">
        <is>
          <t>STOCK BASED COMP</t>
        </is>
      </c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</row>
    <row r="135">
      <c r="A135" s="12" t="inlineStr">
        <is>
          <t>SBC issue rate (% of base cash comp)</t>
        </is>
      </c>
      <c r="B135" s="13" t="inlineStr">
        <is>
          <t>IN</t>
        </is>
      </c>
      <c r="C135" s="13" t="inlineStr">
        <is>
          <t>%</t>
        </is>
      </c>
      <c r="D135" s="14" t="inlineStr">
        <is>
          <t>RSU grant value as % of cash comp.</t>
        </is>
      </c>
      <c r="E135" s="16" t="n">
        <v>0.4</v>
      </c>
      <c r="F135" s="16" t="n">
        <v>0.45</v>
      </c>
      <c r="G135" s="16" t="n">
        <v>0.5</v>
      </c>
      <c r="H135" s="16" t="n">
        <v>0.55</v>
      </c>
      <c r="I135" s="16" t="n">
        <v>0.55</v>
      </c>
      <c r="J135" s="16" t="n">
        <v>0.5</v>
      </c>
      <c r="K135" s="16" t="n">
        <v>0.45</v>
      </c>
      <c r="L135" s="16" t="n">
        <v>0.42</v>
      </c>
      <c r="M135" s="16" t="n">
        <v>0.4</v>
      </c>
      <c r="N135" s="16" t="n">
        <v>0.38</v>
      </c>
      <c r="O135" s="16" t="n">
        <v>0.36</v>
      </c>
    </row>
    <row r="136">
      <c r="A136" s="12" t="inlineStr">
        <is>
          <t>R&amp;D SBC</t>
        </is>
      </c>
      <c r="B136" s="13" t="inlineStr">
        <is>
          <t>CALC</t>
        </is>
      </c>
      <c r="C136" s="13" t="inlineStr">
        <is>
          <t>$M</t>
        </is>
      </c>
      <c r="D136" s="14" t="inlineStr">
        <is>
          <t>R&amp;D cash x SBC rate.</t>
        </is>
      </c>
      <c r="E136" s="15" t="n">
        <v>6.4</v>
      </c>
      <c r="F136" s="15" t="n">
        <v>24.57</v>
      </c>
      <c r="G136" s="15" t="n">
        <v>60.75</v>
      </c>
      <c r="H136" s="15" t="n">
        <v>184.8</v>
      </c>
      <c r="I136" s="15" t="n">
        <v>929.5000000000001</v>
      </c>
      <c r="J136" s="15" t="n">
        <v>1308</v>
      </c>
      <c r="K136" s="15" t="n">
        <v>1525.5</v>
      </c>
      <c r="L136" s="15" t="n">
        <v>1680.84</v>
      </c>
      <c r="M136" s="15" t="n">
        <v>1785</v>
      </c>
      <c r="N136" s="15" t="n">
        <v>1816.21</v>
      </c>
      <c r="O136" s="15" t="n">
        <v>1837.62</v>
      </c>
    </row>
    <row r="137">
      <c r="A137" s="12" t="inlineStr">
        <is>
          <t>S&amp;M SBC</t>
        </is>
      </c>
      <c r="B137" s="13" t="inlineStr">
        <is>
          <t>CALC</t>
        </is>
      </c>
      <c r="C137" s="13" t="inlineStr">
        <is>
          <t>$M</t>
        </is>
      </c>
      <c r="D137" s="14" t="inlineStr">
        <is>
          <t>S&amp;M cash x SBC rate.</t>
        </is>
      </c>
      <c r="E137" s="15" t="n">
        <v>0.8960000000000001</v>
      </c>
      <c r="F137" s="15" t="n">
        <v>3.915</v>
      </c>
      <c r="G137" s="15" t="n">
        <v>10.5</v>
      </c>
      <c r="H137" s="15" t="n">
        <v>30.69</v>
      </c>
      <c r="I137" s="15" t="n">
        <v>158.4</v>
      </c>
      <c r="J137" s="15" t="n">
        <v>239.25</v>
      </c>
      <c r="K137" s="15" t="n">
        <v>290.7</v>
      </c>
      <c r="L137" s="15" t="n">
        <v>330.75</v>
      </c>
      <c r="M137" s="15" t="n">
        <v>358</v>
      </c>
      <c r="N137" s="15" t="n">
        <v>374.49</v>
      </c>
      <c r="O137" s="15" t="n">
        <v>381.672</v>
      </c>
    </row>
    <row r="138">
      <c r="A138" s="12" t="inlineStr">
        <is>
          <t>G&amp;A SBC</t>
        </is>
      </c>
      <c r="B138" s="13" t="inlineStr">
        <is>
          <t>CALC</t>
        </is>
      </c>
      <c r="C138" s="13" t="inlineStr">
        <is>
          <t>$M</t>
        </is>
      </c>
      <c r="D138" s="14" t="inlineStr">
        <is>
          <t>G&amp;A cash x SBC rate.</t>
        </is>
      </c>
      <c r="E138" s="15" t="n">
        <v>1.248</v>
      </c>
      <c r="F138" s="15" t="n">
        <v>3.888</v>
      </c>
      <c r="G138" s="15" t="n">
        <v>8.4</v>
      </c>
      <c r="H138" s="15" t="n">
        <v>27.115</v>
      </c>
      <c r="I138" s="15" t="n">
        <v>140.25</v>
      </c>
      <c r="J138" s="15" t="n">
        <v>192.5</v>
      </c>
      <c r="K138" s="15" t="n">
        <v>226.8</v>
      </c>
      <c r="L138" s="15" t="n">
        <v>250.194</v>
      </c>
      <c r="M138" s="15" t="n">
        <v>262.4</v>
      </c>
      <c r="N138" s="15" t="n">
        <v>279.224</v>
      </c>
      <c r="O138" s="15" t="n">
        <v>287.64</v>
      </c>
    </row>
    <row r="139">
      <c r="A139" s="18" t="inlineStr">
        <is>
          <t>Total SBC</t>
        </is>
      </c>
      <c r="B139" s="19" t="inlineStr">
        <is>
          <t>CALC</t>
        </is>
      </c>
      <c r="C139" s="19" t="inlineStr">
        <is>
          <t>$M</t>
        </is>
      </c>
      <c r="D139" s="20" t="inlineStr">
        <is>
          <t>Sum of function SBC.</t>
        </is>
      </c>
      <c r="E139" s="21" t="n">
        <v>8.544</v>
      </c>
      <c r="F139" s="21" t="n">
        <v>32.373</v>
      </c>
      <c r="G139" s="21" t="n">
        <v>79.65000000000001</v>
      </c>
      <c r="H139" s="21" t="n">
        <v>242.605</v>
      </c>
      <c r="I139" s="21" t="n">
        <v>1228.15</v>
      </c>
      <c r="J139" s="21" t="n">
        <v>1739.75</v>
      </c>
      <c r="K139" s="21" t="n">
        <v>2043</v>
      </c>
      <c r="L139" s="21" t="n">
        <v>2261.784</v>
      </c>
      <c r="M139" s="21" t="n">
        <v>2405.4</v>
      </c>
      <c r="N139" s="21" t="n">
        <v>2469.924</v>
      </c>
      <c r="O139" s="21" t="n">
        <v>2506.932</v>
      </c>
    </row>
    <row r="140">
      <c r="A140" s="11" t="inlineStr">
        <is>
          <t>DEPRECIATION &amp; AMORTIZATION</t>
        </is>
      </c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</row>
    <row r="141">
      <c r="A141" s="12" t="inlineStr">
        <is>
          <t>Amort life - models (yrs)</t>
        </is>
      </c>
      <c r="B141" s="13" t="inlineStr">
        <is>
          <t>IN</t>
        </is>
      </c>
      <c r="C141" s="13" t="inlineStr">
        <is>
          <t>yr</t>
        </is>
      </c>
      <c r="D141" s="14" t="inlineStr">
        <is>
          <t>Life of capitalized models.</t>
        </is>
      </c>
      <c r="E141" s="26" t="n">
        <v>2</v>
      </c>
      <c r="F141" s="26" t="n">
        <v>2</v>
      </c>
      <c r="G141" s="26" t="n">
        <v>2</v>
      </c>
      <c r="H141" s="26" t="n">
        <v>2</v>
      </c>
      <c r="I141" s="26" t="n">
        <v>2</v>
      </c>
      <c r="J141" s="26" t="n">
        <v>2</v>
      </c>
      <c r="K141" s="26" t="n">
        <v>2</v>
      </c>
      <c r="L141" s="26" t="n">
        <v>2</v>
      </c>
      <c r="M141" s="26" t="n">
        <v>2</v>
      </c>
      <c r="N141" s="26" t="n">
        <v>2</v>
      </c>
      <c r="O141" s="26" t="n">
        <v>2</v>
      </c>
    </row>
    <row r="142">
      <c r="A142" s="12" t="inlineStr">
        <is>
          <t>Amort of capitalized frontier models</t>
        </is>
      </c>
      <c r="B142" s="13" t="inlineStr">
        <is>
          <t>CALC</t>
        </is>
      </c>
      <c r="C142" s="13" t="inlineStr">
        <is>
          <t>$M</t>
        </is>
      </c>
      <c r="D142" s="14" t="inlineStr">
        <is>
          <t>2-yr straight-line of cap pool.</t>
        </is>
      </c>
      <c r="E142" s="15" t="n">
        <v>6.194999999999999</v>
      </c>
      <c r="F142" s="15" t="n">
        <v>24.249</v>
      </c>
      <c r="G142" s="15" t="n">
        <v>389.754</v>
      </c>
      <c r="H142" s="15" t="n">
        <v>744.462</v>
      </c>
      <c r="I142" s="15" t="n">
        <v>2161.347</v>
      </c>
      <c r="J142" s="15" t="n">
        <v>4400.396999999999</v>
      </c>
      <c r="K142" s="15" t="n">
        <v>6052.691999999999</v>
      </c>
      <c r="L142" s="15" t="n">
        <v>7564.271999999999</v>
      </c>
      <c r="M142" s="15" t="n">
        <v>8794.8645</v>
      </c>
      <c r="N142" s="15" t="n">
        <v>9839.5893</v>
      </c>
      <c r="O142" s="15" t="n">
        <v>10555.6428</v>
      </c>
    </row>
    <row r="143">
      <c r="A143" s="12" t="inlineStr">
        <is>
          <t>Owned GPU / datacenter capex</t>
        </is>
      </c>
      <c r="B143" s="13" t="inlineStr">
        <is>
          <t>IN</t>
        </is>
      </c>
      <c r="C143" s="13" t="inlineStr">
        <is>
          <t>$M</t>
        </is>
      </c>
      <c r="D143" s="14" t="inlineStr">
        <is>
          <t>Owned hardware capex (Fluidstack $50B ramps 2026+).</t>
        </is>
      </c>
      <c r="E143" s="15" t="n">
        <v>2</v>
      </c>
      <c r="F143" s="15" t="n">
        <v>8</v>
      </c>
      <c r="G143" s="15" t="n">
        <v>40</v>
      </c>
      <c r="H143" s="15" t="n">
        <v>220</v>
      </c>
      <c r="I143" s="15" t="n">
        <v>1400</v>
      </c>
      <c r="J143" s="15" t="n">
        <v>3200</v>
      </c>
      <c r="K143" s="15" t="n">
        <v>5000</v>
      </c>
      <c r="L143" s="15" t="n">
        <v>6500</v>
      </c>
      <c r="M143" s="15" t="n">
        <v>7500</v>
      </c>
      <c r="N143" s="15" t="n">
        <v>8200</v>
      </c>
      <c r="O143" s="15" t="n">
        <v>8800</v>
      </c>
    </row>
    <row r="144">
      <c r="A144" s="12" t="inlineStr">
        <is>
          <t>Depreciation life - HW (yrs)</t>
        </is>
      </c>
      <c r="B144" s="13" t="inlineStr">
        <is>
          <t>IN</t>
        </is>
      </c>
      <c r="C144" s="13" t="inlineStr">
        <is>
          <t>yr</t>
        </is>
      </c>
      <c r="D144" s="14" t="inlineStr">
        <is>
          <t>Life of owned accelerators.</t>
        </is>
      </c>
      <c r="E144" s="26" t="n">
        <v>4</v>
      </c>
      <c r="F144" s="26" t="n">
        <v>4</v>
      </c>
      <c r="G144" s="26" t="n">
        <v>4</v>
      </c>
      <c r="H144" s="26" t="n">
        <v>5</v>
      </c>
      <c r="I144" s="26" t="n">
        <v>5</v>
      </c>
      <c r="J144" s="26" t="n">
        <v>5</v>
      </c>
      <c r="K144" s="26" t="n">
        <v>6</v>
      </c>
      <c r="L144" s="26" t="n">
        <v>6</v>
      </c>
      <c r="M144" s="26" t="n">
        <v>6</v>
      </c>
      <c r="N144" s="26" t="n">
        <v>6</v>
      </c>
      <c r="O144" s="26" t="n">
        <v>6</v>
      </c>
    </row>
    <row r="145">
      <c r="A145" s="12" t="inlineStr">
        <is>
          <t>Depreciation of owned GPU / datacenter</t>
        </is>
      </c>
      <c r="B145" s="13" t="inlineStr">
        <is>
          <t>CALC</t>
        </is>
      </c>
      <c r="C145" s="13" t="inlineStr">
        <is>
          <t>$M</t>
        </is>
      </c>
      <c r="D145" s="14" t="inlineStr">
        <is>
          <t>Vintage straight-line depreciation.</t>
        </is>
      </c>
      <c r="E145" s="15" t="n">
        <v>0.5</v>
      </c>
      <c r="F145" s="15" t="n">
        <v>2.5</v>
      </c>
      <c r="G145" s="15" t="n">
        <v>12.5</v>
      </c>
      <c r="H145" s="15" t="n">
        <v>56.5</v>
      </c>
      <c r="I145" s="15" t="n">
        <v>336</v>
      </c>
      <c r="J145" s="15" t="n">
        <v>974</v>
      </c>
      <c r="K145" s="15" t="n">
        <v>1797.333333333333</v>
      </c>
      <c r="L145" s="15" t="n">
        <v>2880.666666666667</v>
      </c>
      <c r="M145" s="15" t="n">
        <v>4086.666666666667</v>
      </c>
      <c r="N145" s="15" t="n">
        <v>5173.333333333334</v>
      </c>
      <c r="O145" s="15" t="n">
        <v>6000</v>
      </c>
    </row>
    <row r="146">
      <c r="A146" s="12" t="inlineStr">
        <is>
          <t>Amort of prepaid cloud commits (reclass)</t>
        </is>
      </c>
      <c r="B146" s="13" t="inlineStr">
        <is>
          <t>MEMO</t>
        </is>
      </c>
      <c r="C146" s="13" t="inlineStr">
        <is>
          <t>$M</t>
        </is>
      </c>
      <c r="D146" s="14" t="inlineStr">
        <is>
          <t>Reclass memo. NOT added to P&amp;L D&amp;A (guard).</t>
        </is>
      </c>
      <c r="E146" s="15" t="n">
        <v>0</v>
      </c>
      <c r="F146" s="15" t="n">
        <v>0</v>
      </c>
      <c r="G146" s="15" t="n">
        <v>20</v>
      </c>
      <c r="H146" s="15" t="n">
        <v>120</v>
      </c>
      <c r="I146" s="15" t="n">
        <v>500</v>
      </c>
      <c r="J146" s="15" t="n">
        <v>800</v>
      </c>
      <c r="K146" s="15" t="n">
        <v>1050</v>
      </c>
      <c r="L146" s="15" t="n">
        <v>1300</v>
      </c>
      <c r="M146" s="15" t="n">
        <v>1500</v>
      </c>
      <c r="N146" s="15" t="n">
        <v>1650</v>
      </c>
      <c r="O146" s="15" t="n">
        <v>1800</v>
      </c>
    </row>
    <row r="147">
      <c r="A147" s="18" t="inlineStr">
        <is>
          <t>Total D&amp;A</t>
        </is>
      </c>
      <c r="B147" s="19" t="inlineStr">
        <is>
          <t>CALC</t>
        </is>
      </c>
      <c r="C147" s="19" t="inlineStr">
        <is>
          <t>$M</t>
        </is>
      </c>
      <c r="D147" s="20" t="inlineStr">
        <is>
          <t>Model amort + owned HW dep (prepaid-cloud excluded).</t>
        </is>
      </c>
      <c r="E147" s="21" t="n">
        <v>6.694999999999999</v>
      </c>
      <c r="F147" s="21" t="n">
        <v>26.749</v>
      </c>
      <c r="G147" s="21" t="n">
        <v>402.254</v>
      </c>
      <c r="H147" s="21" t="n">
        <v>800.962</v>
      </c>
      <c r="I147" s="21" t="n">
        <v>2497.347</v>
      </c>
      <c r="J147" s="21" t="n">
        <v>5374.396999999999</v>
      </c>
      <c r="K147" s="21" t="n">
        <v>7850.025333333333</v>
      </c>
      <c r="L147" s="21" t="n">
        <v>10444.93866666667</v>
      </c>
      <c r="M147" s="21" t="n">
        <v>12881.53116666667</v>
      </c>
      <c r="N147" s="21" t="n">
        <v>15012.92263333333</v>
      </c>
      <c r="O147" s="21" t="n">
        <v>16555.6428</v>
      </c>
    </row>
    <row r="148">
      <c r="A148" s="11" t="inlineStr">
        <is>
          <t>P&amp;L SUMMARY (memo)</t>
        </is>
      </c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</row>
    <row r="149">
      <c r="A149" s="18" t="inlineStr">
        <is>
          <t>Gross profit</t>
        </is>
      </c>
      <c r="B149" s="19" t="inlineStr">
        <is>
          <t>CALC</t>
        </is>
      </c>
      <c r="C149" s="19" t="inlineStr">
        <is>
          <t>$M</t>
        </is>
      </c>
      <c r="D149" s="20" t="inlineStr">
        <is>
          <t>Revenue - cost of revenue.</t>
        </is>
      </c>
      <c r="E149" s="21" t="n">
        <v>-0.713948051948055</v>
      </c>
      <c r="F149" s="21" t="n">
        <v>25.34560770360277</v>
      </c>
      <c r="G149" s="21" t="n">
        <v>293.2794843799995</v>
      </c>
      <c r="H149" s="21" t="n">
        <v>2857.067470684017</v>
      </c>
      <c r="I149" s="21" t="n">
        <v>15534.71994064993</v>
      </c>
      <c r="J149" s="21" t="n">
        <v>28781.38300788602</v>
      </c>
      <c r="K149" s="21" t="n">
        <v>44995.32050504911</v>
      </c>
      <c r="L149" s="21" t="n">
        <v>63191.46958635372</v>
      </c>
      <c r="M149" s="21" t="n">
        <v>82297.38877278403</v>
      </c>
      <c r="N149" s="21" t="n">
        <v>101346.7560279177</v>
      </c>
      <c r="O149" s="21" t="n">
        <v>118870.2068658625</v>
      </c>
    </row>
    <row r="150">
      <c r="A150" s="18" t="inlineStr">
        <is>
          <t>Operating income (ex-SBC)</t>
        </is>
      </c>
      <c r="B150" s="19" t="inlineStr">
        <is>
          <t>CALC</t>
        </is>
      </c>
      <c r="C150" s="19" t="inlineStr">
        <is>
          <t>$M</t>
        </is>
      </c>
      <c r="D150" s="20" t="inlineStr">
        <is>
          <t>GP - R&amp;D - S&amp;M - G&amp;A - D&amp;A.</t>
        </is>
      </c>
      <c r="E150" s="21" t="n">
        <v>-84.06894805194804</v>
      </c>
      <c r="F150" s="21" t="n">
        <v>-252.9533922963972</v>
      </c>
      <c r="G150" s="21" t="n">
        <v>-3362.274515620001</v>
      </c>
      <c r="H150" s="21" t="n">
        <v>-2768.074529315983</v>
      </c>
      <c r="I150" s="21" t="n">
        <v>-7044.52705935007</v>
      </c>
      <c r="J150" s="21" t="n">
        <v>-6557.393992113977</v>
      </c>
      <c r="K150" s="21" t="n">
        <v>-2159.904828284221</v>
      </c>
      <c r="L150" s="21" t="n">
        <v>5696.050919687055</v>
      </c>
      <c r="M150" s="21" t="n">
        <v>15882.95760611737</v>
      </c>
      <c r="N150" s="21" t="n">
        <v>27290.92139458437</v>
      </c>
      <c r="O150" s="21" t="n">
        <v>40110.02406586251</v>
      </c>
    </row>
    <row r="151">
      <c r="A151" s="18" t="inlineStr">
        <is>
          <t>Operating income (incl-SBC)</t>
        </is>
      </c>
      <c r="B151" s="19" t="inlineStr">
        <is>
          <t>CALC</t>
        </is>
      </c>
      <c r="C151" s="19" t="inlineStr">
        <is>
          <t>$M</t>
        </is>
      </c>
      <c r="D151" s="20" t="inlineStr">
        <is>
          <t>After stock-based comp.</t>
        </is>
      </c>
      <c r="E151" s="21" t="n">
        <v>-92.61294805194804</v>
      </c>
      <c r="F151" s="21" t="n">
        <v>-285.3263922963972</v>
      </c>
      <c r="G151" s="21" t="n">
        <v>-3441.924515620001</v>
      </c>
      <c r="H151" s="21" t="n">
        <v>-3010.679529315983</v>
      </c>
      <c r="I151" s="21" t="n">
        <v>-8272.67705935007</v>
      </c>
      <c r="J151" s="21" t="n">
        <v>-8297.143992113977</v>
      </c>
      <c r="K151" s="21" t="n">
        <v>-4202.904828284221</v>
      </c>
      <c r="L151" s="21" t="n">
        <v>3434.266919687055</v>
      </c>
      <c r="M151" s="21" t="n">
        <v>13477.55760611737</v>
      </c>
      <c r="N151" s="21" t="n">
        <v>24820.99739458437</v>
      </c>
      <c r="O151" s="21" t="n">
        <v>37603.09206586251</v>
      </c>
    </row>
    <row r="152">
      <c r="A152" s="18" t="inlineStr">
        <is>
          <t>Operating margin % (ex-SBC)</t>
        </is>
      </c>
      <c r="B152" s="19" t="inlineStr">
        <is>
          <t>CALC</t>
        </is>
      </c>
      <c r="C152" s="19" t="inlineStr">
        <is>
          <t>%</t>
        </is>
      </c>
      <c r="D152" s="20" t="inlineStr">
        <is>
          <t>Operating income / revenue.</t>
        </is>
      </c>
      <c r="E152" s="25" t="n">
        <v>-8.406894805194804</v>
      </c>
      <c r="F152" s="25" t="n">
        <v>-2.975922262310555</v>
      </c>
      <c r="G152" s="25" t="n">
        <v>-5.603790859366668</v>
      </c>
      <c r="H152" s="25" t="n">
        <v>-0.591468916520509</v>
      </c>
      <c r="I152" s="25" t="n">
        <v>-0.2997671089085136</v>
      </c>
      <c r="J152" s="25" t="n">
        <v>-0.1555359106288894</v>
      </c>
      <c r="K152" s="25" t="n">
        <v>-0.03333186463401576</v>
      </c>
      <c r="L152" s="25" t="n">
        <v>0.06357199687150732</v>
      </c>
      <c r="M152" s="25" t="n">
        <v>0.1384135739095196</v>
      </c>
      <c r="N152" s="25" t="n">
        <v>0.1962810802257219</v>
      </c>
      <c r="O152" s="25" t="n">
        <v>0.2503746820590669</v>
      </c>
    </row>
    <row r="153">
      <c r="A153" s="11" t="inlineStr">
        <is>
          <t>GUARDS AND CHECKS</t>
        </is>
      </c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</row>
    <row r="154">
      <c r="A154" s="12" t="inlineStr">
        <is>
          <t>Model mix sums to 100%</t>
        </is>
      </c>
      <c r="E154" s="27" t="inlineStr">
        <is>
          <t>PASS</t>
        </is>
      </c>
    </row>
    <row r="155">
      <c r="A155" s="12" t="inlineStr">
        <is>
          <t>Streams + API = anchor</t>
        </is>
      </c>
      <c r="E155" s="27" t="inlineStr">
        <is>
          <t>PASS</t>
        </is>
      </c>
    </row>
    <row r="156">
      <c r="A156" s="12" t="inlineStr">
        <is>
          <t>API revenue non-negative</t>
        </is>
      </c>
      <c r="E156" s="27" t="inlineStr">
        <is>
          <t>PASS</t>
        </is>
      </c>
    </row>
    <row r="157">
      <c r="A157" s="12" t="inlineStr">
        <is>
          <t>CC overage tokens NOT in API pool</t>
        </is>
      </c>
      <c r="E157" s="27" t="inlineStr">
        <is>
          <t>PASS</t>
        </is>
      </c>
    </row>
    <row r="158">
      <c r="A158" s="12" t="inlineStr">
        <is>
          <t>Prepaid-cloud NOT in P&amp;L D&amp;A</t>
        </is>
      </c>
      <c r="E158" s="27" t="inlineStr">
        <is>
          <t>PASS</t>
        </is>
      </c>
    </row>
    <row r="159">
      <c r="A159" s="12" t="inlineStr">
        <is>
          <t>Implied GM% in plausible band (2026+ 55-85%)</t>
        </is>
      </c>
      <c r="E159" s="27" t="inlineStr">
        <is>
          <t>PASS</t>
        </is>
      </c>
    </row>
    <row r="160">
      <c r="A160" s="12" t="inlineStr">
        <is>
          <t>Blended $/Mtok sanity ($0.5-$25)</t>
        </is>
      </c>
      <c r="E160" s="27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0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8" customWidth="1" min="3" max="3"/>
    <col width="5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7" t="inlineStr">
        <is>
          <t>Anthropic PBC - Compute Capacity &amp; Energy 2022A-2032E  (scenario/basis-invariant)</t>
        </is>
      </c>
    </row>
    <row r="2">
      <c r="A2" s="8" t="inlineStr">
        <is>
          <t>Line Item</t>
        </is>
      </c>
      <c r="B2" s="8" t="inlineStr">
        <is>
          <t>Type</t>
        </is>
      </c>
      <c r="C2" s="8" t="inlineStr">
        <is>
          <t>Unit</t>
        </is>
      </c>
      <c r="D2" s="9" t="inlineStr">
        <is>
          <t>What it is</t>
        </is>
      </c>
      <c r="E2" s="10" t="inlineStr">
        <is>
          <t>2022</t>
        </is>
      </c>
      <c r="F2" s="10" t="inlineStr">
        <is>
          <t>2023</t>
        </is>
      </c>
      <c r="G2" s="10" t="inlineStr">
        <is>
          <t>2024</t>
        </is>
      </c>
      <c r="H2" s="10" t="inlineStr">
        <is>
          <t>2025</t>
        </is>
      </c>
      <c r="I2" s="10" t="inlineStr">
        <is>
          <t>2026</t>
        </is>
      </c>
      <c r="J2" s="10" t="inlineStr">
        <is>
          <t>2027</t>
        </is>
      </c>
      <c r="K2" s="10" t="inlineStr">
        <is>
          <t>2028</t>
        </is>
      </c>
      <c r="L2" s="10" t="inlineStr">
        <is>
          <t>2029</t>
        </is>
      </c>
      <c r="M2" s="10" t="inlineStr">
        <is>
          <t>2030</t>
        </is>
      </c>
      <c r="N2" s="10" t="inlineStr">
        <is>
          <t>2031</t>
        </is>
      </c>
      <c r="O2" s="10" t="inlineStr">
        <is>
          <t>2032</t>
        </is>
      </c>
    </row>
    <row r="3">
      <c r="A3" s="11" t="inlineStr">
        <is>
          <t>CAPACITY BY PROVIDER (GW online, not committed ceiling)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A4" s="12" t="inlineStr">
        <is>
          <t>AWS - GW online</t>
        </is>
      </c>
      <c r="B4" s="13" t="inlineStr">
        <is>
          <t>IN</t>
        </is>
      </c>
      <c r="C4" s="13" t="inlineStr">
        <is>
          <t>GW</t>
        </is>
      </c>
      <c r="D4" s="14" t="inlineStr">
        <is>
          <t>Trainium (Rainier live Oct-2025, &gt;1M Trainium2). To 5GW; ~1GW end-2026.</t>
        </is>
      </c>
      <c r="E4" s="17" t="n">
        <v>0.01</v>
      </c>
      <c r="F4" s="17" t="n">
        <v>0.03</v>
      </c>
      <c r="G4" s="17" t="n">
        <v>0.1</v>
      </c>
      <c r="H4" s="17" t="n">
        <v>0.3</v>
      </c>
      <c r="I4" s="17" t="n">
        <v>1</v>
      </c>
      <c r="J4" s="17" t="n">
        <v>2</v>
      </c>
      <c r="K4" s="17" t="n">
        <v>3</v>
      </c>
      <c r="L4" s="17" t="n">
        <v>4</v>
      </c>
      <c r="M4" s="17" t="n">
        <v>4.5</v>
      </c>
      <c r="N4" s="17" t="n">
        <v>5</v>
      </c>
      <c r="O4" s="17" t="n">
        <v>5</v>
      </c>
    </row>
    <row r="5">
      <c r="A5" s="12" t="inlineStr">
        <is>
          <t>Google/Broadcom - GW online</t>
        </is>
      </c>
      <c r="B5" s="13" t="inlineStr">
        <is>
          <t>IN</t>
        </is>
      </c>
      <c r="C5" s="13" t="inlineStr">
        <is>
          <t>GW</t>
        </is>
      </c>
      <c r="D5" s="14" t="inlineStr">
        <is>
          <t>Google TPU (~1M) + Broadcom ~3.5GW from 2027.</t>
        </is>
      </c>
      <c r="E5" s="17" t="n">
        <v>0.01</v>
      </c>
      <c r="F5" s="17" t="n">
        <v>0.02</v>
      </c>
      <c r="G5" s="17" t="n">
        <v>0.05</v>
      </c>
      <c r="H5" s="17" t="n">
        <v>0.1</v>
      </c>
      <c r="I5" s="17" t="n">
        <v>0.5</v>
      </c>
      <c r="J5" s="17" t="n">
        <v>2</v>
      </c>
      <c r="K5" s="17" t="n">
        <v>3</v>
      </c>
      <c r="L5" s="17" t="n">
        <v>3.5</v>
      </c>
      <c r="M5" s="17" t="n">
        <v>3.5</v>
      </c>
      <c r="N5" s="17" t="n">
        <v>3.5</v>
      </c>
      <c r="O5" s="17" t="n">
        <v>3.5</v>
      </c>
    </row>
    <row r="6">
      <c r="A6" s="12" t="inlineStr">
        <is>
          <t>Azure/Nvidia - GW online</t>
        </is>
      </c>
      <c r="B6" s="13" t="inlineStr">
        <is>
          <t>IN</t>
        </is>
      </c>
      <c r="C6" s="13" t="inlineStr">
        <is>
          <t>GW</t>
        </is>
      </c>
      <c r="D6" s="14" t="inlineStr">
        <is>
          <t>$30B Azure + up to 1GW Nvidia (Nov-2025).</t>
        </is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0.1</v>
      </c>
      <c r="J6" s="17" t="n">
        <v>0.4</v>
      </c>
      <c r="K6" s="17" t="n">
        <v>0.7</v>
      </c>
      <c r="L6" s="17" t="n">
        <v>1</v>
      </c>
      <c r="M6" s="17" t="n">
        <v>1</v>
      </c>
      <c r="N6" s="17" t="n">
        <v>1</v>
      </c>
      <c r="O6" s="17" t="n">
        <v>1</v>
      </c>
    </row>
    <row r="7">
      <c r="A7" s="12" t="inlineStr">
        <is>
          <t>SpaceX - GW online</t>
        </is>
      </c>
      <c r="B7" s="13" t="inlineStr">
        <is>
          <t>IN</t>
        </is>
      </c>
      <c r="C7" s="13" t="inlineStr">
        <is>
          <t>GW</t>
        </is>
      </c>
      <c r="D7" s="14" t="inlineStr">
        <is>
          <t>Colossus 1 ~0.3GW at $1.25B/mo to May-2029.</t>
        </is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0.3</v>
      </c>
      <c r="J7" s="17" t="n">
        <v>0.3</v>
      </c>
      <c r="K7" s="17" t="n">
        <v>0.3</v>
      </c>
      <c r="L7" s="17" t="n">
        <v>0.3</v>
      </c>
      <c r="M7" s="17" t="n">
        <v>0.3</v>
      </c>
      <c r="N7" s="17" t="n">
        <v>0.3</v>
      </c>
      <c r="O7" s="17" t="n">
        <v>0.3</v>
      </c>
    </row>
    <row r="8">
      <c r="A8" s="12" t="inlineStr">
        <is>
          <t>Fluidstack - GW online</t>
        </is>
      </c>
      <c r="B8" s="13" t="inlineStr">
        <is>
          <t>IN</t>
        </is>
      </c>
      <c r="C8" s="13" t="inlineStr">
        <is>
          <t>GW</t>
        </is>
      </c>
      <c r="D8" s="14" t="inlineStr">
        <is>
          <t>Owned US datacenters, $50B, ramp ~2-3GW.</t>
        </is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0.2</v>
      </c>
      <c r="J8" s="17" t="n">
        <v>0.8</v>
      </c>
      <c r="K8" s="17" t="n">
        <v>1.5</v>
      </c>
      <c r="L8" s="17" t="n">
        <v>2</v>
      </c>
      <c r="M8" s="17" t="n">
        <v>2.5</v>
      </c>
      <c r="N8" s="17" t="n">
        <v>2.8</v>
      </c>
      <c r="O8" s="17" t="n">
        <v>3</v>
      </c>
    </row>
    <row r="9">
      <c r="A9" s="12" t="inlineStr">
        <is>
          <t>CoreWeave - GW online</t>
        </is>
      </c>
      <c r="B9" s="13" t="inlineStr">
        <is>
          <t>IN</t>
        </is>
      </c>
      <c r="C9" s="13" t="inlineStr">
        <is>
          <t>GW</t>
        </is>
      </c>
      <c r="D9" s="14" t="inlineStr">
        <is>
          <t>Multi-year GPU deal (2026), scale undisclosed (est).</t>
        </is>
      </c>
      <c r="E9" s="17" t="n">
        <v>0</v>
      </c>
      <c r="F9" s="17" t="n">
        <v>0</v>
      </c>
      <c r="G9" s="17" t="n">
        <v>0</v>
      </c>
      <c r="H9" s="17" t="n">
        <v>0.02</v>
      </c>
      <c r="I9" s="17" t="n">
        <v>0.1</v>
      </c>
      <c r="J9" s="17" t="n">
        <v>0.3</v>
      </c>
      <c r="K9" s="17" t="n">
        <v>0.5</v>
      </c>
      <c r="L9" s="17" t="n">
        <v>0.6</v>
      </c>
      <c r="M9" s="17" t="n">
        <v>0.7</v>
      </c>
      <c r="N9" s="17" t="n">
        <v>0.8</v>
      </c>
      <c r="O9" s="17" t="n">
        <v>0.8</v>
      </c>
    </row>
    <row r="10">
      <c r="A10" s="12" t="inlineStr">
        <is>
          <t>Akamai - GW online</t>
        </is>
      </c>
      <c r="B10" s="13" t="inlineStr">
        <is>
          <t>IN</t>
        </is>
      </c>
      <c r="C10" s="13" t="inlineStr">
        <is>
          <t>GW</t>
        </is>
      </c>
      <c r="D10" s="14" t="inlineStr">
        <is>
          <t>Edge inference (~$1.8B), small (est).</t>
        </is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0.05</v>
      </c>
      <c r="J10" s="17" t="n">
        <v>0.1</v>
      </c>
      <c r="K10" s="17" t="n">
        <v>0.15</v>
      </c>
      <c r="L10" s="17" t="n">
        <v>0.2</v>
      </c>
      <c r="M10" s="17" t="n">
        <v>0.2</v>
      </c>
      <c r="N10" s="17" t="n">
        <v>0.25</v>
      </c>
      <c r="O10" s="17" t="n">
        <v>0.25</v>
      </c>
    </row>
    <row r="11">
      <c r="A11" s="18" t="inlineStr">
        <is>
          <t>Total online GW</t>
        </is>
      </c>
      <c r="B11" s="19" t="inlineStr">
        <is>
          <t>CALC</t>
        </is>
      </c>
      <c r="C11" s="19" t="inlineStr">
        <is>
          <t>GW</t>
        </is>
      </c>
      <c r="D11" s="20" t="inlineStr">
        <is>
          <t>~10GW company target by 2029-30.</t>
        </is>
      </c>
      <c r="E11" s="28" t="n">
        <v>0.02</v>
      </c>
      <c r="F11" s="28" t="n">
        <v>0.05</v>
      </c>
      <c r="G11" s="28" t="n">
        <v>0.15</v>
      </c>
      <c r="H11" s="28" t="n">
        <v>0.42</v>
      </c>
      <c r="I11" s="28" t="n">
        <v>2.25</v>
      </c>
      <c r="J11" s="28" t="n">
        <v>5.899999999999999</v>
      </c>
      <c r="K11" s="28" t="n">
        <v>9.15</v>
      </c>
      <c r="L11" s="28" t="n">
        <v>11.6</v>
      </c>
      <c r="M11" s="28" t="n">
        <v>12.7</v>
      </c>
      <c r="N11" s="28" t="n">
        <v>13.65</v>
      </c>
      <c r="O11" s="28" t="n">
        <v>13.85</v>
      </c>
    </row>
    <row r="12">
      <c r="A12" s="12" t="inlineStr">
        <is>
          <t>Committed ceiling (GW)</t>
        </is>
      </c>
      <c r="B12" s="13" t="inlineStr">
        <is>
          <t>IN</t>
        </is>
      </c>
      <c r="C12" s="13" t="inlineStr">
        <is>
          <t>GW</t>
        </is>
      </c>
      <c r="D12" s="14" t="inlineStr">
        <is>
          <t>Contracted ceiling (&gt; online).</t>
        </is>
      </c>
      <c r="E12" s="17" t="n">
        <v>0.05</v>
      </c>
      <c r="F12" s="17" t="n">
        <v>0.12</v>
      </c>
      <c r="G12" s="17" t="n">
        <v>0.35</v>
      </c>
      <c r="H12" s="17" t="n">
        <v>0.9</v>
      </c>
      <c r="I12" s="17" t="n">
        <v>3</v>
      </c>
      <c r="J12" s="17" t="n">
        <v>7.5</v>
      </c>
      <c r="K12" s="17" t="n">
        <v>11</v>
      </c>
      <c r="L12" s="17" t="n">
        <v>14</v>
      </c>
      <c r="M12" s="17" t="n">
        <v>15.5</v>
      </c>
      <c r="N12" s="17" t="n">
        <v>16.5</v>
      </c>
      <c r="O12" s="17" t="n">
        <v>17</v>
      </c>
    </row>
    <row r="13">
      <c r="A13" s="11" t="inlineStr">
        <is>
          <t>PHYSICAL to ENERGY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</row>
    <row r="14">
      <c r="A14" s="12" t="inlineStr">
        <is>
          <t>Fleet utilization %</t>
        </is>
      </c>
      <c r="B14" s="13" t="inlineStr">
        <is>
          <t>LINK</t>
        </is>
      </c>
      <c r="C14" s="13" t="inlineStr">
        <is>
          <t>%</t>
        </is>
      </c>
      <c r="D14" s="14" t="inlineStr">
        <is>
          <t>Links to P&amp;L fleet utilization.</t>
        </is>
      </c>
      <c r="E14" s="16" t="n">
        <v>0.55</v>
      </c>
      <c r="F14" s="16" t="n">
        <v>0.58</v>
      </c>
      <c r="G14" s="16" t="n">
        <v>0.62</v>
      </c>
      <c r="H14" s="16" t="n">
        <v>0.66</v>
      </c>
      <c r="I14" s="16" t="n">
        <v>0.7</v>
      </c>
      <c r="J14" s="16" t="n">
        <v>0.72</v>
      </c>
      <c r="K14" s="16" t="n">
        <v>0.74</v>
      </c>
      <c r="L14" s="16" t="n">
        <v>0.75</v>
      </c>
      <c r="M14" s="16" t="n">
        <v>0.76</v>
      </c>
      <c r="N14" s="16" t="n">
        <v>0.77</v>
      </c>
      <c r="O14" s="16" t="n">
        <v>0.78</v>
      </c>
    </row>
    <row r="15">
      <c r="A15" s="12" t="inlineStr">
        <is>
          <t>PUE (facility / IT power)</t>
        </is>
      </c>
      <c r="B15" s="13" t="inlineStr">
        <is>
          <t>IN</t>
        </is>
      </c>
      <c r="C15" s="13" t="inlineStr">
        <is>
          <t>x</t>
        </is>
      </c>
      <c r="D15" s="14" t="inlineStr">
        <is>
          <t>~1.15.</t>
        </is>
      </c>
      <c r="E15" s="17" t="n">
        <v>1.2</v>
      </c>
      <c r="F15" s="17" t="n">
        <v>1.18</v>
      </c>
      <c r="G15" s="17" t="n">
        <v>1.17</v>
      </c>
      <c r="H15" s="17" t="n">
        <v>1.16</v>
      </c>
      <c r="I15" s="17" t="n">
        <v>1.15</v>
      </c>
      <c r="J15" s="17" t="n">
        <v>1.15</v>
      </c>
      <c r="K15" s="17" t="n">
        <v>1.14</v>
      </c>
      <c r="L15" s="17" t="n">
        <v>1.14</v>
      </c>
      <c r="M15" s="17" t="n">
        <v>1.13</v>
      </c>
      <c r="N15" s="17" t="n">
        <v>1.13</v>
      </c>
      <c r="O15" s="17" t="n">
        <v>1.12</v>
      </c>
    </row>
    <row r="16">
      <c r="A16" s="12" t="inlineStr">
        <is>
          <t>Power per accelerator, all-in (kW)</t>
        </is>
      </c>
      <c r="B16" s="13" t="inlineStr">
        <is>
          <t>IN</t>
        </is>
      </c>
      <c r="C16" s="13" t="inlineStr">
        <is>
          <t>kW</t>
        </is>
      </c>
      <c r="D16" s="14" t="inlineStr">
        <is>
          <t>~1.2kW (GPU/TPU/Trainium blend).</t>
        </is>
      </c>
      <c r="E16" s="17" t="n">
        <v>1</v>
      </c>
      <c r="F16" s="17" t="n">
        <v>1</v>
      </c>
      <c r="G16" s="17" t="n">
        <v>1.1</v>
      </c>
      <c r="H16" s="17" t="n">
        <v>1.15</v>
      </c>
      <c r="I16" s="17" t="n">
        <v>1.2</v>
      </c>
      <c r="J16" s="17" t="n">
        <v>1.25</v>
      </c>
      <c r="K16" s="17" t="n">
        <v>1.3</v>
      </c>
      <c r="L16" s="17" t="n">
        <v>1.35</v>
      </c>
      <c r="M16" s="17" t="n">
        <v>1.4</v>
      </c>
      <c r="N16" s="17" t="n">
        <v>1.45</v>
      </c>
      <c r="O16" s="17" t="n">
        <v>1.5</v>
      </c>
    </row>
    <row r="17">
      <c r="A17" s="12" t="inlineStr">
        <is>
          <t>IT energy (MWh/yr)</t>
        </is>
      </c>
      <c r="B17" s="13" t="inlineStr">
        <is>
          <t>CALC</t>
        </is>
      </c>
      <c r="C17" s="13" t="inlineStr">
        <is>
          <t>MWh/yr</t>
        </is>
      </c>
      <c r="D17" s="14" t="inlineStr">
        <is>
          <t>GW x 1000 x 8760 x util.</t>
        </is>
      </c>
      <c r="E17" s="15" t="n">
        <v>96360.00000000001</v>
      </c>
      <c r="F17" s="15" t="n">
        <v>254040</v>
      </c>
      <c r="G17" s="15" t="n">
        <v>814680.0000000001</v>
      </c>
      <c r="H17" s="15" t="n">
        <v>2428272</v>
      </c>
      <c r="I17" s="15" t="n">
        <v>13797000</v>
      </c>
      <c r="J17" s="15" t="n">
        <v>37212479.99999999</v>
      </c>
      <c r="K17" s="15" t="n">
        <v>59313960</v>
      </c>
      <c r="L17" s="15" t="n">
        <v>76212000</v>
      </c>
      <c r="M17" s="15" t="n">
        <v>84551520</v>
      </c>
      <c r="N17" s="15" t="n">
        <v>92071980.00000001</v>
      </c>
      <c r="O17" s="15" t="n">
        <v>94634280.00000001</v>
      </c>
    </row>
    <row r="18">
      <c r="A18" s="12" t="inlineStr">
        <is>
          <t>Facility energy incl cooling (MWh/yr)</t>
        </is>
      </c>
      <c r="B18" s="13" t="inlineStr">
        <is>
          <t>CALC</t>
        </is>
      </c>
      <c r="C18" s="13" t="inlineStr">
        <is>
          <t>MWh/yr</t>
        </is>
      </c>
      <c r="D18" s="14" t="inlineStr">
        <is>
          <t>IT energy x PUE.</t>
        </is>
      </c>
      <c r="E18" s="15" t="n">
        <v>115632</v>
      </c>
      <c r="F18" s="15" t="n">
        <v>299767.2</v>
      </c>
      <c r="G18" s="15" t="n">
        <v>953175.6000000001</v>
      </c>
      <c r="H18" s="15" t="n">
        <v>2816795.52</v>
      </c>
      <c r="I18" s="15" t="n">
        <v>15866550</v>
      </c>
      <c r="J18" s="15" t="n">
        <v>42794351.99999999</v>
      </c>
      <c r="K18" s="15" t="n">
        <v>67617914.39999999</v>
      </c>
      <c r="L18" s="15" t="n">
        <v>86881680</v>
      </c>
      <c r="M18" s="15" t="n">
        <v>95543217.59999999</v>
      </c>
      <c r="N18" s="15" t="n">
        <v>104041337.4</v>
      </c>
      <c r="O18" s="15" t="n">
        <v>105990393.6</v>
      </c>
    </row>
    <row r="19">
      <c r="A19" s="12" t="inlineStr">
        <is>
          <t>Available GPU-hours (from GW)</t>
        </is>
      </c>
      <c r="B19" s="13" t="inlineStr">
        <is>
          <t>CALC</t>
        </is>
      </c>
      <c r="C19" s="13" t="inlineStr">
        <is>
          <t>hr</t>
        </is>
      </c>
      <c r="D19" s="14" t="inlineStr">
        <is>
          <t>(GW / kW-per-accel) x 8760 x util.</t>
        </is>
      </c>
      <c r="E19" s="15" t="n">
        <v>96360000.00000001</v>
      </c>
      <c r="F19" s="15" t="n">
        <v>254040000</v>
      </c>
      <c r="G19" s="15" t="n">
        <v>740618181.818182</v>
      </c>
      <c r="H19" s="15" t="n">
        <v>2111540869.565218</v>
      </c>
      <c r="I19" s="15" t="n">
        <v>11497500000</v>
      </c>
      <c r="J19" s="15" t="n">
        <v>29769983999.99999</v>
      </c>
      <c r="K19" s="15" t="n">
        <v>45626123076.92307</v>
      </c>
      <c r="L19" s="15" t="n">
        <v>56453333333.33333</v>
      </c>
      <c r="M19" s="15" t="n">
        <v>60393942857.14287</v>
      </c>
      <c r="N19" s="15" t="n">
        <v>63497917241.37932</v>
      </c>
      <c r="O19" s="15" t="n">
        <v>63089520000</v>
      </c>
    </row>
    <row r="20">
      <c r="A20" s="11" t="inlineStr">
        <is>
          <t>ENERGY COST (decomposition, not additive)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</row>
    <row r="21">
      <c r="A21" s="12" t="inlineStr">
        <is>
          <t>Blended electricity price ($/MWh)</t>
        </is>
      </c>
      <c r="B21" s="13" t="inlineStr">
        <is>
          <t>IN</t>
        </is>
      </c>
      <c r="C21" s="13" t="inlineStr">
        <is>
          <t>$</t>
        </is>
      </c>
      <c r="D21" s="14" t="inlineStr">
        <is>
          <t>~$55-65; gas-turbine cheaper but emissions-loaded.</t>
        </is>
      </c>
      <c r="E21" s="15" t="n">
        <v>70</v>
      </c>
      <c r="F21" s="15" t="n">
        <v>68</v>
      </c>
      <c r="G21" s="15" t="n">
        <v>66</v>
      </c>
      <c r="H21" s="15" t="n">
        <v>64</v>
      </c>
      <c r="I21" s="15" t="n">
        <v>62</v>
      </c>
      <c r="J21" s="15" t="n">
        <v>60</v>
      </c>
      <c r="K21" s="15" t="n">
        <v>60</v>
      </c>
      <c r="L21" s="15" t="n">
        <v>58</v>
      </c>
      <c r="M21" s="15" t="n">
        <v>58</v>
      </c>
      <c r="N21" s="15" t="n">
        <v>56</v>
      </c>
      <c r="O21" s="15" t="n">
        <v>56</v>
      </c>
    </row>
    <row r="22">
      <c r="A22" s="12" t="inlineStr">
        <is>
          <t>Total energy cost ($M)</t>
        </is>
      </c>
      <c r="B22" s="13" t="inlineStr">
        <is>
          <t>CALC</t>
        </is>
      </c>
      <c r="C22" s="13" t="inlineStr">
        <is>
          <t>$M</t>
        </is>
      </c>
      <c r="D22" s="14" t="inlineStr">
        <is>
          <t>Facility energy x price. NOT added to COGS.</t>
        </is>
      </c>
      <c r="E22" s="15" t="n">
        <v>8.094240000000001</v>
      </c>
      <c r="F22" s="15" t="n">
        <v>20.3841696</v>
      </c>
      <c r="G22" s="15" t="n">
        <v>62.90958960000001</v>
      </c>
      <c r="H22" s="15" t="n">
        <v>180.27491328</v>
      </c>
      <c r="I22" s="15" t="n">
        <v>983.7260999999999</v>
      </c>
      <c r="J22" s="15" t="n">
        <v>2567.661119999999</v>
      </c>
      <c r="K22" s="15" t="n">
        <v>4057.074864</v>
      </c>
      <c r="L22" s="15" t="n">
        <v>5039.13744</v>
      </c>
      <c r="M22" s="15" t="n">
        <v>5541.506620799999</v>
      </c>
      <c r="N22" s="15" t="n">
        <v>5826.3148944</v>
      </c>
      <c r="O22" s="15" t="n">
        <v>5935.462041600002</v>
      </c>
    </row>
    <row r="23">
      <c r="A23" s="12" t="inlineStr">
        <is>
          <t>Energy $ / GPU-hour</t>
        </is>
      </c>
      <c r="B23" s="13" t="inlineStr">
        <is>
          <t>CALC</t>
        </is>
      </c>
      <c r="C23" s="13" t="inlineStr">
        <is>
          <t>$</t>
        </is>
      </c>
      <c r="D23" s="14" t="inlineStr">
        <is>
          <t>Energy cost / available GPU-hours.</t>
        </is>
      </c>
      <c r="E23" s="23" t="n">
        <v>0.08399999999999999</v>
      </c>
      <c r="F23" s="23" t="n">
        <v>0.08024000000000001</v>
      </c>
      <c r="G23" s="23" t="n">
        <v>0.08494199999999999</v>
      </c>
      <c r="H23" s="23" t="n">
        <v>0.08537600000000001</v>
      </c>
      <c r="I23" s="23" t="n">
        <v>0.08555999999999998</v>
      </c>
      <c r="J23" s="23" t="n">
        <v>0.08624999999999999</v>
      </c>
      <c r="K23" s="23" t="n">
        <v>0.08892</v>
      </c>
      <c r="L23" s="23" t="n">
        <v>0.08926200000000001</v>
      </c>
      <c r="M23" s="23" t="n">
        <v>0.09175599999999998</v>
      </c>
      <c r="N23" s="23" t="n">
        <v>0.091756</v>
      </c>
      <c r="O23" s="23" t="n">
        <v>0.09408000000000002</v>
      </c>
    </row>
    <row r="24">
      <c r="A24" s="12" t="inlineStr">
        <is>
          <t>Implied all-in $/GPU-hr</t>
        </is>
      </c>
      <c r="B24" s="13" t="inlineStr">
        <is>
          <t>LINK</t>
        </is>
      </c>
      <c r="C24" s="13" t="inlineStr">
        <is>
          <t>$</t>
        </is>
      </c>
      <c r="D24" s="14" t="inlineStr">
        <is>
          <t>Links to P&amp;L blended $/GPU-hour.</t>
        </is>
      </c>
      <c r="E24" s="17" t="n">
        <v>2.6</v>
      </c>
      <c r="F24" s="17" t="n">
        <v>2.5</v>
      </c>
      <c r="G24" s="17" t="n">
        <v>2.4</v>
      </c>
      <c r="H24" s="17" t="n">
        <v>2.3</v>
      </c>
      <c r="I24" s="17" t="n">
        <v>2.2</v>
      </c>
      <c r="J24" s="17" t="n">
        <v>2.1</v>
      </c>
      <c r="K24" s="17" t="n">
        <v>2.05</v>
      </c>
      <c r="L24" s="17" t="n">
        <v>2</v>
      </c>
      <c r="M24" s="17" t="n">
        <v>1.95</v>
      </c>
      <c r="N24" s="17" t="n">
        <v>1.9</v>
      </c>
      <c r="O24" s="17" t="n">
        <v>1.85</v>
      </c>
    </row>
    <row r="25">
      <c r="A25" s="12" t="inlineStr">
        <is>
          <t>Energy as % of rental $/GPU-hr</t>
        </is>
      </c>
      <c r="B25" s="13" t="inlineStr">
        <is>
          <t>CALC</t>
        </is>
      </c>
      <c r="C25" s="13" t="inlineStr">
        <is>
          <t>%</t>
        </is>
      </c>
      <c r="D25" s="14" t="inlineStr">
        <is>
          <t>~4-5% (below ~15-25% owned-all-in note; see Sources).</t>
        </is>
      </c>
      <c r="E25" s="16" t="n">
        <v>0.0323076923076923</v>
      </c>
      <c r="F25" s="16" t="n">
        <v>0.032096</v>
      </c>
      <c r="G25" s="16" t="n">
        <v>0.0353925</v>
      </c>
      <c r="H25" s="16" t="n">
        <v>0.03712000000000001</v>
      </c>
      <c r="I25" s="16" t="n">
        <v>0.03889090909090908</v>
      </c>
      <c r="J25" s="16" t="n">
        <v>0.04107142857142856</v>
      </c>
      <c r="K25" s="16" t="n">
        <v>0.04337560975609756</v>
      </c>
      <c r="L25" s="16" t="n">
        <v>0.044631</v>
      </c>
      <c r="M25" s="16" t="n">
        <v>0.04705435897435897</v>
      </c>
      <c r="N25" s="16" t="n">
        <v>0.04829263157894737</v>
      </c>
      <c r="O25" s="16" t="n">
        <v>0.05085405405405406</v>
      </c>
    </row>
    <row r="26">
      <c r="A26" s="11" t="inlineStr">
        <is>
          <t>GUARDS AND CHECKS</t>
        </is>
      </c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</row>
    <row r="27">
      <c r="A27" s="12" t="inlineStr">
        <is>
          <t>Capacity constraint (ceiling &gt; online)</t>
        </is>
      </c>
      <c r="E27" s="27" t="inlineStr">
        <is>
          <t>PASS</t>
        </is>
      </c>
    </row>
    <row r="28">
      <c r="A28" s="12" t="inlineStr">
        <is>
          <t>Utilization headroom 0-40%</t>
        </is>
      </c>
      <c r="E28" s="27" t="inlineStr">
        <is>
          <t>PASS</t>
        </is>
      </c>
    </row>
    <row r="29">
      <c r="A29" s="12" t="inlineStr">
        <is>
          <t>Energy % of rental $/GPU-hr (2-12%; below 15-25% owned note - see Sources)</t>
        </is>
      </c>
      <c r="E29" s="27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4"/>
  <sheetViews>
    <sheetView showGridLines="0"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29" t="inlineStr">
        <is>
          <t>Charts - Base case, Run-rate basis (the P&amp;L Build table is the live switchable view)</t>
        </is>
      </c>
    </row>
    <row r="92">
      <c r="A92" s="30" t="inlineStr">
        <is>
          <t>Year</t>
        </is>
      </c>
      <c r="B92" s="31" t="n">
        <v>2022</v>
      </c>
      <c r="C92" s="31" t="n">
        <v>2023</v>
      </c>
      <c r="D92" s="31" t="n">
        <v>2024</v>
      </c>
      <c r="E92" s="31" t="n">
        <v>2025</v>
      </c>
      <c r="F92" s="31" t="n">
        <v>2026</v>
      </c>
      <c r="G92" s="31" t="n">
        <v>2027</v>
      </c>
      <c r="H92" s="31" t="n">
        <v>2028</v>
      </c>
      <c r="I92" s="31" t="n">
        <v>2029</v>
      </c>
      <c r="J92" s="31" t="n">
        <v>2030</v>
      </c>
      <c r="K92" s="31" t="n">
        <v>2031</v>
      </c>
      <c r="L92" s="31" t="n">
        <v>2032</v>
      </c>
    </row>
    <row r="93">
      <c r="A93" s="31" t="inlineStr">
        <is>
          <t>First-party API</t>
        </is>
      </c>
      <c r="B93" s="31" t="n">
        <v>10</v>
      </c>
      <c r="C93" s="31" t="n">
        <v>82.28</v>
      </c>
      <c r="D93" s="31" t="n">
        <v>699.885</v>
      </c>
      <c r="E93" s="31" t="n">
        <v>5811.220755172414</v>
      </c>
      <c r="F93" s="31" t="n">
        <v>33001.24608695653</v>
      </c>
      <c r="G93" s="31" t="n">
        <v>56680.867265024</v>
      </c>
      <c r="H93" s="31" t="n">
        <v>82210.72471518988</v>
      </c>
      <c r="I93" s="31" t="n">
        <v>108074.6931223947</v>
      </c>
      <c r="J93" s="31" t="n">
        <v>134436.8686697781</v>
      </c>
      <c r="K93" s="31" t="n">
        <v>157023.4403074462</v>
      </c>
      <c r="L93" s="31" t="n">
        <v>180110.99083</v>
      </c>
    </row>
    <row r="94">
      <c r="A94" s="31" t="inlineStr">
        <is>
          <t>Non-API streams</t>
        </is>
      </c>
      <c r="B94" s="31" t="n">
        <v>0</v>
      </c>
      <c r="C94" s="31" t="n">
        <v>17.72</v>
      </c>
      <c r="D94" s="31" t="n">
        <v>300.115</v>
      </c>
      <c r="E94" s="31" t="n">
        <v>3188.779244827586</v>
      </c>
      <c r="F94" s="31" t="n">
        <v>13998.75391304348</v>
      </c>
      <c r="G94" s="31" t="n">
        <v>23319.132734976</v>
      </c>
      <c r="H94" s="31" t="n">
        <v>32789.27528481012</v>
      </c>
      <c r="I94" s="31" t="n">
        <v>41925.30687760528</v>
      </c>
      <c r="J94" s="31" t="n">
        <v>50563.13133022188</v>
      </c>
      <c r="K94" s="31" t="n">
        <v>57976.55969255384</v>
      </c>
      <c r="L94" s="31" t="n">
        <v>64889.00917</v>
      </c>
    </row>
    <row r="95">
      <c r="A95" s="31" t="inlineStr">
        <is>
          <t>Booked revenue</t>
        </is>
      </c>
      <c r="B95" s="31" t="n">
        <v>10</v>
      </c>
      <c r="C95" s="31" t="n">
        <v>100</v>
      </c>
      <c r="D95" s="31" t="n">
        <v>1000</v>
      </c>
      <c r="E95" s="31" t="n">
        <v>9000</v>
      </c>
      <c r="F95" s="31" t="n">
        <v>47000</v>
      </c>
      <c r="G95" s="31" t="n">
        <v>80000</v>
      </c>
      <c r="H95" s="31" t="n">
        <v>115000</v>
      </c>
      <c r="I95" s="31" t="n">
        <v>150000</v>
      </c>
      <c r="J95" s="31" t="n">
        <v>185000</v>
      </c>
      <c r="K95" s="31" t="n">
        <v>215000</v>
      </c>
      <c r="L95" s="31" t="n">
        <v>245000</v>
      </c>
    </row>
    <row r="96">
      <c r="A96" s="31" t="inlineStr">
        <is>
          <t>Gross margin %</t>
        </is>
      </c>
      <c r="B96" s="32" t="n">
        <v>0.03060519480519486</v>
      </c>
      <c r="C96" s="32" t="n">
        <v>0.3641836200423857</v>
      </c>
      <c r="D96" s="32" t="n">
        <v>0.5367991406333326</v>
      </c>
      <c r="E96" s="32" t="n">
        <v>0.6464845834408309</v>
      </c>
      <c r="F96" s="32" t="n">
        <v>0.6922519443876416</v>
      </c>
      <c r="G96" s="32" t="n">
        <v>0.7131764621794907</v>
      </c>
      <c r="H96" s="32" t="n">
        <v>0.72429774598218</v>
      </c>
      <c r="I96" s="32" t="n">
        <v>0.7344853371233577</v>
      </c>
      <c r="J96" s="32" t="n">
        <v>0.7451901161424441</v>
      </c>
      <c r="K96" s="32" t="n">
        <v>0.7556461464822005</v>
      </c>
      <c r="L96" s="32" t="n">
        <v>0.7672265392281798</v>
      </c>
    </row>
    <row r="97">
      <c r="A97" s="31" t="inlineStr">
        <is>
          <t>Operating margin %</t>
        </is>
      </c>
      <c r="B97" s="32" t="n">
        <v>-7.580394805194805</v>
      </c>
      <c r="C97" s="32" t="n">
        <v>-2.442716379957614</v>
      </c>
      <c r="D97" s="32" t="n">
        <v>-4.514000859366668</v>
      </c>
      <c r="E97" s="32" t="n">
        <v>-0.2435265276702802</v>
      </c>
      <c r="F97" s="32" t="n">
        <v>-0.04089699178257124</v>
      </c>
      <c r="G97" s="32" t="n">
        <v>0.06586396217949077</v>
      </c>
      <c r="H97" s="32" t="n">
        <v>0.1542774561271076</v>
      </c>
      <c r="I97" s="32" t="n">
        <v>0.2272128926789132</v>
      </c>
      <c r="J97" s="32" t="n">
        <v>0.2850675936199216</v>
      </c>
      <c r="K97" s="32" t="n">
        <v>0.3283664565597199</v>
      </c>
      <c r="L97" s="32" t="n">
        <v>0.3737216412689963</v>
      </c>
    </row>
    <row r="98">
      <c r="A98" s="31" t="inlineStr">
        <is>
          <t>Operating income (ex-SBC)</t>
        </is>
      </c>
      <c r="B98" s="31" t="n">
        <v>-75.80394805194805</v>
      </c>
      <c r="C98" s="31" t="n">
        <v>-244.2716379957614</v>
      </c>
      <c r="D98" s="31" t="n">
        <v>-4514.000859366668</v>
      </c>
      <c r="E98" s="31" t="n">
        <v>-2191.738749032521</v>
      </c>
      <c r="F98" s="31" t="n">
        <v>-1922.158613780848</v>
      </c>
      <c r="G98" s="31" t="n">
        <v>5269.116974359262</v>
      </c>
      <c r="H98" s="31" t="n">
        <v>17741.90745461737</v>
      </c>
      <c r="I98" s="31" t="n">
        <v>34081.93390183698</v>
      </c>
      <c r="J98" s="31" t="n">
        <v>52737.50481968549</v>
      </c>
      <c r="K98" s="31" t="n">
        <v>70598.78816033978</v>
      </c>
      <c r="L98" s="31" t="n">
        <v>91561.80211090409</v>
      </c>
    </row>
    <row r="99">
      <c r="A99" s="31" t="inlineStr">
        <is>
          <t>Total COGS</t>
        </is>
      </c>
      <c r="B99" s="31" t="n">
        <v>9.693948051948052</v>
      </c>
      <c r="C99" s="31" t="n">
        <v>63.58163799576143</v>
      </c>
      <c r="D99" s="31" t="n">
        <v>463.2008593666674</v>
      </c>
      <c r="E99" s="31" t="n">
        <v>3181.638749032521</v>
      </c>
      <c r="F99" s="31" t="n">
        <v>14464.15861378085</v>
      </c>
      <c r="G99" s="31" t="n">
        <v>22945.88302564074</v>
      </c>
      <c r="H99" s="31" t="n">
        <v>31705.7592120493</v>
      </c>
      <c r="I99" s="31" t="n">
        <v>39827.19943149634</v>
      </c>
      <c r="J99" s="31" t="n">
        <v>47139.82851364784</v>
      </c>
      <c r="K99" s="31" t="n">
        <v>52536.07850632688</v>
      </c>
      <c r="L99" s="31" t="n">
        <v>57029.49788909592</v>
      </c>
    </row>
    <row r="100">
      <c r="A100" s="31" t="inlineStr">
        <is>
          <t>Total R&amp;D</t>
        </is>
      </c>
      <c r="B100" s="31" t="n">
        <v>63</v>
      </c>
      <c r="C100" s="31" t="n">
        <v>226.6</v>
      </c>
      <c r="D100" s="31" t="n">
        <v>4376.5</v>
      </c>
      <c r="E100" s="31" t="n">
        <v>6236</v>
      </c>
      <c r="F100" s="31" t="n">
        <v>28150</v>
      </c>
      <c r="G100" s="31" t="n">
        <v>39946</v>
      </c>
      <c r="H100" s="31" t="n">
        <v>49680</v>
      </c>
      <c r="I100" s="31" t="n">
        <v>56532</v>
      </c>
      <c r="J100" s="31" t="n">
        <v>62347.5</v>
      </c>
      <c r="K100" s="31" t="n">
        <v>66359.5</v>
      </c>
      <c r="L100" s="31" t="n">
        <v>68869.5</v>
      </c>
    </row>
    <row r="101">
      <c r="A101" s="31" t="inlineStr">
        <is>
          <t>Total S&amp;M</t>
        </is>
      </c>
      <c r="B101" s="31" t="n">
        <v>2.24</v>
      </c>
      <c r="C101" s="31" t="n">
        <v>11.7</v>
      </c>
      <c r="D101" s="31" t="n">
        <v>59</v>
      </c>
      <c r="E101" s="31" t="n">
        <v>350.8</v>
      </c>
      <c r="F101" s="31" t="n">
        <v>1468</v>
      </c>
      <c r="G101" s="31" t="n">
        <v>2358.5</v>
      </c>
      <c r="H101" s="31" t="n">
        <v>3116</v>
      </c>
      <c r="I101" s="31" t="n">
        <v>3787.5</v>
      </c>
      <c r="J101" s="31" t="n">
        <v>4365</v>
      </c>
      <c r="K101" s="31" t="n">
        <v>4865.5</v>
      </c>
      <c r="L101" s="31" t="n">
        <v>5290.2</v>
      </c>
    </row>
    <row r="102">
      <c r="A102" s="31" t="inlineStr">
        <is>
          <t>Total G&amp;A</t>
        </is>
      </c>
      <c r="B102" s="31" t="n">
        <v>5.12</v>
      </c>
      <c r="C102" s="31" t="n">
        <v>16.64</v>
      </c>
      <c r="D102" s="31" t="n">
        <v>59.8</v>
      </c>
      <c r="E102" s="31" t="n">
        <v>234.3</v>
      </c>
      <c r="F102" s="31" t="n">
        <v>865</v>
      </c>
      <c r="G102" s="31" t="n">
        <v>1275</v>
      </c>
      <c r="H102" s="31" t="n">
        <v>1584</v>
      </c>
      <c r="I102" s="31" t="n">
        <v>1865.7</v>
      </c>
      <c r="J102" s="31" t="n">
        <v>2091</v>
      </c>
      <c r="K102" s="31" t="n">
        <v>2311.8</v>
      </c>
      <c r="L102" s="31" t="n">
        <v>2494</v>
      </c>
    </row>
    <row r="103">
      <c r="A103" s="31" t="inlineStr">
        <is>
          <t>Total online GW</t>
        </is>
      </c>
      <c r="B103" s="31" t="n">
        <v>0.02</v>
      </c>
      <c r="C103" s="31" t="n">
        <v>0.05</v>
      </c>
      <c r="D103" s="31" t="n">
        <v>0.15</v>
      </c>
      <c r="E103" s="31" t="n">
        <v>0.42</v>
      </c>
      <c r="F103" s="31" t="n">
        <v>2.25</v>
      </c>
      <c r="G103" s="31" t="n">
        <v>5.899999999999999</v>
      </c>
      <c r="H103" s="31" t="n">
        <v>9.15</v>
      </c>
      <c r="I103" s="31" t="n">
        <v>11.6</v>
      </c>
      <c r="J103" s="31" t="n">
        <v>12.7</v>
      </c>
      <c r="K103" s="31" t="n">
        <v>13.65</v>
      </c>
      <c r="L103" s="31" t="n">
        <v>13.85</v>
      </c>
    </row>
    <row r="104">
      <c r="A104" s="31" t="inlineStr">
        <is>
          <t>Committed ceiling GW</t>
        </is>
      </c>
      <c r="B104" s="31" t="n">
        <v>0.05</v>
      </c>
      <c r="C104" s="31" t="n">
        <v>0.12</v>
      </c>
      <c r="D104" s="31" t="n">
        <v>0.35</v>
      </c>
      <c r="E104" s="31" t="n">
        <v>0.9</v>
      </c>
      <c r="F104" s="31" t="n">
        <v>3</v>
      </c>
      <c r="G104" s="31" t="n">
        <v>7.5</v>
      </c>
      <c r="H104" s="31" t="n">
        <v>11</v>
      </c>
      <c r="I104" s="31" t="n">
        <v>14</v>
      </c>
      <c r="J104" s="31" t="n">
        <v>15.5</v>
      </c>
      <c r="K104" s="31" t="n">
        <v>16.5</v>
      </c>
      <c r="L104" s="31" t="n">
        <v>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5" customWidth="1" min="2" max="2"/>
  </cols>
  <sheetData>
    <row r="1">
      <c r="A1" s="1" t="inlineStr">
        <is>
          <t>Anthropic Operating Model - Sources &amp; Methodology</t>
        </is>
      </c>
    </row>
    <row r="3">
      <c r="A3" s="11" t="inlineStr">
        <is>
          <t>METHODOLOGY</t>
        </is>
      </c>
      <c r="B3" s="33" t="n"/>
    </row>
    <row r="4">
      <c r="A4" s="34" t="inlineStr">
        <is>
          <t>Prepared</t>
        </is>
      </c>
      <c r="B4" s="6" t="inlineStr">
        <is>
          <t>July 2026. Anthropic is private and pre-IPO (confidential S-1 filed Jun 1, 2026; IPO expected Oct 2026). All P&amp;L/headcount lines are third-party estimates; funding/valuation are PitchBook actual-status deal records.</t>
        </is>
      </c>
    </row>
    <row r="5">
      <c r="A5" s="34" t="inlineStr">
        <is>
          <t>Basis</t>
        </is>
      </c>
      <c r="B5" s="6" t="inlineStr">
        <is>
          <t>Model runs on an annualized / run-rate basis matching PitchBook TTM by default; on that basis 2026 prints ~breakeven (consistent with the reported Q2-2026 first operating-profit quarter). The Recognized basis restates revenue to a GAAP-style recognized level (~50% of run-rate in 2026) while holding workforce and capex absolute, producing a wider operating loss.</t>
        </is>
      </c>
    </row>
    <row r="6">
      <c r="A6" s="34" t="inlineStr">
        <is>
          <t>COGS definition</t>
        </is>
      </c>
      <c r="B6" s="6" t="inlineStr">
        <is>
          <t>Cost of revenue = inference serving + safety/payments/support only. Training compute is R&amp;D (template cap toggle). So the model gross margin (~70-78% mature) is inference-only and differs from the fully-loaded "~40% gross margin (2025)" press figure by construction.</t>
        </is>
      </c>
    </row>
    <row r="7">
      <c r="A7" s="34" t="inlineStr">
        <is>
          <t>Interactivity</t>
        </is>
      </c>
      <c r="B7" s="6" t="inlineStr">
        <is>
          <t>Controls sheet drives a live CHOOSE across 6 precomputed blocks (Scenario Base/Best/Worst x Basis Run-rate/Recognized). Charts show the Base/Run-rate snapshot.</t>
        </is>
      </c>
    </row>
    <row r="8">
      <c r="A8" s="34" t="inlineStr">
        <is>
          <t>Estimates</t>
        </is>
      </c>
      <c r="B8" s="6" t="inlineStr">
        <is>
          <t>All 2027-2032 years and every undisclosed driver are modeled estimates. Hard anchors: revenue TTM, list pricing, funding/valuation, 2026 headcount, named compute deals (below).</t>
        </is>
      </c>
    </row>
    <row r="9">
      <c r="A9" s="11" t="inlineStr">
        <is>
          <t>PRIMARY / STRUCTURED</t>
        </is>
      </c>
      <c r="B9" s="33" t="n"/>
    </row>
    <row r="10">
      <c r="A10" s="34" t="inlineStr">
        <is>
          <t>PitchBook Premium</t>
        </is>
      </c>
      <c r="B10" s="6" t="inlineStr">
        <is>
          <t>Company 466959-97 (profile, financials, deals). Revenue TTM: 2022 $10M, 2023 $100M, 2024 $1,000M, 2025 $9,000M, 2026 $47,000M, 2027 $55,000M (forward). Total raised $161.25B; last valuation $965B (May 28, 2026).</t>
        </is>
      </c>
    </row>
    <row r="11">
      <c r="A11" s="11" t="inlineStr">
        <is>
          <t>REVENUE / FINANCIALS</t>
        </is>
      </c>
      <c r="B11" s="33" t="n"/>
    </row>
    <row r="12">
      <c r="A12" s="6" t="inlineStr">
        <is>
          <t>Anthropic Series H</t>
        </is>
      </c>
      <c r="B12" s="35" t="inlineStr">
        <is>
          <t>https://www.anthropic.com/news/series-h</t>
        </is>
      </c>
    </row>
    <row r="13">
      <c r="A13" s="6" t="inlineStr">
        <is>
          <t>The Information - margin/revenue</t>
        </is>
      </c>
      <c r="B13" s="35" t="inlineStr">
        <is>
          <t>https://www.theinformation.com/articles/anthropic-lowers-profit-margin-projection-revenue-skyrockets</t>
        </is>
      </c>
    </row>
    <row r="14">
      <c r="A14" s="6" t="inlineStr">
        <is>
          <t>SaaStr - passed OpenAI in revenue</t>
        </is>
      </c>
      <c r="B14" s="35" t="inlineStr">
        <is>
          <t>https://www.saastr.com/anthropic-just-passed-openai-in-revenue-while-spending-4x-less-to-train-their-models/</t>
        </is>
      </c>
    </row>
    <row r="15">
      <c r="A15" s="6" t="inlineStr">
        <is>
          <t>SaaStr - 5,000 employees efficiency</t>
        </is>
      </c>
      <c r="B15" s="35" t="inlineStr">
        <is>
          <t>https://www.saastr.com/anthropic-only-has-5000-employees-almost-no-one-has-ever-been-this-efficient-thats-by-choice/</t>
        </is>
      </c>
    </row>
    <row r="16">
      <c r="A16" s="6" t="inlineStr">
        <is>
          <t>Cybernews - OpenAI/Anthropic profit</t>
        </is>
      </c>
      <c r="B16" s="35" t="inlineStr">
        <is>
          <t>https://cybernews.com/ai-news/openai-anthropic-profit-revenue-ai/</t>
        </is>
      </c>
    </row>
    <row r="17">
      <c r="A17" s="6" t="inlineStr">
        <is>
          <t>Prof G - how unprofitable is AI</t>
        </is>
      </c>
      <c r="B17" s="35" t="inlineStr">
        <is>
          <t>https://www.profgmedia.com/p/how-unprofitable-is-ai-really</t>
        </is>
      </c>
    </row>
    <row r="18">
      <c r="A18" s="6" t="inlineStr">
        <is>
          <t>Markman - first profitable quarter</t>
        </is>
      </c>
      <c r="B18" s="35" t="inlineStr">
        <is>
          <t>https://markmancapitalinsight.substack.com/p/anthropic-just-booked-its-first-profitable</t>
        </is>
      </c>
    </row>
    <row r="19">
      <c r="A19" s="6" t="inlineStr">
        <is>
          <t>Klover - path to profit</t>
        </is>
      </c>
      <c r="B19" s="35" t="inlineStr">
        <is>
          <t>https://www.klover.ai/is_ai_profitable_anthropics_path_toward_profit_analysis_2026/</t>
        </is>
      </c>
    </row>
    <row r="20">
      <c r="A20" s="6" t="inlineStr">
        <is>
          <t>Lambda Finance - compute costs</t>
        </is>
      </c>
      <c r="B20" s="35" t="inlineStr">
        <is>
          <t>https://www.lambdafin.com/articles/anthropic-compute-costs</t>
        </is>
      </c>
    </row>
    <row r="21">
      <c r="A21" s="6" t="inlineStr">
        <is>
          <t>Sacra - Anthropic</t>
        </is>
      </c>
      <c r="B21" s="35" t="inlineStr">
        <is>
          <t>https://sacra.com/c/anthropic/</t>
        </is>
      </c>
    </row>
    <row r="22">
      <c r="A22" s="11" t="inlineStr">
        <is>
          <t>API PRICING</t>
        </is>
      </c>
      <c r="B22" s="33" t="n"/>
    </row>
    <row r="23">
      <c r="A23" s="6" t="inlineStr">
        <is>
          <t>Anthropic pricing (docs)</t>
        </is>
      </c>
      <c r="B23" s="35" t="inlineStr">
        <is>
          <t>https://platform.claude.com/docs/en/about-claude/pricing</t>
        </is>
      </c>
    </row>
    <row r="24">
      <c r="A24" s="6" t="inlineStr">
        <is>
          <t>Anthropic pricing (site)</t>
        </is>
      </c>
      <c r="B24" s="35" t="inlineStr">
        <is>
          <t>https://claude.com/pricing</t>
        </is>
      </c>
    </row>
    <row r="25">
      <c r="A25" s="6" t="inlineStr">
        <is>
          <t>Anthropic - prompt caching</t>
        </is>
      </c>
      <c r="B25" s="35" t="inlineStr">
        <is>
          <t>https://platform.claude.com/docs/en/build-with-claude/prompt-caching</t>
        </is>
      </c>
    </row>
    <row r="26">
      <c r="A26" s="6" t="inlineStr">
        <is>
          <t>Anthropic - batch processing</t>
        </is>
      </c>
      <c r="B26" s="35" t="inlineStr">
        <is>
          <t>https://platform.claude.com/docs/en/build-with-claude/batch-processing</t>
        </is>
      </c>
    </row>
    <row r="27">
      <c r="A27" s="6" t="inlineStr">
        <is>
          <t>Anthropic - Claude 4</t>
        </is>
      </c>
      <c r="B27" s="35" t="inlineStr">
        <is>
          <t>https://www.anthropic.com/news/claude-4</t>
        </is>
      </c>
    </row>
    <row r="28">
      <c r="A28" s="6" t="inlineStr">
        <is>
          <t>Anthropic - Claude 3.5 Sonnet</t>
        </is>
      </c>
      <c r="B28" s="35" t="inlineStr">
        <is>
          <t>https://www.anthropic.com/news/claude-3-5-sonnet</t>
        </is>
      </c>
    </row>
    <row r="29">
      <c r="A29" s="6" t="inlineStr">
        <is>
          <t>Anthropic - Claude Sonnet 5</t>
        </is>
      </c>
      <c r="B29" s="35" t="inlineStr">
        <is>
          <t>https://www.anthropic.com/news/claude-sonnet-5</t>
        </is>
      </c>
    </row>
    <row r="30">
      <c r="A30" s="6" t="inlineStr">
        <is>
          <t>TechCrunch - Sonnet 5 launch</t>
        </is>
      </c>
      <c r="B30" s="35" t="inlineStr">
        <is>
          <t>https://techcrunch.com/2026/06/30/anthropic-launches-claude-sonnet-5-as-a-cheaper-way-to-run-agents/</t>
        </is>
      </c>
    </row>
    <row r="31">
      <c r="A31" s="6" t="inlineStr">
        <is>
          <t>claudefa.st - model history</t>
        </is>
      </c>
      <c r="B31" s="35" t="inlineStr">
        <is>
          <t>https://claudefa.st/blog/models</t>
        </is>
      </c>
    </row>
    <row r="32">
      <c r="A32" s="6" t="inlineStr">
        <is>
          <t>ArtificialAnalysis - Claude 2.1</t>
        </is>
      </c>
      <c r="B32" s="35" t="inlineStr">
        <is>
          <t>https://artificialanalysis.ai/models/claude-21</t>
        </is>
      </c>
    </row>
    <row r="33">
      <c r="A33" s="6" t="inlineStr">
        <is>
          <t>pricepertoken - Claude Instant</t>
        </is>
      </c>
      <c r="B33" s="35" t="inlineStr">
        <is>
          <t>https://pricepertoken.com/pricing-page/model/anthropic-claude-instant</t>
        </is>
      </c>
    </row>
    <row r="34">
      <c r="A34" s="6" t="inlineStr">
        <is>
          <t>pricepertoken - Claude 3 Haiku</t>
        </is>
      </c>
      <c r="B34" s="35" t="inlineStr">
        <is>
          <t>https://pricepertoken.com/pricing-page/model/anthropic-claude-3-haiku</t>
        </is>
      </c>
    </row>
    <row r="35">
      <c r="A35" s="6" t="inlineStr">
        <is>
          <t>CloudZero - Claude API pricing</t>
        </is>
      </c>
      <c r="B35" s="35" t="inlineStr">
        <is>
          <t>https://www.cloudzero.com/blog/claude-api-pricing/</t>
        </is>
      </c>
    </row>
    <row r="36">
      <c r="A36" s="6" t="inlineStr">
        <is>
          <t>Finout - Anthropic API pricing</t>
        </is>
      </c>
      <c r="B36" s="35" t="inlineStr">
        <is>
          <t>https://www.finout.io/blog/anthropic-api-pricing</t>
        </is>
      </c>
    </row>
    <row r="37">
      <c r="A37" s="6" t="inlineStr">
        <is>
          <t>MetaCTO - Anthropic API pricing</t>
        </is>
      </c>
      <c r="B37" s="35" t="inlineStr">
        <is>
          <t>https://www.metacto.com/blogs/anthropic-api-pricing-a-full-breakdown-of-costs-and-integration</t>
        </is>
      </c>
    </row>
    <row r="38">
      <c r="A38" s="6" t="inlineStr">
        <is>
          <t>IntuitionLabs - Claude plans</t>
        </is>
      </c>
      <c r="B38" s="35" t="inlineStr">
        <is>
          <t>https://intuitionlabs.ai/articles/claude-pricing-plans-api-costs</t>
        </is>
      </c>
    </row>
    <row r="39">
      <c r="A39" s="6" t="inlineStr">
        <is>
          <t>AImodelcalc - Claude API pricing</t>
        </is>
      </c>
      <c r="B39" s="35" t="inlineStr">
        <is>
          <t>https://aimodelcalc.com/guides/claude-api-pricing</t>
        </is>
      </c>
    </row>
    <row r="40">
      <c r="A40" s="6" t="inlineStr">
        <is>
          <t>TLDL - Anthropic API pricing</t>
        </is>
      </c>
      <c r="B40" s="35" t="inlineStr">
        <is>
          <t>https://www.tldl.io/resources/anthropic-api-pricing</t>
        </is>
      </c>
    </row>
    <row r="41">
      <c r="A41" s="6" t="inlineStr">
        <is>
          <t>BenchLM - Anthropic API pricing</t>
        </is>
      </c>
      <c r="B41" s="35" t="inlineStr">
        <is>
          <t>https://benchlm.ai/anthropic/api-pricing</t>
        </is>
      </c>
    </row>
    <row r="42">
      <c r="A42" s="6" t="inlineStr">
        <is>
          <t>Costgoat - Claude API</t>
        </is>
      </c>
      <c r="B42" s="35" t="inlineStr">
        <is>
          <t>https://costgoat.com/pricing/claude-api</t>
        </is>
      </c>
    </row>
    <row r="43">
      <c r="A43" s="6" t="inlineStr">
        <is>
          <t>Evolink - Claude API pricing</t>
        </is>
      </c>
      <c r="B43" s="35" t="inlineStr">
        <is>
          <t>https://evolink.ai/blog/claude-api-pricing-guide-2026</t>
        </is>
      </c>
    </row>
    <row r="44">
      <c r="A44" s="6" t="inlineStr">
        <is>
          <t>PEC - Anthropic API pricing</t>
        </is>
      </c>
      <c r="B44" s="35" t="inlineStr">
        <is>
          <t>https://pecollective.com/tools/anthropic-api-pricing/</t>
        </is>
      </c>
    </row>
    <row r="45">
      <c r="A45" s="11" t="inlineStr">
        <is>
          <t>COMPUTE / CAPACITY DEALS</t>
        </is>
      </c>
      <c r="B45" s="33" t="n"/>
    </row>
    <row r="46">
      <c r="A46" s="6" t="inlineStr">
        <is>
          <t>Anthropic + Amazon (5GW)</t>
        </is>
      </c>
      <c r="B46" s="35" t="inlineStr">
        <is>
          <t>https://www.anthropic.com/news/anthropic-amazon-compute</t>
        </is>
      </c>
    </row>
    <row r="47">
      <c r="A47" s="6" t="inlineStr">
        <is>
          <t>Amazon - additional $5B</t>
        </is>
      </c>
      <c r="B47" s="35" t="inlineStr">
        <is>
          <t>https://www.aboutamazon.com/news/company-news/amazon-invests-additional-5-billion-anthropic-ai</t>
        </is>
      </c>
    </row>
    <row r="48">
      <c r="A48" s="6" t="inlineStr">
        <is>
          <t>Anthropic + Google/Broadcom</t>
        </is>
      </c>
      <c r="B48" s="35" t="inlineStr">
        <is>
          <t>https://www.anthropic.com/news/google-broadcom-partnership-compute</t>
        </is>
      </c>
    </row>
    <row r="49">
      <c r="A49" s="6" t="inlineStr">
        <is>
          <t>SiliconRepublic - 3.5GW TPU</t>
        </is>
      </c>
      <c r="B49" s="35" t="inlineStr">
        <is>
          <t>https://www.siliconrepublic.com/machines/anthropic-google-broadcom-announce-3-5gw-tpu-deal</t>
        </is>
      </c>
    </row>
    <row r="50">
      <c r="A50" s="6" t="inlineStr">
        <is>
          <t>US News/The Information - $200B Google</t>
        </is>
      </c>
      <c r="B50" s="35" t="inlineStr">
        <is>
          <t>https://www.usnews.com/news/top-news/articles/2026-05-05/anthropic-commits-to-spending-200-billion-on-googles-cloud-and-chips-the-information-reports</t>
        </is>
      </c>
    </row>
    <row r="51">
      <c r="A51" s="6" t="inlineStr">
        <is>
          <t>Tom's Hardware - 3.5GW from 2027</t>
        </is>
      </c>
      <c r="B51" s="35" t="inlineStr">
        <is>
          <t>https://www.tomshardware.com/tech-industry/broadcom-expands-anthropic-deal-to-3-5gw-of-google-tpu-capacity-from-2027</t>
        </is>
      </c>
    </row>
    <row r="52">
      <c r="A52" s="6" t="inlineStr">
        <is>
          <t>CNBC - Broadcom/Google/Anthropic</t>
        </is>
      </c>
      <c r="B52" s="35" t="inlineStr">
        <is>
          <t>https://www.cnbc.com/2026/04/06/broadcom-agrees-to-expanded-chip-deals-with-google-anthropic.html</t>
        </is>
      </c>
    </row>
    <row r="53">
      <c r="A53" s="6" t="inlineStr">
        <is>
          <t>Microsoft/Nvidia/Anthropic</t>
        </is>
      </c>
      <c r="B53" s="35" t="inlineStr">
        <is>
          <t>https://blogs.microsoft.com/blog/2025/11/18/microsoft-nvidia-and-anthropic-announce-strategic-partnerships/</t>
        </is>
      </c>
    </row>
    <row r="54">
      <c r="A54" s="6" t="inlineStr">
        <is>
          <t>DCD - $30B Azure</t>
        </is>
      </c>
      <c r="B54" s="35" t="inlineStr">
        <is>
          <t>https://www.datacenterdynamics.com/en/news/anthropic-to-purchase-30bn-in-microsoft-azure-credits-nvidia-and-microsoft-to-invest-in-ai-company/</t>
        </is>
      </c>
    </row>
    <row r="55">
      <c r="A55" s="6" t="inlineStr">
        <is>
          <t>TechCrunch - SpaceX $1.25B/mo</t>
        </is>
      </c>
      <c r="B55" s="35" t="inlineStr">
        <is>
          <t>https://techcrunch.com/2026/05/20/anthropic-will-pay-xai-1-25-billion-per-month-for-compute/</t>
        </is>
      </c>
    </row>
    <row r="56">
      <c r="A56" s="6" t="inlineStr">
        <is>
          <t>Axios - Anthropic/SpaceX compute</t>
        </is>
      </c>
      <c r="B56" s="35" t="inlineStr">
        <is>
          <t>https://www.axios.com/2026/05/20/anthropic-spacex-compute</t>
        </is>
      </c>
    </row>
    <row r="57">
      <c r="A57" s="6" t="inlineStr">
        <is>
          <t>Anthropic - $50B US infrastructure</t>
        </is>
      </c>
      <c r="B57" s="35" t="inlineStr">
        <is>
          <t>https://www.anthropic.com/news/anthropic-invests-50-billion-in-american-ai-infrastructure</t>
        </is>
      </c>
    </row>
    <row r="58">
      <c r="A58" s="6" t="inlineStr">
        <is>
          <t>CNBC - TX/NY data centers</t>
        </is>
      </c>
      <c r="B58" s="35" t="inlineStr">
        <is>
          <t>https://www.cnbc.com/2025/11/12/anthropic-ai-data-centers-texas-new-york.html</t>
        </is>
      </c>
    </row>
    <row r="59">
      <c r="A59" s="6" t="inlineStr">
        <is>
          <t>CoreWeave - Anthropic agreement</t>
        </is>
      </c>
      <c r="B59" s="35" t="inlineStr">
        <is>
          <t>https://www.coreweave.com/news/coreweave-announces-multi-year-agreement-with-anthropic</t>
        </is>
      </c>
    </row>
    <row r="60">
      <c r="A60" s="6" t="inlineStr">
        <is>
          <t>Forbes - CoreWeave deals</t>
        </is>
      </c>
      <c r="B60" s="35" t="inlineStr">
        <is>
          <t>https://www.forbes.com/sites/janakirammsv/2026/04/13/coreweave-becomes-ais-landlord-with-meta-and-anthropic-deals/</t>
        </is>
      </c>
    </row>
    <row r="61">
      <c r="A61" s="6" t="inlineStr">
        <is>
          <t>Forbes - Akamai $1.8B</t>
        </is>
      </c>
      <c r="B61" s="35" t="inlineStr">
        <is>
          <t>https://www.forbes.com/sites/janakirammsv/2026/05/08/akamai-lands-18-billion-anthropic-deal-as-cdn-becomes-ai-cloud/</t>
        </is>
      </c>
    </row>
    <row r="62">
      <c r="A62" s="6" t="inlineStr">
        <is>
          <t>Futurum - TPU structural advantage</t>
        </is>
      </c>
      <c r="B62" s="35" t="inlineStr">
        <is>
          <t>https://futurumgroup.com/insights/anthropics-gigawatt-scale-tpu-deal-with-broadcom-creates-a-structural-advantage/</t>
        </is>
      </c>
    </row>
    <row r="63">
      <c r="A63" s="6" t="inlineStr">
        <is>
          <t>DCD - Project Rainier 500k Trainium2</t>
        </is>
      </c>
      <c r="B63" s="35" t="inlineStr">
        <is>
          <t>https://www.datacenterdynamics.com/en/news/aws-activates-project-rainier-cluster-of-nearly-500000-trainium2-chips/</t>
        </is>
      </c>
    </row>
    <row r="64">
      <c r="A64" s="6" t="inlineStr">
        <is>
          <t>Data Centre Magazine - Rainier</t>
        </is>
      </c>
      <c r="B64" s="35" t="inlineStr">
        <is>
          <t>https://datacentremagazine.com/news/aws-how-500-000-trainium2-chips-power-project-rainier</t>
        </is>
      </c>
    </row>
    <row r="65">
      <c r="A65" s="6" t="inlineStr">
        <is>
          <t>The New Stack - $100B AWS</t>
        </is>
      </c>
      <c r="B65" s="35" t="inlineStr">
        <is>
          <t>https://thenewstack.io/anthropic-amazon-aws-investment/</t>
        </is>
      </c>
    </row>
    <row r="66">
      <c r="A66" s="6" t="inlineStr">
        <is>
          <t>TradingKey - $100B Amazon</t>
        </is>
      </c>
      <c r="B66" s="35" t="inlineStr">
        <is>
          <t>https://www.tradingkey.com/analysis/stocks/us-stocks/261804457-anthropic-amazon-aws-trainium-openai-tradingkey</t>
        </is>
      </c>
    </row>
    <row r="67">
      <c r="A67" s="6" t="inlineStr">
        <is>
          <t>Yahoo - Google/Broadcom, revenue tripled</t>
        </is>
      </c>
      <c r="B67" s="35" t="inlineStr">
        <is>
          <t>https://finance.yahoo.com/sectors/technology/articles/anthropic-google-broadcom-tpu-deal-113234906.html</t>
        </is>
      </c>
    </row>
    <row r="68">
      <c r="A68" s="6" t="inlineStr">
        <is>
          <t>LightSource - Google 1M TPUs</t>
        </is>
      </c>
      <c r="B68" s="35" t="inlineStr">
        <is>
          <t>https://lightsource.ai/blog/google-sold-anthropic-a-million-tpus</t>
        </is>
      </c>
    </row>
    <row r="69">
      <c r="A69" s="6" t="inlineStr">
        <is>
          <t>Oplexa - Broadcom/Google TPU deal</t>
        </is>
      </c>
      <c r="B69" s="35" t="inlineStr">
        <is>
          <t>https://oplexa.com/broadcom-google-tpu-deal-2026/</t>
        </is>
      </c>
    </row>
    <row r="70">
      <c r="A70" s="6" t="inlineStr">
        <is>
          <t>Private Credit Pulse - $30B/8mo</t>
        </is>
      </c>
      <c r="B70" s="35" t="inlineStr">
        <is>
          <t>https://privatecreditpulse.substack.com/p/anthropics-30b-every-eight-months</t>
        </is>
      </c>
    </row>
    <row r="71">
      <c r="A71" s="11" t="inlineStr">
        <is>
          <t>FUNDING / VALUATION / HEADCOUNT</t>
        </is>
      </c>
      <c r="B71" s="33" t="n"/>
    </row>
    <row r="72">
      <c r="A72" s="6" t="inlineStr">
        <is>
          <t>Anthropic - Series F $183B</t>
        </is>
      </c>
      <c r="B72" s="35" t="inlineStr">
        <is>
          <t>https://www.anthropic.com/news/anthropic-raises-series-f-at-usd183b-post-money-valuation</t>
        </is>
      </c>
    </row>
    <row r="73">
      <c r="A73" s="6" t="inlineStr">
        <is>
          <t>Anthropic - Series G $380B</t>
        </is>
      </c>
      <c r="B73" s="35" t="inlineStr">
        <is>
          <t>https://www.anthropic.com/news/anthropic-raises-30-billion-series-g-funding-380-billion-post-money-valuation</t>
        </is>
      </c>
    </row>
    <row r="74">
      <c r="A74" s="6" t="inlineStr">
        <is>
          <t>CNBC - Google $2B commitment</t>
        </is>
      </c>
      <c r="B74" s="35" t="inlineStr">
        <is>
          <t>https://www.cnbc.com/2023/10/27/google-commits-to-invest-2-billion-in-openai-competitor-anthropic.html</t>
        </is>
      </c>
    </row>
    <row r="75">
      <c r="A75" s="6" t="inlineStr">
        <is>
          <t>CNBC - $2.5B credit facility</t>
        </is>
      </c>
      <c r="B75" s="35" t="inlineStr">
        <is>
          <t>https://www.cnbc.com/2025/05/16/anthropic-ai-credit-facility.html</t>
        </is>
      </c>
    </row>
    <row r="76">
      <c r="A76" s="6" t="inlineStr">
        <is>
          <t>CNBC - Amazon up to $25B</t>
        </is>
      </c>
      <c r="B76" s="35" t="inlineStr">
        <is>
          <t>https://www.cnbc.com/2026/04/20/amazon-invest-up-to-25-billion-in-anthropic-part-of-ai-infrastructure.html</t>
        </is>
      </c>
    </row>
    <row r="77">
      <c r="A77" s="6" t="inlineStr">
        <is>
          <t>Fortune - Amazon/Google billions</t>
        </is>
      </c>
      <c r="B77" s="35" t="inlineStr">
        <is>
          <t>https://fortune.com/2026/06/04/amazon-google-billions-anthropic-ipo/</t>
        </is>
      </c>
    </row>
    <row r="78">
      <c r="A78" s="6" t="inlineStr">
        <is>
          <t>Axios - Apollo/Blackstone $34.5B debt</t>
        </is>
      </c>
      <c r="B78" s="35" t="inlineStr">
        <is>
          <t>https://www.axios.com/2026/06/10/apollo-anthropic-blackstone-broadcom</t>
        </is>
      </c>
    </row>
    <row r="79">
      <c r="A79" s="6" t="inlineStr">
        <is>
          <t>Cryptobriefing - $35B debt deal</t>
        </is>
      </c>
      <c r="B79" s="35" t="inlineStr">
        <is>
          <t>https://cryptobriefing.com/apollo-blackstone-anthropic-35b-debt-deal/</t>
        </is>
      </c>
    </row>
    <row r="80">
      <c r="A80" s="6" t="inlineStr">
        <is>
          <t>PYMNTS - new credit pre-IPO</t>
        </is>
      </c>
      <c r="B80" s="35" t="inlineStr">
        <is>
          <t>https://www.pymnts.com/news/investment-tracker/ipo/2026/anthropic-seeks-billions-dollars-new-credit-amid-ipo-preparations/</t>
        </is>
      </c>
    </row>
    <row r="81">
      <c r="A81" s="6" t="inlineStr">
        <is>
          <t>Synthedia - Amazon $4B</t>
        </is>
      </c>
      <c r="B81" s="35" t="inlineStr">
        <is>
          <t>https://synthedia.substack.com/p/amazon-completes-4b-anthropic-investment</t>
        </is>
      </c>
    </row>
    <row r="82">
      <c r="A82" s="6" t="inlineStr">
        <is>
          <t>StockAnalysis - invest in Anthropic</t>
        </is>
      </c>
      <c r="B82" s="35" t="inlineStr">
        <is>
          <t>https://stockanalysis.com/article/invest-in-anthropic-stock/</t>
        </is>
      </c>
    </row>
    <row r="83">
      <c r="A83" s="6" t="inlineStr">
        <is>
          <t>Wikipedia - Anthropic</t>
        </is>
      </c>
      <c r="B83" s="35" t="inlineStr">
        <is>
          <t>https://en.wikipedia.org/wiki/Anthropic</t>
        </is>
      </c>
    </row>
    <row r="84">
      <c r="A84" s="6" t="inlineStr">
        <is>
          <t>Revelio Labs - headcount</t>
        </is>
      </c>
      <c r="B84" s="35" t="inlineStr">
        <is>
          <t>https://www.reveliolabs.com/companies/anthropic-pbc/employees/</t>
        </is>
      </c>
    </row>
    <row r="85">
      <c r="A85" s="6" t="inlineStr">
        <is>
          <t>SEO.ai - employee count</t>
        </is>
      </c>
      <c r="B85" s="35" t="inlineStr">
        <is>
          <t>https://seo.ai/blog/how-many-people-work-at-anthropic</t>
        </is>
      </c>
    </row>
    <row r="86">
      <c r="A86" s="6" t="inlineStr">
        <is>
          <t>MakerStations - employee stats</t>
        </is>
      </c>
      <c r="B86" s="35" t="inlineStr">
        <is>
          <t>https://www.makerstations.io/anthropic-employee-statistics/</t>
        </is>
      </c>
    </row>
    <row r="87">
      <c r="A87" s="6" t="inlineStr">
        <is>
          <t>Tracxn - Anthropic</t>
        </is>
      </c>
      <c r="B87" s="35" t="inlineStr">
        <is>
          <t>https://tracxn.com/d/companies/anthropic</t>
        </is>
      </c>
    </row>
    <row r="88">
      <c r="A88" s="6" t="inlineStr">
        <is>
          <t>Levels.fyi - salaries</t>
        </is>
      </c>
      <c r="B88" s="35" t="inlineStr">
        <is>
          <t>https://www.levels.fyi/companies/anthropic/salaries/</t>
        </is>
      </c>
    </row>
    <row r="89">
      <c r="A89" s="6" t="inlineStr">
        <is>
          <t>Levels.fyi - software engineer</t>
        </is>
      </c>
      <c r="B89" s="35" t="inlineStr">
        <is>
          <t>https://www.levels.fyi/companies/anthropic/salaries/software-engineer</t>
        </is>
      </c>
    </row>
    <row r="90">
      <c r="A90" s="6" t="inlineStr">
        <is>
          <t>Levels.fyi - trust &amp; safety</t>
        </is>
      </c>
      <c r="B90" s="35" t="inlineStr">
        <is>
          <t>https://www.levels.fyi/companies/anthropic/salaries/trust-and-safety</t>
        </is>
      </c>
    </row>
    <row r="91">
      <c r="A91" s="6" t="inlineStr">
        <is>
          <t>NAHC - salary overview</t>
        </is>
      </c>
      <c r="B91" s="35" t="inlineStr">
        <is>
          <t>https://www.nahc.io/blog/anthropic-salary-overview-how-much-do-employees-get-paid</t>
        </is>
      </c>
    </row>
    <row r="92">
      <c r="A92" s="6" t="inlineStr">
        <is>
          <t>JobsByCulture - compensation 2026</t>
        </is>
      </c>
      <c r="B92" s="35" t="inlineStr">
        <is>
          <t>https://jobsbyculture.com/blog/anthropic-compensation-2026</t>
        </is>
      </c>
    </row>
    <row r="93">
      <c r="A93" s="11" t="inlineStr">
        <is>
          <t>SOURCE-QUALITY CAVEAT</t>
        </is>
      </c>
      <c r="B93" s="33" t="n"/>
    </row>
    <row r="94">
      <c r="A94" s="34" t="inlineStr">
        <is>
          <t>Tiering</t>
        </is>
      </c>
      <c r="B94" s="6" t="inlineStr">
        <is>
          <t>Primary: Anthropic newsroom, PitchBook, Amazon/Microsoft/CoreWeave blogs, SEC-derived (SpaceX S-1 via TechCrunch/Axios), The Information, CNBC, Reuters, Fortune. Secondary/aggregator (pricing calculators, substacks, blogs) corroborate but are not first-party; treated as directional and cross-checked against primary where possible.</t>
        </is>
      </c>
    </row>
  </sheetData>
  <hyperlinks>
    <hyperlink xmlns:r="http://schemas.openxmlformats.org/officeDocument/2006/relationships" ref="B12" r:id="rId1"/>
    <hyperlink xmlns:r="http://schemas.openxmlformats.org/officeDocument/2006/relationships" ref="B13" r:id="rId2"/>
    <hyperlink xmlns:r="http://schemas.openxmlformats.org/officeDocument/2006/relationships" ref="B14" r:id="rId3"/>
    <hyperlink xmlns:r="http://schemas.openxmlformats.org/officeDocument/2006/relationships" ref="B15" r:id="rId4"/>
    <hyperlink xmlns:r="http://schemas.openxmlformats.org/officeDocument/2006/relationships" ref="B16" r:id="rId5"/>
    <hyperlink xmlns:r="http://schemas.openxmlformats.org/officeDocument/2006/relationships" ref="B17" r:id="rId6"/>
    <hyperlink xmlns:r="http://schemas.openxmlformats.org/officeDocument/2006/relationships" ref="B18" r:id="rId7"/>
    <hyperlink xmlns:r="http://schemas.openxmlformats.org/officeDocument/2006/relationships" ref="B19" r:id="rId8"/>
    <hyperlink xmlns:r="http://schemas.openxmlformats.org/officeDocument/2006/relationships" ref="B20" r:id="rId9"/>
    <hyperlink xmlns:r="http://schemas.openxmlformats.org/officeDocument/2006/relationships" ref="B21" r:id="rId10"/>
    <hyperlink xmlns:r="http://schemas.openxmlformats.org/officeDocument/2006/relationships" ref="B23" r:id="rId11"/>
    <hyperlink xmlns:r="http://schemas.openxmlformats.org/officeDocument/2006/relationships" ref="B24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29" r:id="rId17"/>
    <hyperlink xmlns:r="http://schemas.openxmlformats.org/officeDocument/2006/relationships" ref="B30" r:id="rId18"/>
    <hyperlink xmlns:r="http://schemas.openxmlformats.org/officeDocument/2006/relationships" ref="B31" r:id="rId19"/>
    <hyperlink xmlns:r="http://schemas.openxmlformats.org/officeDocument/2006/relationships" ref="B32" r:id="rId20"/>
    <hyperlink xmlns:r="http://schemas.openxmlformats.org/officeDocument/2006/relationships" ref="B33" r:id="rId21"/>
    <hyperlink xmlns:r="http://schemas.openxmlformats.org/officeDocument/2006/relationships" ref="B34" r:id="rId22"/>
    <hyperlink xmlns:r="http://schemas.openxmlformats.org/officeDocument/2006/relationships" ref="B35" r:id="rId23"/>
    <hyperlink xmlns:r="http://schemas.openxmlformats.org/officeDocument/2006/relationships" ref="B36" r:id="rId24"/>
    <hyperlink xmlns:r="http://schemas.openxmlformats.org/officeDocument/2006/relationships" ref="B37" r:id="rId25"/>
    <hyperlink xmlns:r="http://schemas.openxmlformats.org/officeDocument/2006/relationships" ref="B38" r:id="rId26"/>
    <hyperlink xmlns:r="http://schemas.openxmlformats.org/officeDocument/2006/relationships" ref="B39" r:id="rId27"/>
    <hyperlink xmlns:r="http://schemas.openxmlformats.org/officeDocument/2006/relationships" ref="B40" r:id="rId28"/>
    <hyperlink xmlns:r="http://schemas.openxmlformats.org/officeDocument/2006/relationships" ref="B41" r:id="rId29"/>
    <hyperlink xmlns:r="http://schemas.openxmlformats.org/officeDocument/2006/relationships" ref="B42" r:id="rId30"/>
    <hyperlink xmlns:r="http://schemas.openxmlformats.org/officeDocument/2006/relationships" ref="B43" r:id="rId31"/>
    <hyperlink xmlns:r="http://schemas.openxmlformats.org/officeDocument/2006/relationships" ref="B44" r:id="rId32"/>
    <hyperlink xmlns:r="http://schemas.openxmlformats.org/officeDocument/2006/relationships" ref="B46" r:id="rId33"/>
    <hyperlink xmlns:r="http://schemas.openxmlformats.org/officeDocument/2006/relationships" ref="B47" r:id="rId34"/>
    <hyperlink xmlns:r="http://schemas.openxmlformats.org/officeDocument/2006/relationships" ref="B48" r:id="rId35"/>
    <hyperlink xmlns:r="http://schemas.openxmlformats.org/officeDocument/2006/relationships" ref="B49" r:id="rId36"/>
    <hyperlink xmlns:r="http://schemas.openxmlformats.org/officeDocument/2006/relationships" ref="B50" r:id="rId37"/>
    <hyperlink xmlns:r="http://schemas.openxmlformats.org/officeDocument/2006/relationships" ref="B51" r:id="rId38"/>
    <hyperlink xmlns:r="http://schemas.openxmlformats.org/officeDocument/2006/relationships" ref="B52" r:id="rId39"/>
    <hyperlink xmlns:r="http://schemas.openxmlformats.org/officeDocument/2006/relationships" ref="B53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59" r:id="rId46"/>
    <hyperlink xmlns:r="http://schemas.openxmlformats.org/officeDocument/2006/relationships" ref="B60" r:id="rId47"/>
    <hyperlink xmlns:r="http://schemas.openxmlformats.org/officeDocument/2006/relationships" ref="B61" r:id="rId48"/>
    <hyperlink xmlns:r="http://schemas.openxmlformats.org/officeDocument/2006/relationships" ref="B62" r:id="rId49"/>
    <hyperlink xmlns:r="http://schemas.openxmlformats.org/officeDocument/2006/relationships" ref="B63" r:id="rId50"/>
    <hyperlink xmlns:r="http://schemas.openxmlformats.org/officeDocument/2006/relationships" ref="B64" r:id="rId51"/>
    <hyperlink xmlns:r="http://schemas.openxmlformats.org/officeDocument/2006/relationships" ref="B65" r:id="rId52"/>
    <hyperlink xmlns:r="http://schemas.openxmlformats.org/officeDocument/2006/relationships" ref="B66" r:id="rId53"/>
    <hyperlink xmlns:r="http://schemas.openxmlformats.org/officeDocument/2006/relationships" ref="B67" r:id="rId54"/>
    <hyperlink xmlns:r="http://schemas.openxmlformats.org/officeDocument/2006/relationships" ref="B68" r:id="rId55"/>
    <hyperlink xmlns:r="http://schemas.openxmlformats.org/officeDocument/2006/relationships" ref="B69" r:id="rId56"/>
    <hyperlink xmlns:r="http://schemas.openxmlformats.org/officeDocument/2006/relationships" ref="B70" r:id="rId57"/>
    <hyperlink xmlns:r="http://schemas.openxmlformats.org/officeDocument/2006/relationships" ref="B72" r:id="rId58"/>
    <hyperlink xmlns:r="http://schemas.openxmlformats.org/officeDocument/2006/relationships" ref="B73" r:id="rId59"/>
    <hyperlink xmlns:r="http://schemas.openxmlformats.org/officeDocument/2006/relationships" ref="B74" r:id="rId60"/>
    <hyperlink xmlns:r="http://schemas.openxmlformats.org/officeDocument/2006/relationships" ref="B75" r:id="rId61"/>
    <hyperlink xmlns:r="http://schemas.openxmlformats.org/officeDocument/2006/relationships" ref="B76" r:id="rId62"/>
    <hyperlink xmlns:r="http://schemas.openxmlformats.org/officeDocument/2006/relationships" ref="B77" r:id="rId63"/>
    <hyperlink xmlns:r="http://schemas.openxmlformats.org/officeDocument/2006/relationships" ref="B78" r:id="rId64"/>
    <hyperlink xmlns:r="http://schemas.openxmlformats.org/officeDocument/2006/relationships" ref="B79" r:id="rId65"/>
    <hyperlink xmlns:r="http://schemas.openxmlformats.org/officeDocument/2006/relationships" ref="B80" r:id="rId66"/>
    <hyperlink xmlns:r="http://schemas.openxmlformats.org/officeDocument/2006/relationships" ref="B81" r:id="rId67"/>
    <hyperlink xmlns:r="http://schemas.openxmlformats.org/officeDocument/2006/relationships" ref="B82" r:id="rId68"/>
    <hyperlink xmlns:r="http://schemas.openxmlformats.org/officeDocument/2006/relationships" ref="B83" r:id="rId69"/>
    <hyperlink xmlns:r="http://schemas.openxmlformats.org/officeDocument/2006/relationships" ref="B84" r:id="rId70"/>
    <hyperlink xmlns:r="http://schemas.openxmlformats.org/officeDocument/2006/relationships" ref="B85" r:id="rId71"/>
    <hyperlink xmlns:r="http://schemas.openxmlformats.org/officeDocument/2006/relationships" ref="B86" r:id="rId72"/>
    <hyperlink xmlns:r="http://schemas.openxmlformats.org/officeDocument/2006/relationships" ref="B87" r:id="rId73"/>
    <hyperlink xmlns:r="http://schemas.openxmlformats.org/officeDocument/2006/relationships" ref="B88" r:id="rId74"/>
    <hyperlink xmlns:r="http://schemas.openxmlformats.org/officeDocument/2006/relationships" ref="B89" r:id="rId75"/>
    <hyperlink xmlns:r="http://schemas.openxmlformats.org/officeDocument/2006/relationships" ref="B90" r:id="rId76"/>
    <hyperlink xmlns:r="http://schemas.openxmlformats.org/officeDocument/2006/relationships" ref="B91" r:id="rId77"/>
    <hyperlink xmlns:r="http://schemas.openxmlformats.org/officeDocument/2006/relationships" ref="B92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2026-07-21T20:15:46Z</dcterms:created>
  <dcterms:modified xsi:type="dcterms:W3CDTF">2026-07-21T20:15:46Z</dcterms:modified>
</cp:coreProperties>
</file>