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Assumptions" sheetId="1" state="visible" r:id="rId3"/>
    <sheet name="01_Data" sheetId="2" state="visible" r:id="rId4"/>
    <sheet name="02_Revenue" sheetId="3" state="visible" r:id="rId5"/>
    <sheet name="03_Costs" sheetId="4" state="visible" r:id="rId6"/>
    <sheet name="04_PL" sheetId="5" state="visible" r:id="rId7"/>
    <sheet name="05_Cash_Fund" sheetId="6" state="visible" r:id="rId8"/>
    <sheet name="06_Valuation" sheetId="7" state="visible" r:id="rId9"/>
    <sheet name="07_Sensitivity" sheetId="8" state="visible" r:id="rId10"/>
    <sheet name="08_Output" sheetId="9" state="visible" r:id="rId11"/>
    <sheet name="09_Obligations" sheetId="10" state="visible" r:id="rId12"/>
    <sheet name="10_Financing" sheetId="11" state="visible" r:id="rId13"/>
    <sheet name="11_AIBQ" sheetId="12" state="visible" r:id="rId14"/>
    <sheet name="12_Conflicts" sheetId="13" state="visible" r:id="rId15"/>
    <sheet name="13_OutsideView" sheetId="14" state="visible" r:id="rId16"/>
  </sheets>
  <definedNames>
    <definedName function="false" hidden="false" name="LB_01" vbProcedure="false">01_Data!$D$5</definedName>
    <definedName function="false" hidden="false" name="LB_02" vbProcedure="false">01_Data!$D$6</definedName>
    <definedName function="false" hidden="false" name="LB_03" vbProcedure="false">01_Data!$D$7</definedName>
    <definedName function="false" hidden="false" name="LB_04" vbProcedure="false">01_Data!$D$8</definedName>
    <definedName function="false" hidden="false" name="LB_05" vbProcedure="false">01_Data!$D$9</definedName>
    <definedName function="false" hidden="false" name="LB_05a" vbProcedure="false">01_Data!$D$9</definedName>
    <definedName function="false" hidden="false" name="LB_05b" vbProcedure="false">01_Data!$D$11</definedName>
    <definedName function="false" hidden="false" name="LB_06" vbProcedure="false">01_Data!$D$16</definedName>
    <definedName function="false" hidden="false" name="LB_06a" vbProcedure="false">01_Data!$D$16</definedName>
    <definedName function="false" hidden="false" name="LB_06b" vbProcedure="false">01_Data!$D$18</definedName>
    <definedName function="false" hidden="false" name="LB_07" vbProcedure="false">01_Data!$D$19</definedName>
    <definedName function="false" hidden="false" name="LB_07a" vbProcedure="false">01_Data!$D$19</definedName>
    <definedName function="false" hidden="false" name="LB_07b" vbProcedure="false">01_Data!$D$20</definedName>
    <definedName function="false" hidden="false" name="LB_08" vbProcedure="false">01_Data!$D$23</definedName>
    <definedName function="false" hidden="false" name="LB_09" vbProcedure="false">01_Data!$D$25</definedName>
    <definedName function="false" hidden="false" name="LB_10" vbProcedure="false">01_Data!$D$31</definedName>
    <definedName function="false" hidden="false" name="SW_15B_FACILITY" vbProcedure="false">12_Conflicts!$C$14</definedName>
    <definedName function="false" hidden="false" name="SW_A_2026_LOSS" vbProcedure="false">12_Conflicts!$C$10</definedName>
    <definedName function="false" hidden="false" name="SW_A_FY24_NI" vbProcedure="false">12_Conflicts!$C$9</definedName>
    <definedName function="false" hidden="false" name="SW_A_FY25" vbProcedure="false">12_Conflicts!$C$8</definedName>
    <definedName function="false" hidden="false" name="SW_A_HC" vbProcedure="false">12_Conflicts!$C$11</definedName>
    <definedName function="false" hidden="false" name="SW_GOOGLE_VALUE" vbProcedure="false">12_Conflicts!$C$17</definedName>
    <definedName function="false" hidden="false" name="SW_GW_2028" vbProcedure="false">12_Conflicts!$C$16</definedName>
    <definedName function="false" hidden="false" name="SW_HAIRCUT" vbProcedure="false">12_Conflicts!$C$5</definedName>
    <definedName function="false" hidden="false" name="SW_IPO_OAI" vbProcedure="false">12_Conflicts!$C$7</definedName>
    <definedName function="false" hidden="false" name="SW_OAI_BASIS" vbProcedure="false">12_Conflicts!$C$6</definedName>
    <definedName function="false" hidden="false" name="SW_SCEN" vbProcedure="false">00_Assumptions!$C$4</definedName>
    <definedName function="false" hidden="false" name="SW_SSI" vbProcedure="false">12_Conflicts!$C$15</definedName>
    <definedName function="false" hidden="false" name="SW_TOTAL_RAISED_VIEW" vbProcedure="false">12_Conflicts!$C$13</definedName>
    <definedName function="false" hidden="false" name="SW_TPU_RATE" vbProcedure="false">12_Conflicts!$C$12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<sst xmlns="http://schemas.openxmlformats.org/spreadsheetml/2006/main" count="7539" uniqueCount="3537">
  <si>
    <t xml:space="preserve">00_Assumptions: timeline (row 2 numeric, row 3 labels), scenario switch SW_SCEN (C4), AJ drivers (yellow, Bear/Base/Bull, live column G via CHOOSE), the printed 5-Layer definition (A40:F60), contract timing, grid axes, time-series drivers.</t>
  </si>
  <si>
    <t xml:space="preserve">Year (numeric, typed once)</t>
  </si>
  <si>
    <t xml:space="preserve">Timeline label (text; every tab links here)</t>
  </si>
  <si>
    <t xml:space="preserve">Scenario switch SW_SCEN (1 Bear / 2 Base / 3 Bull)</t>
  </si>
  <si>
    <t xml:space="preserve">Google leg and TPU rate are switches on 12_Conflicts (SW_GOOGLE_VALUE, SW_TPU_RATE, SW_GW_2028); the section-4 scenario mapping (Bear proxy 16.3 / Base reported / Bull proxy 6.9) is applied by setting those switches, printed in row 122.</t>
  </si>
  <si>
    <t xml:space="preserve">AJ driver (scalar)</t>
  </si>
  <si>
    <t xml:space="preserve">Unit</t>
  </si>
  <si>
    <t xml:space="preserve">Tag (AJ · basis · Bear/Base/Bull)</t>
  </si>
  <si>
    <t xml:space="preserve">Bear</t>
  </si>
  <si>
    <t xml:space="preserve">Base</t>
  </si>
  <si>
    <t xml:space="preserve">Bull</t>
  </si>
  <si>
    <t xml:space="preserve">Live (SW_SCEN)</t>
  </si>
  <si>
    <t xml:space="preserve">Note</t>
  </si>
  <si>
    <t xml:space="preserve">Anthropic YE-2026 run-rate (linear monthly ramp from July; Bear = flat from July)</t>
  </si>
  <si>
    <t xml:space="preserve">$M/yr</t>
  </si>
  <si>
    <t xml:space="preserve">AJ · L-035 investor expectation (T3), L-032 July (T2) · Bear/Base/Bull</t>
  </si>
  <si>
    <t xml:space="preserve">Bear = LB01 flat; Base = midpoint of L-035; Bull = L-035 high</t>
  </si>
  <si>
    <t xml:space="preserve">Anthropic 2027E revenue</t>
  </si>
  <si>
    <t xml:space="preserve">$M</t>
  </si>
  <si>
    <t xml:space="preserve">AJ · interpolation between L-035 and L-036, no row · Bear/Base/Bull</t>
  </si>
  <si>
    <t xml:space="preserve">Bull 160,000 keeps the Bull path monotone (addendum)</t>
  </si>
  <si>
    <t xml:space="preserve">Anthropic 2028E revenue</t>
  </si>
  <si>
    <t xml:space="preserve">AJ · L-036 low end at Base (T2); Bear = AJ shortfall; Bull = AJ beat · Bear/Base/Bull</t>
  </si>
  <si>
    <t xml:space="preserve">Bessemer growth endurance applied to the 2028 growth rate (2029E-2030E tails)</t>
  </si>
  <si>
    <t xml:space="preserve">fraction</t>
  </si>
  <si>
    <t xml:space="preserve">AJ · B01 (L-161, T3, SaaS caveat): 0.70 private (Bear, Base), 0.80 public post-IPO (Bull)</t>
  </si>
  <si>
    <t xml:space="preserve">Anthropic training factor on the 2026-2028 plan (L-125)</t>
  </si>
  <si>
    <t xml:space="preserve">x plan</t>
  </si>
  <si>
    <t xml:space="preserve">AJ · plan plus 25% / plan / plan less 15% · Bear/Base/Bull</t>
  </si>
  <si>
    <t xml:space="preserve">Anthropic training 2029E</t>
  </si>
  <si>
    <t xml:space="preserve">AJ · no ledger row (v4 map carried 30,000); range 25,000-40,000 · Bear/Base/Bull</t>
  </si>
  <si>
    <t xml:space="preserve">Anthropic training 2030E</t>
  </si>
  <si>
    <t xml:space="preserve">AJ · no ledger row; range 25,000-50,000 · Bear/Base/Bull</t>
  </si>
  <si>
    <t xml:space="preserve">Anthropic GM 2029E-2030E</t>
  </si>
  <si>
    <t xml:space="preserve">AJ · beyond the L-119 plan horizon · Bear/Base/Bull</t>
  </si>
  <si>
    <t xml:space="preserve">Anthropic quarterly opex Q2-2026 (GM cross-check grid rows)</t>
  </si>
  <si>
    <t xml:space="preserve">AJ · opex ex-COGS, no row · Bear/Base/Bull</t>
  </si>
  <si>
    <t xml:space="preserve">Anthropic average loaded cash comp per head</t>
  </si>
  <si>
    <t xml:space="preserve">AJ · anchored by L-165 MTS base 1.12-1.38 and T4 bands 0.30-0.76 · Bear/Base/Bull</t>
  </si>
  <si>
    <t xml:space="preserve">Anthropic headcount growth 2027E+ (HOLE: cost-stack section 2 L5 2027E+ 'headcount growth x comp, AJ')</t>
  </si>
  <si>
    <t xml:space="preserve">HOLE · Model-agent placeholder triple, no spec value · Bear/Base/Bull</t>
  </si>
  <si>
    <t xml:space="preserve">No spec or ledger value; placeholder so the L5 line computes; listed in tie-out.md</t>
  </si>
  <si>
    <t xml:space="preserve">Anthropic data licensing</t>
  </si>
  <si>
    <t xml:space="preserve">AJ · L-113 (T1): marquee sources ~50-70 each; total at most low single-digit $B · Bear/Base/Bull</t>
  </si>
  <si>
    <t xml:space="preserve">Anthropic expert data / labeling</t>
  </si>
  <si>
    <t xml:space="preserve">AJ · L-114 (T4): 1-3B per year per lab at scale · Bear/Base/Bull</t>
  </si>
  <si>
    <t xml:space="preserve">Anthropic safety / eval</t>
  </si>
  <si>
    <t xml:space="preserve">AJ · L-117 (could-not-verify, T4): 55-115 per year · Bear/Base/Bull</t>
  </si>
  <si>
    <t xml:space="preserve">Anthropic GTM + G&amp;A as % of comp (HOLE: no dollar disclosure; L-118 workforce mix 35/35/30)</t>
  </si>
  <si>
    <t xml:space="preserve">Placeholder; listed in tie-out.md</t>
  </si>
  <si>
    <t xml:space="preserve">Azure commitment term (L-074 states no term)</t>
  </si>
  <si>
    <t xml:space="preserve">yrs</t>
  </si>
  <si>
    <t xml:space="preserve">AJ · 5 yrs, not scenario-flexed · Bear/Base/Bull</t>
  </si>
  <si>
    <t xml:space="preserve">Lambda contract term (L-137 states no term; landlord lease is 15 yrs, L-167)</t>
  </si>
  <si>
    <t xml:space="preserve">AJ · 6 yrs, flagged; not scenario-flexed · Bear/Base/Bull</t>
  </si>
  <si>
    <t xml:space="preserve">SpaceX ramp discount factor for the 2026 months (reduced fee May-Jun 2026, L-046)</t>
  </si>
  <si>
    <t xml:space="preserve">factor</t>
  </si>
  <si>
    <t xml:space="preserve">AJ · 0.9, not scenario-flexed · Bear/Base/Bull</t>
  </si>
  <si>
    <t xml:space="preserve">OpenAI H2-2026 monthly run-rate growth</t>
  </si>
  <si>
    <t xml:space="preserve">fraction/month</t>
  </si>
  <si>
    <t xml:space="preserve">AJ · L-065 (July &gt;20% MoM) · Bear/Base/Bull</t>
  </si>
  <si>
    <t xml:space="preserve">OpenAI 2027-2030 revenue CAGR</t>
  </si>
  <si>
    <t xml:space="preserve">AJ · L-069 (+35% QTD) as colour · Bear/Base/Bull</t>
  </si>
  <si>
    <t xml:space="preserve">OpenAI compute plan 2026-2030 (Bear is the higher spend)</t>
  </si>
  <si>
    <t xml:space="preserve">AJ · L-062 (750,000 Jul) at Base; L-078 (600,000 May) at Bull; 900,000 AJ at Bear · Bear/Base/Bull</t>
  </si>
  <si>
    <t xml:space="preserve">OpenAI 2027-2030 opex ex-compute as % of revenue</t>
  </si>
  <si>
    <t xml:space="preserve">AJ · L-066 H1 ratio as ceiling · Bear/Base/Bull</t>
  </si>
  <si>
    <t xml:space="preserve">OpenAI 2030E training</t>
  </si>
  <si>
    <t xml:space="preserve">AJ · no row (L-125 stops at 2029) · Bear/Base/Bull</t>
  </si>
  <si>
    <t xml:space="preserve">OpenAI COGS as % of revenue, 2027E start of path</t>
  </si>
  <si>
    <t xml:space="preserve">AJ · declining path; L-083 33% GM 2025 as anchor · Bear/Base/Bull</t>
  </si>
  <si>
    <t xml:space="preserve">OpenAI COGS % annual decline (points per year, 2028E+)</t>
  </si>
  <si>
    <t xml:space="preserve">AJ · 'declining' per spec section 3.3 · Bear/Base/Bull</t>
  </si>
  <si>
    <t xml:space="preserve">OpenAI headcount growth 2027E+ (after the 4,500 -&gt; 8,000 linear 2026)</t>
  </si>
  <si>
    <t xml:space="preserve">AJ · spec section 3.3: +20%/yr · Bear/Base/Bull</t>
  </si>
  <si>
    <t xml:space="preserve">OpenAI average comp per head</t>
  </si>
  <si>
    <t xml:space="preserve">AJ · spec section 3.3: 0.8 / 0.7 / 0.6 · Bear/Base/Bull</t>
  </si>
  <si>
    <t xml:space="preserve">SBC as % of operating loss (burn bridge)</t>
  </si>
  <si>
    <t xml:space="preserve">AJ · spec section 3.1 · Bear/Base/Bull</t>
  </si>
  <si>
    <t xml:space="preserve">Plan-envelope 2027E revenue, low (E10 plan envelope; no 2027 company figure)</t>
  </si>
  <si>
    <t xml:space="preserve">AJ · interpolation between the YE-2026 run-rate range and the 2028 forecast (cost-stack section 2) · same all scenarios</t>
  </si>
  <si>
    <t xml:space="preserve">Plan-envelope 2027E revenue, high</t>
  </si>
  <si>
    <t xml:space="preserve">AJ · cost-stack section 2 · same all scenarios</t>
  </si>
  <si>
    <t xml:space="preserve">Grid (a) haircut midpoint ('also 0.33 for grids')</t>
  </si>
  <si>
    <t xml:space="preserve">AJ · spec section 5 · same all scenarios</t>
  </si>
  <si>
    <t xml:space="preserve">Cerebras tranche phasing term (S-1/A: 3-4 yr terms; AJ 4)</t>
  </si>
  <si>
    <t xml:space="preserve">AJ · L-149 · same all scenarios</t>
  </si>
  <si>
    <t xml:space="preserve">THE 5-LAYER COST STACK: definition adopted for v5 (Exhibit E2; source cost-stack-reconciliation.md section 1)</t>
  </si>
  <si>
    <t xml:space="preserve">Layer</t>
  </si>
  <si>
    <t xml:space="preserve">Name</t>
  </si>
  <si>
    <t xml:space="preserve">Placement rule (counterparty or nature)</t>
  </si>
  <si>
    <t xml:space="preserve">What sits here</t>
  </si>
  <si>
    <t xml:space="preserve">L1</t>
  </si>
  <si>
    <t xml:space="preserve">Silicon</t>
  </si>
  <si>
    <t xml:space="preserve">Chip-vendor counterparties: Nvidia, AMD, Broadcom, Google (TPU as chip via SPV), Cerebras; chip-lease SPVs; custom-silicon programs</t>
  </si>
  <si>
    <t xml:space="preserve">Chip purchases, chip-lease SPV obligations, GW-denominated chip agreements, ASIC programs, warrants issued to chip vendors</t>
  </si>
  <si>
    <t xml:space="preserve">contracted $, GW</t>
  </si>
  <si>
    <t xml:space="preserve">COMMITMENT layer</t>
  </si>
  <si>
    <t xml:space="preserve">L2</t>
  </si>
  <si>
    <t xml:space="preserve">Capacity</t>
  </si>
  <si>
    <t xml:space="preserve">Cloud, neocloud, site and power counterparties: AWS, Google Cloud, Azure, Oracle, CoreWeave, SpaceX, Nscale, Lambda, Volta, Riot, Fluidstack, SB Energy</t>
  </si>
  <si>
    <t xml:space="preserve">Cloud consumption contracts, full-stack GPU leases, powered-shell leases, site leases, PPAs, network and storage inside those leases</t>
  </si>
  <si>
    <t xml:space="preserve">contracted $, GW/MW, $ per MW-year</t>
  </si>
  <si>
    <t xml:space="preserve">L3</t>
  </si>
  <si>
    <t xml:space="preserve">Training</t>
  </si>
  <si>
    <t xml:space="preserve">Annual compute consumed by training, experiments and post-training (R&amp;D compute)</t>
  </si>
  <si>
    <t xml:space="preserve">Annual training-compute budgets; per-run compute estimates are a different basis (C-11) and are shown side by side, never summed</t>
  </si>
  <si>
    <t xml:space="preserve">$ per year</t>
  </si>
  <si>
    <t xml:space="preserve">CONSUMPTION layer</t>
  </si>
  <si>
    <t xml:space="preserve">L4</t>
  </si>
  <si>
    <t xml:space="preserve">Inference</t>
  </si>
  <si>
    <t xml:space="preserve">Annual compute consumed by serving (COGS); on Anthropic's GROSS basis this line also carries cloud-partner payouts</t>
  </si>
  <si>
    <t xml:space="preserve">Inference COGS, gross margin, $ per million tokens</t>
  </si>
  <si>
    <t xml:space="preserve">$ per year, %</t>
  </si>
  <si>
    <t xml:space="preserve">L5</t>
  </si>
  <si>
    <t xml:space="preserve">People and everything else</t>
  </si>
  <si>
    <t xml:space="preserve">All other annual opex</t>
  </si>
  <si>
    <t xml:space="preserve">Comp and SBC, data licensing and labeling, safety and evals, legal and regulatory, GTM, G&amp;A</t>
  </si>
  <si>
    <t xml:space="preserve">Placement rule: Layers 1-2 hold COMMITMENTS (what is contracted or leased, in $ and GW, by counterparty type). Layers 3-5 hold CONSUMPTION (what the P&amp;L absorbs in a year). A figure is placed by its nature: a contract value goes to L1 or L2 exactly once; an annual spend goes to L3, L4 or L5 exactly once. The obligation stack (09_Obligations) is the cross-layer object that reconciles L1+L2 commitments against L3+L4 consumption and against cash.</t>
  </si>
  <si>
    <t xml:space="preserve">Seed placement, Anthropic: AWS &gt;$100B/5 GW -&gt; L2. Google 5 GW -&gt; L2 (cloud counterparty); the $34.5B TPU lease SPV -&gt; L1 (chip financing). Azure $30B -&gt; L2. SpaceX $1.25B/mo -&gt; L2. AMD 2 GW -&gt; L1. Broadcom TPU schedule -&gt; L1 (GW; $ undisclosed). Fluidstack $50B -&gt; L2. Nscale/Lambda/Volta/Riot -&gt; L2. Training plan $7B/$14B/$22B -&gt; L3. GM path -&gt; L4. List prices -&gt; L4 (unit economics). Comp -&gt; L5. Copyright -&gt; L5.</t>
  </si>
  <si>
    <t xml:space="preserve">Seed placement, OpenAI: Oracle $300B -&gt; L2. CoreWeave -&gt; L2. Azure -&gt; L2. AWS -&gt; L2. AMD 6 GW -&gt; L1. Nvidia -&gt; L1 (the $30B equity is financing, not cost; the $105B RVG is a vendor backstop on an L2 lease). Broadcom -&gt; L1. Cerebras -&gt; L1 (chip-vendor counterparty delivering capacity). SB Energy leases and Stargate sites -&gt; L2. 2026 compute $50B -&gt; consumption anchor spanning L3+L4 (printed once, in L3, with the split shown). Training plan -&gt; L3. GM and inference -&gt; L4. Comp and headcount -&gt; L5. Legal -&gt; L5.</t>
  </si>
  <si>
    <t xml:space="preserve">Source: analysis/cost-stack-reconciliation.md section 1 (v5 adopts the reconstructed five-layer definition with the placement rule the reconstruction lacked). This block is Exhibit E2.</t>
  </si>
  <si>
    <t xml:space="preserve">End of the printed definition (A40:F60).</t>
  </si>
  <si>
    <t xml:space="preserve">CONTRACT TIMING AND OTHER AJ INPUTS (not scenario-flexed; same value in Bear/Base/Bull; feeds 09_Obligations)</t>
  </si>
  <si>
    <t xml:space="preserve">Input</t>
  </si>
  <si>
    <t xml:space="preserve">Tag</t>
  </si>
  <si>
    <t xml:space="preserve">Live</t>
  </si>
  <si>
    <t xml:space="preserve">A-AWS start (deal 2026-04-20; straight-line from Jan-2026 per cost-stack)</t>
  </si>
  <si>
    <t xml:space="preserve">date</t>
  </si>
  <si>
    <t xml:space="preserve">AJ · L-072 · straight-line 10 yrs from 2026</t>
  </si>
  <si>
    <t xml:space="preserve">A-Azure start</t>
  </si>
  <si>
    <t xml:space="preserve">AJ · L-074 (deal 2025-11-18) · 5-yr AJ term from 2026</t>
  </si>
  <si>
    <t xml:space="preserve">A-SpaceX first full-fee month (ramp May-Jun 2026; 7 months in 2026 per cost-stack)</t>
  </si>
  <si>
    <t xml:space="preserve">AJ · L-046 · 36 months Jun-2026 to May-2029</t>
  </si>
  <si>
    <t xml:space="preserve">A-Nscale start (capacity from late-2027; 2027 = 25% year)</t>
  </si>
  <si>
    <t xml:space="preserve">AJ · L-135</t>
  </si>
  <si>
    <t xml:space="preserve">A-Lambda start (AJ from 2027)</t>
  </si>
  <si>
    <t xml:space="preserve">AJ · L-137</t>
  </si>
  <si>
    <t xml:space="preserve">A-Volta start (H2-2026)</t>
  </si>
  <si>
    <t xml:space="preserve">AJ · L-048</t>
  </si>
  <si>
    <t xml:space="preserve">A-Riot start: spec section 3.9 text says '2028 AJ start' but its check values (2027 priced run 47,730) and cost-stack section 2 count Riot 455 in 2027; L-136 (20 yrs through Jun-2048) implies Jul-2028. Default 2027-01-01 reproduces the check values; see tie-out.md</t>
  </si>
  <si>
    <t xml:space="preserve">AJ · L-136 · AMBIGUITY FLAGGED</t>
  </si>
  <si>
    <t xml:space="preserve">A-TPU-SPV lease start (mid-2026)</t>
  </si>
  <si>
    <t xml:space="preserve">AJ · L-044 · 5-yr lease</t>
  </si>
  <si>
    <t xml:space="preserve">A-Google leg start (capacity from 2027; reported 200,000 over five years from 2027)</t>
  </si>
  <si>
    <t xml:space="preserve">AJ · L-073, L-155</t>
  </si>
  <si>
    <t xml:space="preserve">A-AMD first GW (H1-2027)</t>
  </si>
  <si>
    <t xml:space="preserve">AJ · L-043</t>
  </si>
  <si>
    <t xml:space="preserve">O-Oracle start (from 2027)</t>
  </si>
  <si>
    <t xml:space="preserve">AJ · L-064</t>
  </si>
  <si>
    <t xml:space="preserve">O-AWS start (from 2026)</t>
  </si>
  <si>
    <t xml:space="preserve">O-CoreWeave start (six-year straight line to 2031; AJ)</t>
  </si>
  <si>
    <t xml:space="preserve">AJ · L-058 · 22,400 / 6</t>
  </si>
  <si>
    <t xml:space="preserve">O-Cerebras start (tranches 2026-2028)</t>
  </si>
  <si>
    <t xml:space="preserve">AJ · L-149</t>
  </si>
  <si>
    <t xml:space="preserve">O-Azure priced-proxy start (LB08 FY2026 run held flat)</t>
  </si>
  <si>
    <t xml:space="preserve">AJ · L-054 · proxy through 2030 (revenue share runs through 2030, L-051)</t>
  </si>
  <si>
    <t xml:space="preserve">O-SB Energy PORTS ready-for-service (from 2028)</t>
  </si>
  <si>
    <t xml:space="preserve">AJ · L-061</t>
  </si>
  <si>
    <t xml:space="preserve">O-Azure priced-proxy horizon</t>
  </si>
  <si>
    <t xml:space="preserve">AJ · L-051 revenue share through 2030 · same all scenarios</t>
  </si>
  <si>
    <t xml:space="preserve">O-CoreWeave straight-line term (2026-2031)</t>
  </si>
  <si>
    <t xml:space="preserve">AJ · L-058 · same all scenarios</t>
  </si>
  <si>
    <t xml:space="preserve">GRID AXES AND PHASING (07_Sensitivity); unit conversions</t>
  </si>
  <si>
    <t xml:space="preserve">Value 1</t>
  </si>
  <si>
    <t xml:space="preserve">Value 2</t>
  </si>
  <si>
    <t xml:space="preserve">Value 3</t>
  </si>
  <si>
    <t xml:space="preserve">Value 4</t>
  </si>
  <si>
    <t xml:space="preserve">Compute-plan phasing 2027 / 2028 / 2029 / 2030 (share of plan less 2026)</t>
  </si>
  <si>
    <t xml:space="preserve">AJ · spec section 6(c): 15 / 22 / 28 / 35%</t>
  </si>
  <si>
    <t xml:space="preserve">sums to 100%</t>
  </si>
  <si>
    <t xml:space="preserve">Grid (b) revenue axis: 150,000 (Bear 2028) / 175,000 (midpoint) / 200,000 (L-036 high)</t>
  </si>
  <si>
    <t xml:space="preserve">AJ · spec section 6(b)</t>
  </si>
  <si>
    <t xml:space="preserve">Grid (b) GM axis: 60% / 70% / 77% (the 2028 GM triple)</t>
  </si>
  <si>
    <t xml:space="preserve">Grid (b) training: 22,000 (L-125 2028) and 30,000 (Base 2029 AJ)</t>
  </si>
  <si>
    <t xml:space="preserve">spec section 6(b)</t>
  </si>
  <si>
    <t xml:space="preserve">Unit conversions used in formulas: months per year = 12; MW per GW = 1,000; quarters per year = 4; $M per $B = 1,000; monthly ramp steps July to December = 5; basis points per unit = 10,000</t>
  </si>
  <si>
    <t xml:space="preserve">$ per $K = 1,000</t>
  </si>
  <si>
    <t xml:space="preserve">Greenfield (Lean / Full frontier / Vertically integrated) inputs live in Workbook B (greenfield-entry-cost.xlsx).</t>
  </si>
  <si>
    <t xml:space="preserve">TIME-SERIES AJ DRIVERS (live row = CHOOSE on SW_SCEN; Bear/Base/Bull rows yellow)</t>
  </si>
  <si>
    <t xml:space="preserve">Driver</t>
  </si>
  <si>
    <t xml:space="preserve">Anthropic gross margin path (GROSS basis)</t>
  </si>
  <si>
    <t xml:space="preserve">AJ · L-119 (T4) plan at Bull 2028 and Base/Bull 2027; Base 2028 70% BELOW the 77% plan on purpose (section 5 finding)</t>
  </si>
  <si>
    <t xml:space="preserve">   Bear</t>
  </si>
  <si>
    <t xml:space="preserve">   Base</t>
  </si>
  <si>
    <t xml:space="preserve">   Bull</t>
  </si>
  <si>
    <t xml:space="preserve">Anthropic training (L3): 2026-2028 = plan (L-125) x factor; 2029-2030 AJ</t>
  </si>
  <si>
    <t xml:space="preserve">AJ · L-125 (T4) x TRNF; 2029E-2030E from TRN29/TRN30</t>
  </si>
  <si>
    <t xml:space="preserve">OpenAI COGS as % of revenue, 2027E-2030E (declining)</t>
  </si>
  <si>
    <t xml:space="preserve">AJ · OAICOGS0 less OAICOGSD per year</t>
  </si>
  <si>
    <t xml:space="preserve">OpenAI training (L3): 2026-2029 = L-125; 2030 AJ</t>
  </si>
  <si>
    <t xml:space="preserve">L-125 (T4) 2026-2029 (same all scenarios); 2030 = OAITRN30</t>
  </si>
  <si>
    <t xml:space="preserve">Anthropic headcount path (2026 = SW_A_HC; 2027E+ grows at HCGA)</t>
  </si>
  <si>
    <t xml:space="preserve">people</t>
  </si>
  <si>
    <t xml:space="preserve">AJ · L-008 / L-091 via SW_A_HC; growth = HCGA (HOLE placeholder)</t>
  </si>
  <si>
    <t xml:space="preserve">OpenAI headcount path (2026 = average of 4,500 and the 8,000 plan; 2027E+ from 8,000 at OAIHCG)</t>
  </si>
  <si>
    <t xml:space="preserve">AJ · L-027, L-090; +20%/yr per spec</t>
  </si>
  <si>
    <t xml:space="preserve">Base case rationale (spec section 4): 39.75% because Ruling 5 is gate-verified on the May-2026 mix and binds; Base 2028 GM 70% rather than 77% because both labs missed GM plans in every observed case (L-083, L-119) and the section-5 envelope does not close at 77%; Base OpenAI compute plan 750,000 because it is the latest company-attributed vintage (L-062); Base Google leg = the reported 40,000 per year because it is the only dollar figure in existence for that contract, flagged [VERIFY] on every cell that reads it (L-155), with the proxy branches printed beside it.</t>
  </si>
  <si>
    <t xml:space="preserve">Scenario mapping for the Google leg (spec section 4, applied through the 12_Conflicts switches, not SW_SCEN): Bear = proxy at 16.3 per MW-yr (SW_GOOGLE_VALUE = proxy, SW_TPU_RATE = 16.3); Base = reported 40,000 per year [VERIFY] (SW_GOOGLE_VALUE = reported); Bull = proxy at 6.9 (chips only).</t>
  </si>
  <si>
    <t xml:space="preserve">AM-71 note: the Bessemer rule applied to FY2026E growth (+476% on the PB FY2025 10,000) would give +333% in 2027 and ~249,356 of revenue, above the company's 2028 plan, which is why the base rate shapes only the 2029E-2030E tails (arithmetic on 13_OutsideView).</t>
  </si>
  <si>
    <t xml:space="preserve">SPEC SECTION 9 CHECK VALUES (typed once here; every PASS/FAIL cell in the workbook compares against these; tolerance absolute)</t>
  </si>
  <si>
    <t xml:space="preserve">Check</t>
  </si>
  <si>
    <t xml:space="preserve">Expected</t>
  </si>
  <si>
    <t xml:space="preserve">Tolerance</t>
  </si>
  <si>
    <t xml:space="preserve">Where computed</t>
  </si>
  <si>
    <t xml:space="preserve">Identity: LB03 + 2,500 = 126,754 (L-006)</t>
  </si>
  <si>
    <t xml:space="preserve">as stated</t>
  </si>
  <si>
    <t xml:space="preserve">spec section 9 / section 3 check value (model-spec.md, patched 2026-09-09)</t>
  </si>
  <si>
    <t xml:space="preserve">Identity: LB04 + 5,220 = 186,436.5 (L-021)</t>
  </si>
  <si>
    <t xml:space="preserve">Anthropic net run-rate at 39.75%</t>
  </si>
  <si>
    <t xml:space="preserve">Anthropic multiple, gross (display)</t>
  </si>
  <si>
    <t xml:space="preserve">Anthropic multiple at 39.75%</t>
  </si>
  <si>
    <t xml:space="preserve">Anthropic multiple at 27%</t>
  </si>
  <si>
    <t xml:space="preserve">OpenAI multiple (NET)</t>
  </si>
  <si>
    <t xml:space="preserve">OpenAI multiple, gross case</t>
  </si>
  <si>
    <t xml:space="preserve">Anthropic CE at 39.75%</t>
  </si>
  <si>
    <t xml:space="preserve">Anthropic CE at 27%</t>
  </si>
  <si>
    <t xml:space="preserve">Anthropic CE gross (forbidden basis, display)</t>
  </si>
  <si>
    <t xml:space="preserve">OpenAI CE</t>
  </si>
  <si>
    <t xml:space="preserve">CE ratio at 39.75%</t>
  </si>
  <si>
    <t xml:space="preserve">CE ratio at 27%</t>
  </si>
  <si>
    <t xml:space="preserve">CE ratio, gross</t>
  </si>
  <si>
    <t xml:space="preserve">Anthropic FY2026E at YE 100,000</t>
  </si>
  <si>
    <t xml:space="preserve">Anthropic FY2026E at YE 120,000</t>
  </si>
  <si>
    <t xml:space="preserve">Anthropic FY2026E flat from July</t>
  </si>
  <si>
    <t xml:space="preserve">Anthropic H1-2026 recognized</t>
  </si>
  <si>
    <t xml:space="preserve">Anthropic Q2/Q1</t>
  </si>
  <si>
    <t xml:space="preserve">OpenAI FY2026E at 0% monthly growth</t>
  </si>
  <si>
    <t xml:space="preserve">OpenAI FY2026E at 10%</t>
  </si>
  <si>
    <t xml:space="preserve">OpenAI FY2026E at 20%</t>
  </si>
  <si>
    <t xml:space="preserve">Anthropic documented-$ (excl. SPV)</t>
  </si>
  <si>
    <t xml:space="preserve">Anthropic documented-$ incl. SPV</t>
  </si>
  <si>
    <t xml:space="preserve">Anthropic reported-$ incl. Google leg [VERIFY]</t>
  </si>
  <si>
    <t xml:space="preserve">OpenAI documented-$</t>
  </si>
  <si>
    <t xml:space="preserve">OpenAI recalled-$</t>
  </si>
  <si>
    <t xml:space="preserve">Bloomberg tally</t>
  </si>
  <si>
    <t xml:space="preserve">stepmark tally</t>
  </si>
  <si>
    <t xml:space="preserve">TechCrunch tally (mixes equity)</t>
  </si>
  <si>
    <t xml:space="preserve">Anthropic cancellable (approx.)</t>
  </si>
  <si>
    <t xml:space="preserve">Anthropic 2026 priced run (incl. SPV half-year)</t>
  </si>
  <si>
    <t xml:space="preserve">Anthropic 2027 priced run</t>
  </si>
  <si>
    <t xml:space="preserve">Anthropic 2028 priced run</t>
  </si>
  <si>
    <t xml:space="preserve">Anthropic 2029 priced run</t>
  </si>
  <si>
    <t xml:space="preserve">Anthropic 2030 priced run</t>
  </si>
  <si>
    <t xml:space="preserve">OpenAI 2027 priced run</t>
  </si>
  <si>
    <t xml:space="preserve">Anthropic 2028 stack, reported branch (priced + 40,000)</t>
  </si>
  <si>
    <t xml:space="preserve">Plan envelope 2028, low</t>
  </si>
  <si>
    <t xml:space="preserve">Plan envelope 2028, high</t>
  </si>
  <si>
    <t xml:space="preserve">Plan envelope 2027, low</t>
  </si>
  <si>
    <t xml:space="preserve">Plan envelope 2027, high</t>
  </si>
  <si>
    <t xml:space="preserve">E10 gap 2028, reported branch, low</t>
  </si>
  <si>
    <t xml:space="preserve">E10 gap 2028, reported branch, high</t>
  </si>
  <si>
    <t xml:space="preserve">E10 gap 2027, reported branch, low</t>
  </si>
  <si>
    <t xml:space="preserve">E10 gap 2027, reported branch, high</t>
  </si>
  <si>
    <t xml:space="preserve">E10 gap 2028, proxy 9.3 at 5 GW (approx. midpoint)</t>
  </si>
  <si>
    <t xml:space="preserve">E10 gap 2028, proxy 9.3 at 15 GW (approx. midpoint)</t>
  </si>
  <si>
    <t xml:space="preserve">E10 gap 2028, proxy 12.5 at 5 GW (approx. midpoint)</t>
  </si>
  <si>
    <t xml:space="preserve">E10 gap 2028, proxy 12.5 at 15 GW (approx. midpoint)</t>
  </si>
  <si>
    <t xml:space="preserve">Grid (b) at (200,000, 77%, reported)</t>
  </si>
  <si>
    <t xml:space="preserve">OpenAI $50B split: unexplained</t>
  </si>
  <si>
    <t xml:space="preserve">Q2 GM grid at opex 3,000, GROSS</t>
  </si>
  <si>
    <t xml:space="preserve">Q2 GM grid at opex 3,000, NET-39.75</t>
  </si>
  <si>
    <t xml:space="preserve">AIBQ Anthropic CE (default)</t>
  </si>
  <si>
    <t xml:space="preserve">AIBQ Anthropic CE (facility closes)</t>
  </si>
  <si>
    <t xml:space="preserve">AIBQ Anthropic CI</t>
  </si>
  <si>
    <t xml:space="preserve">AIBQ OpenAI CE</t>
  </si>
  <si>
    <t xml:space="preserve">AIBQ OpenAI CI</t>
  </si>
  <si>
    <t xml:space="preserve">AIBQ Anthropic composite (default)</t>
  </si>
  <si>
    <t xml:space="preserve">AIBQ Anthropic composite (facility closes)</t>
  </si>
  <si>
    <t xml:space="preserve">AIBQ Anthropic composite (canonical CI 5.8 base)</t>
  </si>
  <si>
    <t xml:space="preserve">AIBQ OpenAI composite</t>
  </si>
  <si>
    <t xml:space="preserve">AIBQ OpenAI composite, gross case</t>
  </si>
  <si>
    <t xml:space="preserve">Efficiency Index Anthropic</t>
  </si>
  <si>
    <t xml:space="preserve">Efficiency Index OpenAI</t>
  </si>
  <si>
    <t xml:space="preserve">$B per AIBQ point, Anthropic (default)</t>
  </si>
  <si>
    <t xml:space="preserve">$B per AIBQ point, OpenAI</t>
  </si>
  <si>
    <t xml:space="preserve">$B per point, Anthropic (facility closes)</t>
  </si>
  <si>
    <t xml:space="preserve">Ladder spread (default)</t>
  </si>
  <si>
    <t xml:space="preserve">Ladder spread (facility closes)</t>
  </si>
  <si>
    <t xml:space="preserve">Ladder spread (May-27)</t>
  </si>
  <si>
    <t xml:space="preserve">$B per point, OpenAI (May-27)</t>
  </si>
  <si>
    <t xml:space="preserve">$B more per point paid for OpenAI (new)</t>
  </si>
  <si>
    <t xml:space="preserve">Bessemer tail Bear 2029</t>
  </si>
  <si>
    <t xml:space="preserve">Bessemer tail Bear 2030</t>
  </si>
  <si>
    <t xml:space="preserve">Bessemer tail Base 2029</t>
  </si>
  <si>
    <t xml:space="preserve">Bessemer tail Base 2030</t>
  </si>
  <si>
    <t xml:space="preserve">Bessemer tail Bull 2029</t>
  </si>
  <si>
    <t xml:space="preserve">Bessemer tail Bull 2030</t>
  </si>
  <si>
    <t xml:space="preserve">SPV vs neocloud spread, low (bp)</t>
  </si>
  <si>
    <t xml:space="preserve">SPV vs neocloud spread, high (bp)</t>
  </si>
  <si>
    <t xml:space="preserve">Annual value of the spread on 34,500, low</t>
  </si>
  <si>
    <t xml:space="preserve">Annual value of the spread on 34,500, high</t>
  </si>
  <si>
    <t xml:space="preserve">Jul-16 reference multiple (both)</t>
  </si>
  <si>
    <t xml:space="preserve">Jul-16 CE ratio</t>
  </si>
  <si>
    <t xml:space="preserve">AM-71: FY2026E growth on PB FY2025</t>
  </si>
  <si>
    <t xml:space="preserve">AM-71: decayed 2027 growth</t>
  </si>
  <si>
    <t xml:space="preserve">AM-71: implied 2027 revenue</t>
  </si>
  <si>
    <t xml:space="preserve">Relative multiple at (39.75%, NET)</t>
  </si>
  <si>
    <t xml:space="preserve">Relative multiple at (27%, NET)</t>
  </si>
  <si>
    <t xml:space="preserve">Relative multiple at (39.75%, GROSS)</t>
  </si>
  <si>
    <t xml:space="preserve">CE ratio at (39.75%, GROSS)</t>
  </si>
  <si>
    <t xml:space="preserve">Google implied rate at 5 GW</t>
  </si>
  <si>
    <t xml:space="preserve">Google implied rate at 16 GW</t>
  </si>
  <si>
    <t xml:space="preserve">01_Data: facts only. One row per ledger anchor used anywhere in Workbook A. Column C = source string (row · status · tier · as-of · basis). Values in column D are the single home of every figure (blue = typed input, black = derived by formula from other rows, yellow = could-not-verify / AJ). Named ranges LB01-LB10 point here.</t>
  </si>
  <si>
    <t xml:space="preserve">Provenance: research/evidence-ledger.md (168 rows; confirmed 97, estimated 51, recalled 6, could-not-verify 14). Retired rows NOT entered: L-011/L-026 net income -42,000 (C-04); L-124 capex 190,000; the Jul-16 'Fast Mode 3x cheaper'; the 161,254 Total Raised; the 47.16B xAI pre-merger raise; any WSJ Apr-6 breakeven year.</t>
  </si>
  <si>
    <t xml:space="preserve">ID</t>
  </si>
  <si>
    <t xml:space="preserve">Item</t>
  </si>
  <si>
    <t xml:space="preserve">Source (row · status · tier · as-of · basis)</t>
  </si>
  <si>
    <t xml:space="preserve">Value</t>
  </si>
  <si>
    <t xml:space="preserve">As-of</t>
  </si>
  <si>
    <t xml:space="preserve">Basis</t>
  </si>
  <si>
    <t xml:space="preserve">Status</t>
  </si>
  <si>
    <t xml:space="preserve">Tier</t>
  </si>
  <si>
    <t xml:space="preserve">Decay</t>
  </si>
  <si>
    <t xml:space="preserve">Ledger row</t>
  </si>
  <si>
    <t xml:space="preserve">Used by</t>
  </si>
  <si>
    <t xml:space="preserve">LOAD-BEARING FIGURES (argument-map section A; named ranges LB01-LB10)</t>
  </si>
  <si>
    <t xml:space="preserve">LB01</t>
  </si>
  <si>
    <t xml:space="preserve">Anthropic annualized run-rate, end-July 2026</t>
  </si>
  <si>
    <t xml:space="preserve">L-032 · confirmed · T2 · 2026-07-31 · GROSS run-rate (incl. cloud-partner resale)</t>
  </si>
  <si>
    <t xml:space="preserve">2026-07-31</t>
  </si>
  <si>
    <t xml:space="preserve">GROSS run-rate (incl. cloud-partner resale)</t>
  </si>
  <si>
    <t xml:space="preserve">confirmed</t>
  </si>
  <si>
    <t xml:space="preserve">T2</t>
  </si>
  <si>
    <t xml:space="preserve">QUARTERLY</t>
  </si>
  <si>
    <t xml:space="preserve">L-032</t>
  </si>
  <si>
    <t xml:space="preserve">02, 05, 06, 11</t>
  </si>
  <si>
    <t xml:space="preserve">LB02</t>
  </si>
  <si>
    <t xml:space="preserve">OpenAI annualized run-rate, July 2026 (floor: '&gt;40')</t>
  </si>
  <si>
    <t xml:space="preserve">L-065 · confirmed · T2 · 2026-07 · basis unstated (NET assumed via SW_OAI_BASIS)</t>
  </si>
  <si>
    <t xml:space="preserve">2026-07</t>
  </si>
  <si>
    <t xml:space="preserve">basis unstated (NET assumed via SW_OAI_BASIS)</t>
  </si>
  <si>
    <t xml:space="preserve">L-065</t>
  </si>
  <si>
    <t xml:space="preserve">LB03</t>
  </si>
  <si>
    <t xml:space="preserve">Anthropic equity-only capital raised</t>
  </si>
  <si>
    <t xml:space="preserve">L-007 · estimated · T2 · 2026-05-28 · sum of ten PB equity rounds</t>
  </si>
  <si>
    <t xml:space="preserve">2026-05-28</t>
  </si>
  <si>
    <t xml:space="preserve">sum of ten PB equity rounds</t>
  </si>
  <si>
    <t xml:space="preserve">estimated</t>
  </si>
  <si>
    <t xml:space="preserve">STABLE</t>
  </si>
  <si>
    <t xml:space="preserve">L-007</t>
  </si>
  <si>
    <t xml:space="preserve">05, 11</t>
  </si>
  <si>
    <t xml:space="preserve">LB04</t>
  </si>
  <si>
    <t xml:space="preserve">OpenAI equity-only capital raised</t>
  </si>
  <si>
    <t xml:space="preserve">L-022 · estimated · T2 · 2026-03-31 · sum of PB equity rounds</t>
  </si>
  <si>
    <t xml:space="preserve">2026-03-31</t>
  </si>
  <si>
    <t xml:space="preserve">sum of PB equity rounds</t>
  </si>
  <si>
    <t xml:space="preserve">L-022</t>
  </si>
  <si>
    <t xml:space="preserve">LB05a</t>
  </si>
  <si>
    <t xml:space="preserve">Anthropic Q2-2026 revenue (preliminary; range 11,500-11,600)</t>
  </si>
  <si>
    <t xml:space="preserve">L-033 · confirmed · T2 · Q2-2026 · recognized, preliminary, GROSS presumed</t>
  </si>
  <si>
    <t xml:space="preserve">Q2-2026</t>
  </si>
  <si>
    <t xml:space="preserve">recognized, preliminary, GROSS presumed</t>
  </si>
  <si>
    <t xml:space="preserve">L-033</t>
  </si>
  <si>
    <t xml:space="preserve">02, 03, 04</t>
  </si>
  <si>
    <t xml:space="preserve">LB05a_low</t>
  </si>
  <si>
    <t xml:space="preserve">Anthropic Q2-2026 revenue, the '&gt;11,500' print</t>
  </si>
  <si>
    <t xml:space="preserve">L-151 · confirmed · T2 · Q2-2026 · recognized, preliminary, GROSS presumed</t>
  </si>
  <si>
    <t xml:space="preserve">L-151</t>
  </si>
  <si>
    <t xml:space="preserve">04</t>
  </si>
  <si>
    <t xml:space="preserve">LB05b</t>
  </si>
  <si>
    <t xml:space="preserve">Anthropic Q2-2026 ADJUSTED operating income (projection; sign confirmed)</t>
  </si>
  <si>
    <t xml:space="preserve">L-034, L-151, L-152 · confirmed (sign) / estimated (amount, definition) · T2 / T3 · Q2-2026 · non-GAAP adjusted operating income; definition unpublished; per T3 relays includes training cost, excludes SBC; not an operating profit, not FCF (Ruling 3)</t>
  </si>
  <si>
    <t xml:space="preserve">non-GAAP adjusted operating income; definition unpublished; per T3 relays includes training cost, excludes SBC; not an operating profit, not FCF (Ruling 3)</t>
  </si>
  <si>
    <t xml:space="preserve">confirmed (sign) / estimated (amount, definition)</t>
  </si>
  <si>
    <t xml:space="preserve">T2 / T3</t>
  </si>
  <si>
    <t xml:space="preserve">L-034, L-151, L-152</t>
  </si>
  <si>
    <t xml:space="preserve">04, 11</t>
  </si>
  <si>
    <t xml:space="preserve">LB05b_base</t>
  </si>
  <si>
    <t xml:space="preserve">Anthropic Q2-2026 projected revenue base behind the 5.1% adjusted margin (Reuters)</t>
  </si>
  <si>
    <t xml:space="preserve">L-034, L-152 · estimated · T2 / T3 · Q2-2026 · projected revenue 'at least 10,900'</t>
  </si>
  <si>
    <t xml:space="preserve">projected revenue 'at least 10,900'</t>
  </si>
  <si>
    <t xml:space="preserve">L-034, L-152</t>
  </si>
  <si>
    <t xml:space="preserve">A03</t>
  </si>
  <si>
    <t xml:space="preserve">Anthropic Q1-2026 revenue</t>
  </si>
  <si>
    <t xml:space="preserve">L-151 · confirmed · T2 · Q1-2026 · recognized, GROSS presumed (Bloomberg full text); replaces the derived ~5,000 (L-129)</t>
  </si>
  <si>
    <t xml:space="preserve">Q1-2026</t>
  </si>
  <si>
    <t xml:space="preserve">recognized, GROSS presumed (Bloomberg full text); replaces the derived ~5,000 (L-129)</t>
  </si>
  <si>
    <t xml:space="preserve">A03b</t>
  </si>
  <si>
    <t xml:space="preserve">Anthropic Q2-2025 revenue (comparator)</t>
  </si>
  <si>
    <t xml:space="preserve">L-151 · confirmed · T2 · Q2-2025 · recognized comparator; supersedes L-143 (T4)</t>
  </si>
  <si>
    <t xml:space="preserve">Q2-2025</t>
  </si>
  <si>
    <t xml:space="preserve">recognized comparator; supersedes L-143 (T4)</t>
  </si>
  <si>
    <t xml:space="preserve">02</t>
  </si>
  <si>
    <t xml:space="preserve">LB06a_Q1</t>
  </si>
  <si>
    <t xml:space="preserve">OpenAI Q1-2026 revenue</t>
  </si>
  <si>
    <t xml:space="preserve">L-066 · confirmed · T2 · Q1-2026 · recognized, NET presumed</t>
  </si>
  <si>
    <t xml:space="preserve">recognized, NET presumed</t>
  </si>
  <si>
    <t xml:space="preserve">L-066</t>
  </si>
  <si>
    <t xml:space="preserve">02, 04</t>
  </si>
  <si>
    <t xml:space="preserve">LB06a</t>
  </si>
  <si>
    <t xml:space="preserve">OpenAI Q2-2026 revenue</t>
  </si>
  <si>
    <t xml:space="preserve">L-066 · confirmed · T2 · Q2-2026 · recognized, NET presumed</t>
  </si>
  <si>
    <t xml:space="preserve">LB06b_Q1</t>
  </si>
  <si>
    <t xml:space="preserve">OpenAI Q1-2026 operating loss incl. SBC (magnitude)</t>
  </si>
  <si>
    <t xml:space="preserve">L-066 · confirmed · T2 · Q1-2026 · GAAP-style, incl. SBC</t>
  </si>
  <si>
    <t xml:space="preserve">$M loss</t>
  </si>
  <si>
    <t xml:space="preserve">GAAP-style, incl. SBC</t>
  </si>
  <si>
    <t xml:space="preserve">04, 05, 11</t>
  </si>
  <si>
    <t xml:space="preserve">LB06b</t>
  </si>
  <si>
    <t xml:space="preserve">OpenAI Q2-2026 operating loss incl. SBC (magnitude)</t>
  </si>
  <si>
    <t xml:space="preserve">L-066 · confirmed · T2 · Q2-2026 · GAAP-style, incl. SBC</t>
  </si>
  <si>
    <t xml:space="preserve">LB07a</t>
  </si>
  <si>
    <t xml:space="preserve">OpenAI 2026 compute spend</t>
  </si>
  <si>
    <t xml:space="preserve">L-078 · confirmed · T2 · 2026-05-05 · company statement (sworn)</t>
  </si>
  <si>
    <t xml:space="preserve">2026-05-05</t>
  </si>
  <si>
    <t xml:space="preserve">company statement (sworn)</t>
  </si>
  <si>
    <t xml:space="preserve">L-078</t>
  </si>
  <si>
    <t xml:space="preserve">03, 09</t>
  </si>
  <si>
    <t xml:space="preserve">LB07b</t>
  </si>
  <si>
    <t xml:space="preserve">OpenAI compute plan through 2030 (Jul-2026 vintage)</t>
  </si>
  <si>
    <t xml:space="preserve">L-062, L-078, L-082 · estimated · T2 · 2026-07-22 · consumption plan 2026-2030</t>
  </si>
  <si>
    <t xml:space="preserve">2026-07-22</t>
  </si>
  <si>
    <t xml:space="preserve">consumption plan 2026-2030</t>
  </si>
  <si>
    <t xml:space="preserve">L-062, L-078, L-082</t>
  </si>
  <si>
    <t xml:space="preserve">09, 07</t>
  </si>
  <si>
    <t xml:space="preserve">LB07b_may</t>
  </si>
  <si>
    <t xml:space="preserve">OpenAI compute plan through 2030 (May-2026 vintage, sworn)</t>
  </si>
  <si>
    <t xml:space="preserve">L-078 · confirmed · T2 · 2026-05-05 · 'roughly 600,000 in total compute spending through 2030'</t>
  </si>
  <si>
    <t xml:space="preserve">'roughly 600,000 in total compute spending through 2030'</t>
  </si>
  <si>
    <t xml:space="preserve">00, 09</t>
  </si>
  <si>
    <t xml:space="preserve">LB07b_feb</t>
  </si>
  <si>
    <t xml:space="preserve">OpenAI spend plan through 2030 (Feb-2026 vintage, 'training and operating')</t>
  </si>
  <si>
    <t xml:space="preserve">L-082 · estimated · T3 · 2026-02-21 · P&amp;L consumption 2026-2030, broader definition</t>
  </si>
  <si>
    <t xml:space="preserve">2026-02-21</t>
  </si>
  <si>
    <t xml:space="preserve">P&amp;L consumption 2026-2030, broader definition</t>
  </si>
  <si>
    <t xml:space="preserve">T3</t>
  </si>
  <si>
    <t xml:space="preserve">L-082</t>
  </si>
  <si>
    <t xml:space="preserve">09</t>
  </si>
  <si>
    <t xml:space="preserve">LB08</t>
  </si>
  <si>
    <t xml:space="preserve">Microsoft FY2026 revenue from OpenAI arrangements incl. revenue share</t>
  </si>
  <si>
    <t xml:space="preserve">L-054 · confirmed · T1 · FY ended 2026-06-30 · Azure consumption plus revenue share received, at Microsoft</t>
  </si>
  <si>
    <t xml:space="preserve">FY ended 2026-06-30</t>
  </si>
  <si>
    <t xml:space="preserve">Azure consumption plus revenue share received, at Microsoft</t>
  </si>
  <si>
    <t xml:space="preserve">T1</t>
  </si>
  <si>
    <t xml:space="preserve">L-054</t>
  </si>
  <si>
    <t xml:space="preserve">09, 10</t>
  </si>
  <si>
    <t xml:space="preserve">LB08_AR</t>
  </si>
  <si>
    <t xml:space="preserve">Microsoft accounts receivable from OpenAI at 2026-06-30</t>
  </si>
  <si>
    <t xml:space="preserve">L-054 · confirmed · T1 · 2026-06-30 · 10-K</t>
  </si>
  <si>
    <t xml:space="preserve">2026-06-30</t>
  </si>
  <si>
    <t xml:space="preserve">10-K</t>
  </si>
  <si>
    <t xml:space="preserve">LB09_GW</t>
  </si>
  <si>
    <t xml:space="preserve">SB Energy PORTS-Pike leases, capacity (17 leases, 20-yr, OpenAI affiliate tenant)</t>
  </si>
  <si>
    <t xml:space="preserve">L-061, L-147 · confirmed · T1 · 2026-08-17 · issuer S-1</t>
  </si>
  <si>
    <t xml:space="preserve">GW-IT</t>
  </si>
  <si>
    <t xml:space="preserve">2026-08-17</t>
  </si>
  <si>
    <t xml:space="preserve">issuer S-1</t>
  </si>
  <si>
    <t xml:space="preserve">L-061, L-147</t>
  </si>
  <si>
    <t xml:space="preserve">09, 10, 11</t>
  </si>
  <si>
    <t xml:space="preserve">LB09_term</t>
  </si>
  <si>
    <t xml:space="preserve">PORTS lease term</t>
  </si>
  <si>
    <t xml:space="preserve">L-061 · confirmed · T1 · 2026-08-17 · issuer S-1</t>
  </si>
  <si>
    <t xml:space="preserve">L-061</t>
  </si>
  <si>
    <t xml:space="preserve">LB09_RVG</t>
  </si>
  <si>
    <t xml:space="preserve">Nvidia residual-value guaranty on PORTS, aggregate guaranteed value</t>
  </si>
  <si>
    <t xml:space="preserve">L-061 · confirmed · T1 · 2026-08-17 · issuer S-1; nothing payable until ready-for-service</t>
  </si>
  <si>
    <t xml:space="preserve">issuer S-1; nothing payable until ready-for-service</t>
  </si>
  <si>
    <t xml:space="preserve">LB09_RVG_GW</t>
  </si>
  <si>
    <t xml:space="preserve">RVG covered capacity (initial)</t>
  </si>
  <si>
    <t xml:space="preserve">LB09_Milam_MW</t>
  </si>
  <si>
    <t xml:space="preserve">SB Energy Milam County leases (two buildings)</t>
  </si>
  <si>
    <t xml:space="preserve">L-061, L-147 · confirmed · T1 · 2026-09-01 · issuer S-1</t>
  </si>
  <si>
    <t xml:space="preserve">MW</t>
  </si>
  <si>
    <t xml:space="preserve">2026-09-01</t>
  </si>
  <si>
    <t xml:space="preserve">LB09_Milam_term</t>
  </si>
  <si>
    <t xml:space="preserve">Milam County lease term</t>
  </si>
  <si>
    <t xml:space="preserve">L-061 · confirmed · T1 · 2026-09-01 · issuer S-1</t>
  </si>
  <si>
    <t xml:space="preserve">LB10</t>
  </si>
  <si>
    <t xml:space="preserve">Anthropic 2028 revenue forecast to IPO investors, low end</t>
  </si>
  <si>
    <t xml:space="preserve">L-036 · estimated · T2 · FY2028E (Aug-2026 vintage) · company forecast to IPO investors, GROSS presumed</t>
  </si>
  <si>
    <t xml:space="preserve">FY2028E (Aug-2026 vintage)</t>
  </si>
  <si>
    <t xml:space="preserve">company forecast to IPO investors, GROSS presumed</t>
  </si>
  <si>
    <t xml:space="preserve">L-036</t>
  </si>
  <si>
    <t xml:space="preserve">02, 09, 07</t>
  </si>
  <si>
    <t xml:space="preserve">LB10_high</t>
  </si>
  <si>
    <t xml:space="preserve">Anthropic 2028 revenue forecast to IPO investors, high end</t>
  </si>
  <si>
    <t xml:space="preserve">MARKS, RULINGS AND THE JUL-16 REGISTER</t>
  </si>
  <si>
    <t xml:space="preserve">M01</t>
  </si>
  <si>
    <t xml:space="preserve">Anthropic post-money mark (Series H)</t>
  </si>
  <si>
    <t xml:space="preserve">L-005, L-038 · confirmed · T2/T1 · 2026-05-28 · Series H post</t>
  </si>
  <si>
    <t xml:space="preserve">Series H post</t>
  </si>
  <si>
    <t xml:space="preserve">T2/T1</t>
  </si>
  <si>
    <t xml:space="preserve">VOLATILE</t>
  </si>
  <si>
    <t xml:space="preserve">L-005, L-038</t>
  </si>
  <si>
    <t xml:space="preserve">06</t>
  </si>
  <si>
    <t xml:space="preserve">M02</t>
  </si>
  <si>
    <t xml:space="preserve">OpenAI post-money mark (Mar-2026 round; Aug-10 tender at the same price)</t>
  </si>
  <si>
    <t xml:space="preserve">L-019, L-067 · confirmed · T2 · 2026-03-31 · Mar-2026 round post</t>
  </si>
  <si>
    <t xml:space="preserve">Mar-2026 round post</t>
  </si>
  <si>
    <t xml:space="preserve">L-019, L-067</t>
  </si>
  <si>
    <t xml:space="preserve">R01</t>
  </si>
  <si>
    <t xml:space="preserve">Equalization haircut, internal (Ruling 5)</t>
  </si>
  <si>
    <t xml:space="preserve">L-126 · recalled · T4 · 2026-07-16 · Ruling 5; gate-verified on the May-2026 mix</t>
  </si>
  <si>
    <t xml:space="preserve">2026-07-16</t>
  </si>
  <si>
    <t xml:space="preserve">Ruling 5; gate-verified on the May-2026 mix</t>
  </si>
  <si>
    <t xml:space="preserve">recalled</t>
  </si>
  <si>
    <t xml:space="preserve">T4</t>
  </si>
  <si>
    <t xml:space="preserve">PERMANENT</t>
  </si>
  <si>
    <t xml:space="preserve">L-126</t>
  </si>
  <si>
    <t xml:space="preserve">02, 05, 06, 11 (via SW_HAIRCUT)</t>
  </si>
  <si>
    <t xml:space="preserve">R02</t>
  </si>
  <si>
    <t xml:space="preserve">Equalization haircut, external (~27%)</t>
  </si>
  <si>
    <t xml:space="preserve">L-126, C-13 · recalled · T4 · 2026-04 · OpenAI CRO memo relay, adversarial</t>
  </si>
  <si>
    <t xml:space="preserve">2026-04</t>
  </si>
  <si>
    <t xml:space="preserve">OpenAI CRO memo relay, adversarial</t>
  </si>
  <si>
    <t xml:space="preserve">L-126, C-13</t>
  </si>
  <si>
    <t xml:space="preserve">same</t>
  </si>
  <si>
    <t xml:space="preserve">R03</t>
  </si>
  <si>
    <t xml:space="preserve">Microsoft share applied if the OpenAI figure is gross (T4 only; NEVER printed as a fact)</t>
  </si>
  <si>
    <t xml:space="preserve">L-052 notes · recalled · T4 · n/a · T4 only; gross case of SW_OAI_BASIS</t>
  </si>
  <si>
    <t xml:space="preserve">n/a</t>
  </si>
  <si>
    <t xml:space="preserve">T4 only; gross case of SW_OAI_BASIS</t>
  </si>
  <si>
    <t xml:space="preserve">L-052 notes</t>
  </si>
  <si>
    <t xml:space="preserve">02 (gross case only)</t>
  </si>
  <si>
    <t xml:space="preserve">J16_OAI_RR</t>
  </si>
  <si>
    <t xml:space="preserve">OpenAI run-rate carried in the Jul-16 register (CE walk start)</t>
  </si>
  <si>
    <t xml:space="preserve">L-133 · recalled · T4 · 2026-07-16 · NET run-rate, register</t>
  </si>
  <si>
    <t xml:space="preserve">NET run-rate, register</t>
  </si>
  <si>
    <t xml:space="preserve">L-133</t>
  </si>
  <si>
    <t xml:space="preserve">05 (CE walk)</t>
  </si>
  <si>
    <t xml:space="preserve">J16_CE_A</t>
  </si>
  <si>
    <t xml:space="preserve">Anthropic CE at Jul-16 (register)</t>
  </si>
  <si>
    <t xml:space="preserve">L-133 · recalled · T4 · 2026-07-16 · equalized net run-rate / equity</t>
  </si>
  <si>
    <t xml:space="preserve">x</t>
  </si>
  <si>
    <t xml:space="preserve">equalized net run-rate / equity</t>
  </si>
  <si>
    <t xml:space="preserve">05</t>
  </si>
  <si>
    <t xml:space="preserve">J16_CE_O</t>
  </si>
  <si>
    <t xml:space="preserve">OpenAI CE at Jul-16 (register)</t>
  </si>
  <si>
    <t xml:space="preserve">L-133 · recalled · T4 · 2026-07-16 · net run-rate / equity</t>
  </si>
  <si>
    <t xml:space="preserve">net run-rate / equity</t>
  </si>
  <si>
    <t xml:space="preserve">ANTHROPIC: REVENUE, PLAN, MARGINS, PEOPLE, FACILITIES</t>
  </si>
  <si>
    <t xml:space="preserve">A01a</t>
  </si>
  <si>
    <t xml:space="preserve">Anthropic run-rate, end-2025</t>
  </si>
  <si>
    <t xml:space="preserve">L-139 · confirmed · T1 · 2025-12 · GROSS run-rate, company statement</t>
  </si>
  <si>
    <t xml:space="preserve">2025-12</t>
  </si>
  <si>
    <t xml:space="preserve">GROSS run-rate, company statement</t>
  </si>
  <si>
    <t xml:space="preserve">L-139</t>
  </si>
  <si>
    <t xml:space="preserve">A01b</t>
  </si>
  <si>
    <t xml:space="preserve">Anthropic run-rate, 2026-04-06</t>
  </si>
  <si>
    <t xml:space="preserve">L-139 · confirmed · T1 · 2026-04-06 · GROSS run-rate, company statement</t>
  </si>
  <si>
    <t xml:space="preserve">2026-04-06</t>
  </si>
  <si>
    <t xml:space="preserve">A01c</t>
  </si>
  <si>
    <t xml:space="preserve">Anthropic run-rate, early May 2026 (Series H announcement)</t>
  </si>
  <si>
    <t xml:space="preserve">L-037 · confirmed · T1 · 2026-05 · GROSS run-rate, company statement</t>
  </si>
  <si>
    <t xml:space="preserve">2026-05</t>
  </si>
  <si>
    <t xml:space="preserve">L-037</t>
  </si>
  <si>
    <t xml:space="preserve">02, 05</t>
  </si>
  <si>
    <t xml:space="preserve">A02_low</t>
  </si>
  <si>
    <t xml:space="preserve">Anthropic YE-2026 run-rate expectation, low</t>
  </si>
  <si>
    <t xml:space="preserve">L-035 · estimated · T3 · 2026-08-17 · investor expectation, not guidance (FT via TechCrunch)</t>
  </si>
  <si>
    <t xml:space="preserve">investor expectation, not guidance (FT via TechCrunch)</t>
  </si>
  <si>
    <t xml:space="preserve">L-035</t>
  </si>
  <si>
    <t xml:space="preserve">00, 02</t>
  </si>
  <si>
    <t xml:space="preserve">A02_high</t>
  </si>
  <si>
    <t xml:space="preserve">Anthropic YE-2026 run-rate expectation, high</t>
  </si>
  <si>
    <t xml:space="preserve">L-035 · estimated · T3 · 2026-08-17 · investor expectation, not guidance</t>
  </si>
  <si>
    <t xml:space="preserve">investor expectation, not guidance</t>
  </si>
  <si>
    <t xml:space="preserve">A04_2022</t>
  </si>
  <si>
    <t xml:space="preserve">Anthropic PB revenue series, 2022</t>
  </si>
  <si>
    <t xml:space="preserve">L-010, L-009 · estimated · T2 · pulled 2026-09-09 · PB recognized-estimate (basis unstated)</t>
  </si>
  <si>
    <t xml:space="preserve">pulled 2026-09-09</t>
  </si>
  <si>
    <t xml:space="preserve">PB recognized-estimate (basis unstated)</t>
  </si>
  <si>
    <t xml:space="preserve">L-010, L-009</t>
  </si>
  <si>
    <t xml:space="preserve">02 (projection block only)</t>
  </si>
  <si>
    <t xml:space="preserve">A04_2023</t>
  </si>
  <si>
    <t xml:space="preserve">Anthropic PB revenue series, 2023</t>
  </si>
  <si>
    <t xml:space="preserve">A04_2024</t>
  </si>
  <si>
    <t xml:space="preserve">Anthropic PB revenue series, 2024</t>
  </si>
  <si>
    <t xml:space="preserve">A04_2025</t>
  </si>
  <si>
    <t xml:space="preserve">Anthropic PB revenue series, 2025</t>
  </si>
  <si>
    <t xml:space="preserve">A04_2026</t>
  </si>
  <si>
    <t xml:space="preserve">Anthropic PB revenue series, 2026</t>
  </si>
  <si>
    <t xml:space="preserve">L-010, L-009 · estimated · T2 · pulled 2026-09-09 · PB FORWARD PROJECTION (Ruling 4), never current</t>
  </si>
  <si>
    <t xml:space="preserve">PB FORWARD PROJECTION (Ruling 4), never current</t>
  </si>
  <si>
    <t xml:space="preserve">A04_2027</t>
  </si>
  <si>
    <t xml:space="preserve">Anthropic PB revenue series, 2027</t>
  </si>
  <si>
    <t xml:space="preserve">A05_rev</t>
  </si>
  <si>
    <t xml:space="preserve">Anthropic FY2024 revenue</t>
  </si>
  <si>
    <t xml:space="preserve">L-012 · estimated · T2 · FY2024 · PB deal-record financials</t>
  </si>
  <si>
    <t xml:space="preserve">FY2024</t>
  </si>
  <si>
    <t xml:space="preserve">PB deal-record financials</t>
  </si>
  <si>
    <t xml:space="preserve">L-012</t>
  </si>
  <si>
    <t xml:space="preserve">A05_NI</t>
  </si>
  <si>
    <t xml:space="preserve">Anthropic FY2024 net loss (Sep-9 PB vintage)</t>
  </si>
  <si>
    <t xml:space="preserve">L-012 · estimated · T2 · FY2024 · PB deal-record financials (C-05)</t>
  </si>
  <si>
    <t xml:space="preserve">PB deal-record financials (C-05)</t>
  </si>
  <si>
    <t xml:space="preserve">04 (SW_A_FY24_NI)</t>
  </si>
  <si>
    <t xml:space="preserve">A05_NI_alt</t>
  </si>
  <si>
    <t xml:space="preserve">Anthropic FY2024 net loss (Jul-16 PB vintage)</t>
  </si>
  <si>
    <t xml:space="preserve">L-012, C-05 · recalled · T4 · FY2024 · PB financials, Jul-16 register (C-05)</t>
  </si>
  <si>
    <t xml:space="preserve">PB financials, Jul-16 register (C-05)</t>
  </si>
  <si>
    <t xml:space="preserve">L-012, C-05</t>
  </si>
  <si>
    <t xml:space="preserve">A06</t>
  </si>
  <si>
    <t xml:space="preserve">Anthropic FY2025 revenue, PB TTM 4Q2025 field</t>
  </si>
  <si>
    <t xml:space="preserve">L-010 · estimated · T2 · FY2025 · PB field = December exit run-rate (C-03)</t>
  </si>
  <si>
    <t xml:space="preserve">FY2025</t>
  </si>
  <si>
    <t xml:space="preserve">PB field = December exit run-rate (C-03)</t>
  </si>
  <si>
    <t xml:space="preserve">L-010</t>
  </si>
  <si>
    <t xml:space="preserve">04 (SW_A_FY25)</t>
  </si>
  <si>
    <t xml:space="preserve">A06_impl_low</t>
  </si>
  <si>
    <t xml:space="preserve">Anthropic FY2025 recognized revenue implied by the Jan-2026 guidance, low</t>
  </si>
  <si>
    <t xml:space="preserve">L-120 · recalled · T4 · FY2025 · implied (C-03)</t>
  </si>
  <si>
    <t xml:space="preserve">implied (C-03)</t>
  </si>
  <si>
    <t xml:space="preserve">L-120</t>
  </si>
  <si>
    <t xml:space="preserve">A06_impl_high</t>
  </si>
  <si>
    <t xml:space="preserve">Anthropic FY2025 recognized revenue implied by the Jan-2026 guidance, high</t>
  </si>
  <si>
    <t xml:space="preserve">A07_2024</t>
  </si>
  <si>
    <t xml:space="preserve">Anthropic gross margin 2024</t>
  </si>
  <si>
    <t xml:space="preserve">L-119 · recalled · T4 · 2026-01 vintage · The Information relay; register; GROSS-basis margin</t>
  </si>
  <si>
    <t xml:space="preserve">2026-01 vintage</t>
  </si>
  <si>
    <t xml:space="preserve">The Information relay; register; GROSS-basis margin</t>
  </si>
  <si>
    <t xml:space="preserve">L-119</t>
  </si>
  <si>
    <t xml:space="preserve">00, 03, 04, 07</t>
  </si>
  <si>
    <t xml:space="preserve">A07_2025</t>
  </si>
  <si>
    <t xml:space="preserve">Anthropic gross margin 2025</t>
  </si>
  <si>
    <t xml:space="preserve">A07_2026_low</t>
  </si>
  <si>
    <t xml:space="preserve">Anthropic gross margin 2026 (T4 range, low)</t>
  </si>
  <si>
    <t xml:space="preserve">A07_2026_high</t>
  </si>
  <si>
    <t xml:space="preserve">Anthropic gross margin 2026 (T4 range, high)</t>
  </si>
  <si>
    <t xml:space="preserve">A07_2027</t>
  </si>
  <si>
    <t xml:space="preserve">Anthropic gross margin plan 2027E</t>
  </si>
  <si>
    <t xml:space="preserve">A07_2028</t>
  </si>
  <si>
    <t xml:space="preserve">Anthropic gross margin plan 2028E</t>
  </si>
  <si>
    <t xml:space="preserve">A08_2026</t>
  </si>
  <si>
    <t xml:space="preserve">Anthropic training-compute budget 2026E</t>
  </si>
  <si>
    <t xml:space="preserve">L-125 · recalled · T4 · undated leaked docs · annual training-compute budget (C-11)</t>
  </si>
  <si>
    <t xml:space="preserve">undated leaked docs</t>
  </si>
  <si>
    <t xml:space="preserve">annual training-compute budget (C-11)</t>
  </si>
  <si>
    <t xml:space="preserve">L-125</t>
  </si>
  <si>
    <t xml:space="preserve">00, 03, 04, 09</t>
  </si>
  <si>
    <t xml:space="preserve">A08_2027</t>
  </si>
  <si>
    <t xml:space="preserve">Anthropic training-compute budget 2027E</t>
  </si>
  <si>
    <t xml:space="preserve">A08_2028</t>
  </si>
  <si>
    <t xml:space="preserve">Anthropic training-compute budget 2028E</t>
  </si>
  <si>
    <t xml:space="preserve">A09_rev2026</t>
  </si>
  <si>
    <t xml:space="preserve">Anthropic Jan-2026 plan: revenue 2026</t>
  </si>
  <si>
    <t xml:space="preserve">L-120 · recalled · T4 · 2026-01 · superseded plan; C-12</t>
  </si>
  <si>
    <t xml:space="preserve">2026-01</t>
  </si>
  <si>
    <t xml:space="preserve">superseded plan; C-12</t>
  </si>
  <si>
    <t xml:space="preserve">05, 12, 13</t>
  </si>
  <si>
    <t xml:space="preserve">A09_rev2027</t>
  </si>
  <si>
    <t xml:space="preserve">Anthropic Jan-2026 plan: revenue 2027</t>
  </si>
  <si>
    <t xml:space="preserve">A09_rev2028</t>
  </si>
  <si>
    <t xml:space="preserve">Anthropic Jan-2026 plan: revenue 2028</t>
  </si>
  <si>
    <t xml:space="preserve">A09_rev2029</t>
  </si>
  <si>
    <t xml:space="preserve">Anthropic Jan-2026 plan: revenue 2029</t>
  </si>
  <si>
    <t xml:space="preserve">A09_loss2026</t>
  </si>
  <si>
    <t xml:space="preserve">Anthropic Jan-2026 plan: loss 2026 (GAAP-style)</t>
  </si>
  <si>
    <t xml:space="preserve">A09_loss2027</t>
  </si>
  <si>
    <t xml:space="preserve">Anthropic Jan-2026 plan: loss 2027</t>
  </si>
  <si>
    <t xml:space="preserve">A09_rentals</t>
  </si>
  <si>
    <t xml:space="preserve">Anthropic Jan-2026 plan: server rentals through 2029</t>
  </si>
  <si>
    <t xml:space="preserve">A09_burn2025</t>
  </si>
  <si>
    <t xml:space="preserve">Anthropic FY2025 burn (register)</t>
  </si>
  <si>
    <t xml:space="preserve">A10</t>
  </si>
  <si>
    <t xml:space="preserve">Anthropic headcount (PB)</t>
  </si>
  <si>
    <t xml:space="preserve">L-008 · confirmed · T2 · 2026-04-21 · PB profile; C-18</t>
  </si>
  <si>
    <t xml:space="preserve">2026-04-21</t>
  </si>
  <si>
    <t xml:space="preserve">PB profile; C-18</t>
  </si>
  <si>
    <t xml:space="preserve">L-008</t>
  </si>
  <si>
    <t xml:space="preserve">03 (SW_A_HC)</t>
  </si>
  <si>
    <t xml:space="preserve">A10_alt</t>
  </si>
  <si>
    <t xml:space="preserve">Anthropic headcount (Revelio)</t>
  </si>
  <si>
    <t xml:space="preserve">L-091 · estimated · T4 · 2026-03 · LinkedIn-derived; C-18</t>
  </si>
  <si>
    <t xml:space="preserve">2026-03</t>
  </si>
  <si>
    <t xml:space="preserve">LinkedIn-derived; C-18</t>
  </si>
  <si>
    <t xml:space="preserve">L-091</t>
  </si>
  <si>
    <t xml:space="preserve">A11</t>
  </si>
  <si>
    <t xml:space="preserve">Anthropic revolving credit facility</t>
  </si>
  <si>
    <t xml:space="preserve">L-014 · confirmed · T2 · 2025-05-16 · debt facility (in PB Total Raised; not equity)</t>
  </si>
  <si>
    <t xml:space="preserve">2025-05-16</t>
  </si>
  <si>
    <t xml:space="preserve">debt facility (in PB Total Raised; not equity)</t>
  </si>
  <si>
    <t xml:space="preserve">L-014</t>
  </si>
  <si>
    <t xml:space="preserve">A11_exp</t>
  </si>
  <si>
    <t xml:space="preserve">Anthropic revolver expansion 'set to finalize'</t>
  </si>
  <si>
    <t xml:space="preserve">L-042 · estimated · T3 · 2026-09-03 · Bloomberg relay; not closed</t>
  </si>
  <si>
    <t xml:space="preserve">2026-09-03</t>
  </si>
  <si>
    <t xml:space="preserve">Bloomberg relay; not closed</t>
  </si>
  <si>
    <t xml:space="preserve">STABLE once closed</t>
  </si>
  <si>
    <t xml:space="preserve">L-042</t>
  </si>
  <si>
    <t xml:space="preserve">05 (SW_15B_FACILITY)</t>
  </si>
  <si>
    <t xml:space="preserve">A22</t>
  </si>
  <si>
    <t xml:space="preserve">$15B facility closing status</t>
  </si>
  <si>
    <t xml:space="preserve">L-160 · could-not-verify · T3 · 2026-09-09 · house rule: [VERIFY] until closed</t>
  </si>
  <si>
    <t xml:space="preserve">NOT closed as of 2026-09-09 ('set to finalize' Sep-3; PB deal still Upcoming)</t>
  </si>
  <si>
    <t xml:space="preserve">status</t>
  </si>
  <si>
    <t xml:space="preserve">2026-09-09</t>
  </si>
  <si>
    <t xml:space="preserve">house rule: [VERIFY] until closed</t>
  </si>
  <si>
    <t xml:space="preserve">could-not-verify</t>
  </si>
  <si>
    <t xml:space="preserve">L-160</t>
  </si>
  <si>
    <t xml:space="preserve">05, 11 (SW_15B_FACILITY default)</t>
  </si>
  <si>
    <t xml:space="preserve">A12</t>
  </si>
  <si>
    <t xml:space="preserve">TPU lease SPV ('AI XPV Platform'): lessor debt financing TPU systems leased to Anthropic</t>
  </si>
  <si>
    <t xml:space="preserve">L-044 · estimated · T3 · 2026-06 · lessor debt, off-balance-sheet; 5-yr lease</t>
  </si>
  <si>
    <t xml:space="preserve">2026-06</t>
  </si>
  <si>
    <t xml:space="preserve">lessor debt, off-balance-sheet; 5-yr lease</t>
  </si>
  <si>
    <t xml:space="preserve">L-044</t>
  </si>
  <si>
    <t xml:space="preserve">09, 10, 05</t>
  </si>
  <si>
    <t xml:space="preserve">A12_bcom</t>
  </si>
  <si>
    <t xml:space="preserve">SPV tranche with Broadcom support</t>
  </si>
  <si>
    <t xml:space="preserve">L-044 · estimated · T3 · 2026-06 · lessor debt</t>
  </si>
  <si>
    <t xml:space="preserve">lessor debt</t>
  </si>
  <si>
    <t xml:space="preserve">10</t>
  </si>
  <si>
    <t xml:space="preserve">A12_unsup</t>
  </si>
  <si>
    <t xml:space="preserve">SPV tranche without support</t>
  </si>
  <si>
    <t xml:space="preserve">A12_term</t>
  </si>
  <si>
    <t xml:space="preserve">SPV lease term</t>
  </si>
  <si>
    <t xml:space="preserve">L-044 · estimated · T3 · 2026-06 · five-year lease</t>
  </si>
  <si>
    <t xml:space="preserve">five-year lease</t>
  </si>
  <si>
    <t xml:space="preserve">A12_GW</t>
  </si>
  <si>
    <t xml:space="preserve">SPV-financed TPU capacity ('more than 1 GW')</t>
  </si>
  <si>
    <t xml:space="preserve">L-044 · estimated · T3 · 2026-06 · floor</t>
  </si>
  <si>
    <t xml:space="preserve">GW</t>
  </si>
  <si>
    <t xml:space="preserve">floor</t>
  </si>
  <si>
    <t xml:space="preserve">09 (X01)</t>
  </si>
  <si>
    <t xml:space="preserve">A12_A1</t>
  </si>
  <si>
    <t xml:space="preserve">SPV tranche A1 rate</t>
  </si>
  <si>
    <t xml:space="preserve">L-044, L-106 · estimated · T3 / T1 · 2026-08-12 · Epoch AI</t>
  </si>
  <si>
    <t xml:space="preserve">Treasuries + 1pt</t>
  </si>
  <si>
    <t xml:space="preserve">text</t>
  </si>
  <si>
    <t xml:space="preserve">2026-08-12</t>
  </si>
  <si>
    <t xml:space="preserve">Epoch AI</t>
  </si>
  <si>
    <t xml:space="preserve">T3 / T1</t>
  </si>
  <si>
    <t xml:space="preserve">L-044, L-106</t>
  </si>
  <si>
    <t xml:space="preserve">A12_A2</t>
  </si>
  <si>
    <t xml:space="preserve">SPV tranche A2 rate</t>
  </si>
  <si>
    <t xml:space="preserve">A12_B</t>
  </si>
  <si>
    <t xml:space="preserve">SPV tranche B rate</t>
  </si>
  <si>
    <t xml:space="preserve">A13</t>
  </si>
  <si>
    <t xml:space="preserve">Project-company debt, five TPU site companies</t>
  </si>
  <si>
    <t xml:space="preserve">L-045 · estimated · T3 · 2026-08-12 · off-balance-sheet; Google conditional support</t>
  </si>
  <si>
    <t xml:space="preserve">off-balance-sheet; Google conditional support</t>
  </si>
  <si>
    <t xml:space="preserve">L-045</t>
  </si>
  <si>
    <t xml:space="preserve">A13_GW</t>
  </si>
  <si>
    <t xml:space="preserve">Project-company critical IT capacity</t>
  </si>
  <si>
    <t xml:space="preserve">L-045 · estimated · T3 · 2026-08-12 · Epoch AI</t>
  </si>
  <si>
    <t xml:space="preserve">A14</t>
  </si>
  <si>
    <t xml:space="preserve">Copyright: Bartz settlement (final approval 2026-07-20)</t>
  </si>
  <si>
    <t xml:space="preserve">L-086 · confirmed · T2 · 2026-07-20 · cash 2026</t>
  </si>
  <si>
    <t xml:space="preserve">2026-07-20</t>
  </si>
  <si>
    <t xml:space="preserve">cash 2026</t>
  </si>
  <si>
    <t xml:space="preserve">L-086</t>
  </si>
  <si>
    <t xml:space="preserve">03 (L5)</t>
  </si>
  <si>
    <t xml:space="preserve">A14_music</t>
  </si>
  <si>
    <t xml:space="preserve">Copyright: music-publisher demands ('&gt;3,000'), unreserved</t>
  </si>
  <si>
    <t xml:space="preserve">L-086 · confirmed · T2 · 2026-01-29 · unreserved claims; Sony/Warner Chappell suit unquantified</t>
  </si>
  <si>
    <t xml:space="preserve">2026-01-29</t>
  </si>
  <si>
    <t xml:space="preserve">unreserved claims; Sony/Warner Chappell suit unquantified</t>
  </si>
  <si>
    <t xml:space="preserve">03</t>
  </si>
  <si>
    <t xml:space="preserve">A15a</t>
  </si>
  <si>
    <t xml:space="preserve">Anthropic comp anchor: MTS base salary, high (H-1B)</t>
  </si>
  <si>
    <t xml:space="preserve">L-165 · estimated · T3 · 2026-06-28 · base only (verbatim relay)</t>
  </si>
  <si>
    <t xml:space="preserve">2026-06-28</t>
  </si>
  <si>
    <t xml:space="preserve">base only (verbatim relay)</t>
  </si>
  <si>
    <t xml:space="preserve">L-165</t>
  </si>
  <si>
    <t xml:space="preserve">00, 03 (L5, AJ)</t>
  </si>
  <si>
    <t xml:space="preserve">A15b</t>
  </si>
  <si>
    <t xml:space="preserve">Anthropic comp anchor: MTS base salary (H-1B)</t>
  </si>
  <si>
    <t xml:space="preserve">A15c</t>
  </si>
  <si>
    <t xml:space="preserve">Anthropic comp anchor: MTS base range, low</t>
  </si>
  <si>
    <t xml:space="preserve">L-165 · estimated · T3 · 2026-06-28 · base only</t>
  </si>
  <si>
    <t xml:space="preserve">base only</t>
  </si>
  <si>
    <t xml:space="preserve">A15d</t>
  </si>
  <si>
    <t xml:space="preserve">Anthropic comp anchor: MTS Manager base, to</t>
  </si>
  <si>
    <t xml:space="preserve">A15e</t>
  </si>
  <si>
    <t xml:space="preserve">Anthropic comp anchor: Technical Sales base, to</t>
  </si>
  <si>
    <t xml:space="preserve">A15f</t>
  </si>
  <si>
    <t xml:space="preserve">Anthropic comp anchor: Product Design Manager base, to</t>
  </si>
  <si>
    <t xml:space="preserve">A15h</t>
  </si>
  <si>
    <t xml:space="preserve">Anthropic comp anchor: Engineer total-comp band, low (aggregators)</t>
  </si>
  <si>
    <t xml:space="preserve">L-092 notes · estimated · T4 · 2026-06-28 · total comp (T4)</t>
  </si>
  <si>
    <t xml:space="preserve">total comp (T4)</t>
  </si>
  <si>
    <t xml:space="preserve">L-092 notes</t>
  </si>
  <si>
    <t xml:space="preserve">A15i</t>
  </si>
  <si>
    <t xml:space="preserve">Anthropic comp anchor: Engineer total-comp band, high (aggregators)</t>
  </si>
  <si>
    <t xml:space="preserve">A15g</t>
  </si>
  <si>
    <t xml:space="preserve">Anthropic H-1B roles certified H1 FY2026</t>
  </si>
  <si>
    <t xml:space="preserve">L-165 · estimated · T3 · 2026-06-28 · verbatim relay</t>
  </si>
  <si>
    <t xml:space="preserve">roles</t>
  </si>
  <si>
    <t xml:space="preserve">verbatim relay</t>
  </si>
  <si>
    <t xml:space="preserve">A16</t>
  </si>
  <si>
    <t xml:space="preserve">Series H raised</t>
  </si>
  <si>
    <t xml:space="preserve">L-038 · confirmed · T1 · 2026-05-28 · company statement</t>
  </si>
  <si>
    <t xml:space="preserve">company statement</t>
  </si>
  <si>
    <t xml:space="preserve">L-038</t>
  </si>
  <si>
    <t xml:space="preserve">A16_prior</t>
  </si>
  <si>
    <t xml:space="preserve">Series H: previously committed hyperscaler money included</t>
  </si>
  <si>
    <t xml:space="preserve">A16_amzn</t>
  </si>
  <si>
    <t xml:space="preserve">Series H: of which Amazon</t>
  </si>
  <si>
    <t xml:space="preserve">A17_amzn</t>
  </si>
  <si>
    <t xml:space="preserve">Contingent equity inflow: Amazon (milestone-based)</t>
  </si>
  <si>
    <t xml:space="preserve">L-072 · confirmed · T1 · 2026-04-20 · up to; not in capital raised</t>
  </si>
  <si>
    <t xml:space="preserve">2026-04-20</t>
  </si>
  <si>
    <t xml:space="preserve">up to; not in capital raised</t>
  </si>
  <si>
    <t xml:space="preserve">L-072</t>
  </si>
  <si>
    <t xml:space="preserve">05, 09</t>
  </si>
  <si>
    <t xml:space="preserve">A17_goog</t>
  </si>
  <si>
    <t xml:space="preserve">Contingent equity inflow: Google (performance targets)</t>
  </si>
  <si>
    <t xml:space="preserve">L-073 · confirmed · T2 · 2026-04-24 · contingent; not in capital raised</t>
  </si>
  <si>
    <t xml:space="preserve">2026-04-24</t>
  </si>
  <si>
    <t xml:space="preserve">contingent; not in capital raised</t>
  </si>
  <si>
    <t xml:space="preserve">L-073</t>
  </si>
  <si>
    <t xml:space="preserve">A17_amd</t>
  </si>
  <si>
    <t xml:space="preserve">Contingent equity inflow: AMD (through FY2028)</t>
  </si>
  <si>
    <t xml:space="preserve">L-043 · confirmed · T1 · 2026-07-22 · up to; subject to contingencies</t>
  </si>
  <si>
    <t xml:space="preserve">up to; subject to contingencies</t>
  </si>
  <si>
    <t xml:space="preserve">L-043</t>
  </si>
  <si>
    <t xml:space="preserve">A18_f51_in</t>
  </si>
  <si>
    <t xml:space="preserve">List price: Fable 5.1 input</t>
  </si>
  <si>
    <t xml:space="preserve">L-084 · confirmed · T1 · 2026-09-09 · pricing page</t>
  </si>
  <si>
    <t xml:space="preserve">$ per MTok</t>
  </si>
  <si>
    <t xml:space="preserve">pricing page</t>
  </si>
  <si>
    <t xml:space="preserve">L-084</t>
  </si>
  <si>
    <t xml:space="preserve">03 (unit economics block)</t>
  </si>
  <si>
    <t xml:space="preserve">A18_f51_out</t>
  </si>
  <si>
    <t xml:space="preserve">List price: Fable 5.1 output</t>
  </si>
  <si>
    <t xml:space="preserve">A18_o5_in</t>
  </si>
  <si>
    <t xml:space="preserve">List price: Opus 5 input</t>
  </si>
  <si>
    <t xml:space="preserve">A18_o5_out</t>
  </si>
  <si>
    <t xml:space="preserve">List price: Opus 5 output</t>
  </si>
  <si>
    <t xml:space="preserve">A18_s5_in</t>
  </si>
  <si>
    <t xml:space="preserve">List price: Sonnet 5 input</t>
  </si>
  <si>
    <t xml:space="preserve">A18_s5_out</t>
  </si>
  <si>
    <t xml:space="preserve">List price: Sonnet 5 output</t>
  </si>
  <si>
    <t xml:space="preserve">A18_h45_in</t>
  </si>
  <si>
    <t xml:space="preserve">List price: Haiku 4.5 input</t>
  </si>
  <si>
    <t xml:space="preserve">A18_h45_out</t>
  </si>
  <si>
    <t xml:space="preserve">List price: Haiku 4.5 output</t>
  </si>
  <si>
    <t xml:space="preserve">A18_fast</t>
  </si>
  <si>
    <t xml:space="preserve">List price: Fast Mode multiplier (Opus 5)</t>
  </si>
  <si>
    <t xml:space="preserve">A18_cache</t>
  </si>
  <si>
    <t xml:space="preserve">List price: Cache read (Fable 5.1)</t>
  </si>
  <si>
    <t xml:space="preserve">A19a</t>
  </si>
  <si>
    <t xml:space="preserve">Anthropic compute cost per revenue dollar, Q1-2026</t>
  </si>
  <si>
    <t xml:space="preserve">L-152 · estimated · T4 · Q1-2026 · T4 relay; display and cross-check only, never a driver</t>
  </si>
  <si>
    <t xml:space="preserve">ratio</t>
  </si>
  <si>
    <t xml:space="preserve">T4 relay; display and cross-check only, never a driver</t>
  </si>
  <si>
    <t xml:space="preserve">L-152</t>
  </si>
  <si>
    <t xml:space="preserve">03, 11</t>
  </si>
  <si>
    <t xml:space="preserve">A19b</t>
  </si>
  <si>
    <t xml:space="preserve">Anthropic compute cost per revenue dollar, Q2-2026 (projected)</t>
  </si>
  <si>
    <t xml:space="preserve">L-152 · estimated · T4 · Q2-2026 · T4 relay; display and cross-check only, never a driver</t>
  </si>
  <si>
    <t xml:space="preserve">A20</t>
  </si>
  <si>
    <t xml:space="preserve">Google Cloud commitment, REPORTED value over five years [VERIFY]</t>
  </si>
  <si>
    <t xml:space="preserve">L-155 · estimated · T3 [VERIFY] · 2026-05-05 · The Information via Reuters; page not opened; filings silent (L-153, L-154, L-156); never in documented-$</t>
  </si>
  <si>
    <t xml:space="preserve">The Information via Reuters; page not opened; filings silent (L-153, L-154, L-156); never in documented-$</t>
  </si>
  <si>
    <t xml:space="preserve">T3 [VERIFY]</t>
  </si>
  <si>
    <t xml:space="preserve">L-155</t>
  </si>
  <si>
    <t xml:space="preserve">09 (SW_GOOGLE_VALUE branch only)</t>
  </si>
  <si>
    <t xml:space="preserve">A20_yrs</t>
  </si>
  <si>
    <t xml:space="preserve">Google Cloud reported commitment, term</t>
  </si>
  <si>
    <t xml:space="preserve">L-155 · estimated · T3 [VERIFY] · 2026-05-05 · 'over five years'</t>
  </si>
  <si>
    <t xml:space="preserve">'over five years'</t>
  </si>
  <si>
    <t xml:space="preserve">A21a</t>
  </si>
  <si>
    <t xml:space="preserve">Alphabet 10-Q (Q2-2026): mentions of Anthropic</t>
  </si>
  <si>
    <t xml:space="preserve">L-153 · confirmed · T1 · 2026-06-30 · disclosure check (silence)</t>
  </si>
  <si>
    <t xml:space="preserve">count</t>
  </si>
  <si>
    <t xml:space="preserve">disclosure check (silence)</t>
  </si>
  <si>
    <t xml:space="preserve">L-153</t>
  </si>
  <si>
    <t xml:space="preserve">09, 13</t>
  </si>
  <si>
    <t xml:space="preserve">A21b</t>
  </si>
  <si>
    <t xml:space="preserve">Alphabet 10-Q: total purchase commitments and other contractual obligations</t>
  </si>
  <si>
    <t xml:space="preserve">L-153 · confirmed · T1 · 2026-06-30 · not itemized</t>
  </si>
  <si>
    <t xml:space="preserve">not itemized</t>
  </si>
  <si>
    <t xml:space="preserve">A21c</t>
  </si>
  <si>
    <t xml:space="preserve">Alphabet 10-Q: of which short-term</t>
  </si>
  <si>
    <t xml:space="preserve">A21d</t>
  </si>
  <si>
    <t xml:space="preserve">Google Cloud release (2026-04-06): dollar value / take-or-pay</t>
  </si>
  <si>
    <t xml:space="preserve">L-154 · confirmed · T1 · 2026-04-06 · disclosure check (silence)</t>
  </si>
  <si>
    <t xml:space="preserve">none stated ('multiple gigawatts'; no $; no take-or-pay)</t>
  </si>
  <si>
    <t xml:space="preserve">L-154</t>
  </si>
  <si>
    <t xml:space="preserve">A21e</t>
  </si>
  <si>
    <t xml:space="preserve">Broadcom 10-Q (Q2 FY2026): top-five end customers share of revenue</t>
  </si>
  <si>
    <t xml:space="preserve">L-156 · confirmed · T1 · 2026-05-03 · no customer commitment named</t>
  </si>
  <si>
    <t xml:space="preserve">2026-05-03</t>
  </si>
  <si>
    <t xml:space="preserve">no customer commitment named</t>
  </si>
  <si>
    <t xml:space="preserve">L-156</t>
  </si>
  <si>
    <t xml:space="preserve">A21f</t>
  </si>
  <si>
    <t xml:space="preserve">Microsoft 10-K FY2026: revenue-share percentage / 250,000 Azure figure</t>
  </si>
  <si>
    <t xml:space="preserve">L-157 · confirmed · T1 · 2026-06-30 · disclosure check (silence)</t>
  </si>
  <si>
    <t xml:space="preserve">no percentage; no 250,000 (full-text check)</t>
  </si>
  <si>
    <t xml:space="preserve">L-157</t>
  </si>
  <si>
    <t xml:space="preserve">ANT_R01</t>
  </si>
  <si>
    <t xml:space="preserve">Anthropic equity round: Series A</t>
  </si>
  <si>
    <t xml:space="preserve">L-018 · confirmed · T2 · 2021-05-28 · PitchBook deal record, Total Invested Equity</t>
  </si>
  <si>
    <t xml:space="preserve">2021-05-28</t>
  </si>
  <si>
    <t xml:space="preserve">PitchBook deal record, Total Invested Equity</t>
  </si>
  <si>
    <t xml:space="preserve">L-018</t>
  </si>
  <si>
    <t xml:space="preserve">ANT_R02</t>
  </si>
  <si>
    <t xml:space="preserve">Anthropic equity round: Series B</t>
  </si>
  <si>
    <t xml:space="preserve">L-018 · confirmed · T2 · 2022-04-29 · PitchBook deal record, Total Invested Equity</t>
  </si>
  <si>
    <t xml:space="preserve">2022-04-29</t>
  </si>
  <si>
    <t xml:space="preserve">ANT_R03</t>
  </si>
  <si>
    <t xml:space="preserve">Anthropic equity round: Series C</t>
  </si>
  <si>
    <t xml:space="preserve">L-018 · confirmed · T2 · 2023-06-30 · PitchBook deal record, Total Invested Equity</t>
  </si>
  <si>
    <t xml:space="preserve">2023-06-30</t>
  </si>
  <si>
    <t xml:space="preserve">ANT_R04</t>
  </si>
  <si>
    <t xml:space="preserve">Anthropic equity round: Alphabet convertible-to-equity</t>
  </si>
  <si>
    <t xml:space="preserve">L-018 · confirmed · T2 · 2023-10-27 · PitchBook deal record, Total Invested Equity</t>
  </si>
  <si>
    <t xml:space="preserve">2023-10-27</t>
  </si>
  <si>
    <t xml:space="preserve">ANT_R05</t>
  </si>
  <si>
    <t xml:space="preserve">Anthropic equity round: Series D</t>
  </si>
  <si>
    <t xml:space="preserve">L-018 · confirmed · T2 · 2024-07-01 · PitchBook deal record, Total Invested Equity</t>
  </si>
  <si>
    <t xml:space="preserve">2024-07-01</t>
  </si>
  <si>
    <t xml:space="preserve">ANT_R06</t>
  </si>
  <si>
    <t xml:space="preserve">Anthropic equity round: Amazon round (incl. 1,300 convertible)</t>
  </si>
  <si>
    <t xml:space="preserve">L-018 · confirmed · T2 · 2024-11-22 · PitchBook deal record, Total Invested Equity</t>
  </si>
  <si>
    <t xml:space="preserve">2024-11-22</t>
  </si>
  <si>
    <t xml:space="preserve">ANT_R07</t>
  </si>
  <si>
    <t xml:space="preserve">Anthropic equity round: Series E</t>
  </si>
  <si>
    <t xml:space="preserve">L-018 · confirmed · T2 · 2025-03-03 · PitchBook deal record, Total Invested Equity</t>
  </si>
  <si>
    <t xml:space="preserve">2025-03-03</t>
  </si>
  <si>
    <t xml:space="preserve">ANT_R08</t>
  </si>
  <si>
    <t xml:space="preserve">Anthropic equity round: Series F (incl. 750 convertible)</t>
  </si>
  <si>
    <t xml:space="preserve">L-017 · confirmed · T2 · 2025-09-02 · PitchBook deal record, Total Invested Equity</t>
  </si>
  <si>
    <t xml:space="preserve">2025-09-02</t>
  </si>
  <si>
    <t xml:space="preserve">L-017</t>
  </si>
  <si>
    <t xml:space="preserve">ANT_R09</t>
  </si>
  <si>
    <t xml:space="preserve">Anthropic equity round: Series G</t>
  </si>
  <si>
    <t xml:space="preserve">L-016 · confirmed · T2 · 2026-02-12 · PitchBook deal record, Total Invested Equity</t>
  </si>
  <si>
    <t xml:space="preserve">2026-02-12</t>
  </si>
  <si>
    <t xml:space="preserve">L-016</t>
  </si>
  <si>
    <t xml:space="preserve">ANT_R10</t>
  </si>
  <si>
    <t xml:space="preserve">Anthropic equity round: Series H</t>
  </si>
  <si>
    <t xml:space="preserve">L-015 · confirmed · T2 · 2026-05-28 · PitchBook deal record, Total Invested Equity</t>
  </si>
  <si>
    <t xml:space="preserve">L-015</t>
  </si>
  <si>
    <t xml:space="preserve">PB_TOTAL_A</t>
  </si>
  <si>
    <t xml:space="preserve">Anthropic PB Total Raised (net capital injected)</t>
  </si>
  <si>
    <t xml:space="preserve">L-006 · confirmed · T2 · 2026-09-08 · PB profile; equity + revolver; SPV removed (C-01)</t>
  </si>
  <si>
    <t xml:space="preserve">2026-09-08</t>
  </si>
  <si>
    <t xml:space="preserve">PB profile; equity + revolver; SPV removed (C-01)</t>
  </si>
  <si>
    <t xml:space="preserve">L-006</t>
  </si>
  <si>
    <t xml:space="preserve">05 (identity check)</t>
  </si>
  <si>
    <t xml:space="preserve">OPENAI: REVENUE, LOSSES, PLANS, PEOPLE, DEBT, MICROSOFT</t>
  </si>
  <si>
    <t xml:space="preserve">O01</t>
  </si>
  <si>
    <t xml:space="preserve">OpenAI FY2025 revenue</t>
  </si>
  <si>
    <t xml:space="preserve">L-063 · confirmed · T2 · FY2025 · NET presumed; FT-verified 13,070</t>
  </si>
  <si>
    <t xml:space="preserve">NET presumed; FT-verified 13,070</t>
  </si>
  <si>
    <t xml:space="preserve">L-063</t>
  </si>
  <si>
    <t xml:space="preserve">O02_oploss</t>
  </si>
  <si>
    <t xml:space="preserve">OpenAI FY2025 operating loss (magnitude)</t>
  </si>
  <si>
    <t xml:space="preserve">L-025/L-026 notes · recalled · T3 · FY2025 · FT-verified leak</t>
  </si>
  <si>
    <t xml:space="preserve">FT-verified leak</t>
  </si>
  <si>
    <t xml:space="preserve">L-025/L-026 notes</t>
  </si>
  <si>
    <t xml:space="preserve">O02_group</t>
  </si>
  <si>
    <t xml:space="preserve">OpenAI FY2025 group loss incl. fair-value swing (magnitude)</t>
  </si>
  <si>
    <t xml:space="preserve">O02_fv</t>
  </si>
  <si>
    <t xml:space="preserve">OpenAI FY2025 fair-value swing inside the group loss</t>
  </si>
  <si>
    <t xml:space="preserve">O03</t>
  </si>
  <si>
    <t xml:space="preserve">OpenAI end-2025 run-rate ('&gt;20,000')</t>
  </si>
  <si>
    <t xml:space="preserve">L-065 · confirmed · T2 · 2025-12 · Bloomberg relay; basis unstated</t>
  </si>
  <si>
    <t xml:space="preserve">Bloomberg relay; basis unstated</t>
  </si>
  <si>
    <t xml:space="preserve">O03b</t>
  </si>
  <si>
    <t xml:space="preserve">OpenAI monthly revenue at the March-2026 round</t>
  </si>
  <si>
    <t xml:space="preserve">L-063 · confirmed · T2 · 2026-03 · WSJ; ~2,000 per month</t>
  </si>
  <si>
    <t xml:space="preserve">$M/month</t>
  </si>
  <si>
    <t xml:space="preserve">WSJ; ~2,000 per month</t>
  </si>
  <si>
    <t xml:space="preserve">O03c</t>
  </si>
  <si>
    <t xml:space="preserve">OpenAI run-rate growth quarter-to-date (CFO, Aug-19)</t>
  </si>
  <si>
    <t xml:space="preserve">L-069 · confirmed · T2 · 2026-08-19 · all-hands relay (colour)</t>
  </si>
  <si>
    <t xml:space="preserve">+35% QTD; enterprise +50%</t>
  </si>
  <si>
    <t xml:space="preserve">2026-08-19</t>
  </si>
  <si>
    <t xml:space="preserve">all-hands relay (colour)</t>
  </si>
  <si>
    <t xml:space="preserve">L-069</t>
  </si>
  <si>
    <t xml:space="preserve">O04_2023</t>
  </si>
  <si>
    <t xml:space="preserve">OpenAI PB revenue series, 2023</t>
  </si>
  <si>
    <t xml:space="preserve">L-025, L-024 · estimated · T2 · pulled 2026-09-09 · PB series (basis unstated)</t>
  </si>
  <si>
    <t xml:space="preserve">PB series (basis unstated)</t>
  </si>
  <si>
    <t xml:space="preserve">L-025, L-024</t>
  </si>
  <si>
    <t xml:space="preserve">O04_2024</t>
  </si>
  <si>
    <t xml:space="preserve">OpenAI PB revenue series, 2024</t>
  </si>
  <si>
    <t xml:space="preserve">O04_2025</t>
  </si>
  <si>
    <t xml:space="preserve">OpenAI PB revenue series, 2025</t>
  </si>
  <si>
    <t xml:space="preserve">L-025, L-024 · estimated · T2 · pulled 2026-09-09 · run-rate vintage, not recognized (C-06)</t>
  </si>
  <si>
    <t xml:space="preserve">run-rate vintage, not recognized (C-06)</t>
  </si>
  <si>
    <t xml:space="preserve">O04_2026</t>
  </si>
  <si>
    <t xml:space="preserve">OpenAI PB revenue series, 2026</t>
  </si>
  <si>
    <t xml:space="preserve">L-025, L-024 · estimated · T2 · pulled 2026-09-09 · PB FORWARD PROJECTION (Ruling 4)</t>
  </si>
  <si>
    <t xml:space="preserve">PB FORWARD PROJECTION (Ruling 4)</t>
  </si>
  <si>
    <t xml:space="preserve">O04_NI2024</t>
  </si>
  <si>
    <t xml:space="preserve">OpenAI FY2024 net income (PB deal record)</t>
  </si>
  <si>
    <t xml:space="preserve">L-026 · estimated · T4 · FY2024 · PB deal-record financials (T4)</t>
  </si>
  <si>
    <t xml:space="preserve">PB deal-record financials (T4)</t>
  </si>
  <si>
    <t xml:space="preserve">L-026</t>
  </si>
  <si>
    <t xml:space="preserve">O04_NI2026</t>
  </si>
  <si>
    <t xml:space="preserve">OpenAI FY2026 net income projection (PB deal record)</t>
  </si>
  <si>
    <t xml:space="preserve">L-026 · estimated · T4 · FY2026E · PB projection (T4)</t>
  </si>
  <si>
    <t xml:space="preserve">FY2026E</t>
  </si>
  <si>
    <t xml:space="preserve">PB projection (T4)</t>
  </si>
  <si>
    <t xml:space="preserve">O05_b26feb</t>
  </si>
  <si>
    <t xml:space="preserve">OpenAI burn plan 2026 (Feb vintage)</t>
  </si>
  <si>
    <t xml:space="preserve">L-082 · estimated · T3 · 2026-02-21 · The Information relay; cash basis</t>
  </si>
  <si>
    <t xml:space="preserve">The Information relay; cash basis</t>
  </si>
  <si>
    <t xml:space="preserve">05, 07</t>
  </si>
  <si>
    <t xml:space="preserve">O05_b26apr</t>
  </si>
  <si>
    <t xml:space="preserve">OpenAI burn plan 2026 (post-April vintage)</t>
  </si>
  <si>
    <t xml:space="preserve">L-082 · estimated · T3 · 2026 · The Information relay; cash basis</t>
  </si>
  <si>
    <t xml:space="preserve">2026</t>
  </si>
  <si>
    <t xml:space="preserve">O05_b27feb</t>
  </si>
  <si>
    <t xml:space="preserve">OpenAI burn plan 2027 (Feb vintage)</t>
  </si>
  <si>
    <t xml:space="preserve">O05_b27apr</t>
  </si>
  <si>
    <t xml:space="preserve">OpenAI burn plan 2027 (post-April vintage)</t>
  </si>
  <si>
    <t xml:space="preserve">O05_cf2030</t>
  </si>
  <si>
    <t xml:space="preserve">OpenAI 2030 positive cash flow (Feb vintage plan)</t>
  </si>
  <si>
    <t xml:space="preserve">O05_cash25</t>
  </si>
  <si>
    <t xml:space="preserve">OpenAI cash at end-2025 (~)</t>
  </si>
  <si>
    <t xml:space="preserve">L-082 · estimated · T3 · 2025-12 · The Information relay; cash basis</t>
  </si>
  <si>
    <t xml:space="preserve">O05_q1burn</t>
  </si>
  <si>
    <t xml:space="preserve">OpenAI Q1-2026 cash burn</t>
  </si>
  <si>
    <t xml:space="preserve">L-142 · estimated · T3 · Q1-2026 · The Information headline</t>
  </si>
  <si>
    <t xml:space="preserve">The Information headline</t>
  </si>
  <si>
    <t xml:space="preserve">L-142</t>
  </si>
  <si>
    <t xml:space="preserve">O06_2026</t>
  </si>
  <si>
    <t xml:space="preserve">OpenAI training budget 2026E</t>
  </si>
  <si>
    <t xml:space="preserve">L-125 · recalled · T4 · undated · annual training budget (C-11)</t>
  </si>
  <si>
    <t xml:space="preserve">undated</t>
  </si>
  <si>
    <t xml:space="preserve">annual training budget (C-11)</t>
  </si>
  <si>
    <t xml:space="preserve">00, 03, 04</t>
  </si>
  <si>
    <t xml:space="preserve">O06_2027</t>
  </si>
  <si>
    <t xml:space="preserve">OpenAI training budget 2027E</t>
  </si>
  <si>
    <t xml:space="preserve">O06_2028</t>
  </si>
  <si>
    <t xml:space="preserve">OpenAI training budget 2028E</t>
  </si>
  <si>
    <t xml:space="preserve">O06_2029</t>
  </si>
  <si>
    <t xml:space="preserve">OpenAI training budget 2029E</t>
  </si>
  <si>
    <t xml:space="preserve">O07_inf2025</t>
  </si>
  <si>
    <t xml:space="preserve">OpenAI inference cost 2025</t>
  </si>
  <si>
    <t xml:space="preserve">L-083 · estimated · T3 · 2025 · Sacra</t>
  </si>
  <si>
    <t xml:space="preserve">2025</t>
  </si>
  <si>
    <t xml:space="preserve">Sacra</t>
  </si>
  <si>
    <t xml:space="preserve">L-083</t>
  </si>
  <si>
    <t xml:space="preserve">03, 04, 11</t>
  </si>
  <si>
    <t xml:space="preserve">O07_inf2026</t>
  </si>
  <si>
    <t xml:space="preserve">OpenAI inference cost 2026E</t>
  </si>
  <si>
    <t xml:space="preserve">L-083 · estimated · T3 · 2026E · Sacra projection</t>
  </si>
  <si>
    <t xml:space="preserve">2026E</t>
  </si>
  <si>
    <t xml:space="preserve">Sacra projection</t>
  </si>
  <si>
    <t xml:space="preserve">O07_gm2025</t>
  </si>
  <si>
    <t xml:space="preserve">OpenAI gross margin 2025</t>
  </si>
  <si>
    <t xml:space="preserve">O07_gmplan</t>
  </si>
  <si>
    <t xml:space="preserve">OpenAI gross margin plan (missed)</t>
  </si>
  <si>
    <t xml:space="preserve">L-083 notes · estimated · T4 · 2025 plan · Sacra / register</t>
  </si>
  <si>
    <t xml:space="preserve">2025 plan</t>
  </si>
  <si>
    <t xml:space="preserve">Sacra / register</t>
  </si>
  <si>
    <t xml:space="preserve">L-083 notes</t>
  </si>
  <si>
    <t xml:space="preserve">13</t>
  </si>
  <si>
    <t xml:space="preserve">O08</t>
  </si>
  <si>
    <t xml:space="preserve">OpenAI headcount (PB)</t>
  </si>
  <si>
    <t xml:space="preserve">L-027 · confirmed · T2 · 2026-03-21 · PB profile</t>
  </si>
  <si>
    <t xml:space="preserve">2026-03-21</t>
  </si>
  <si>
    <t xml:space="preserve">PB profile</t>
  </si>
  <si>
    <t xml:space="preserve">L-027</t>
  </si>
  <si>
    <t xml:space="preserve">O08_plan</t>
  </si>
  <si>
    <t xml:space="preserve">OpenAI headcount plan, end-2026</t>
  </si>
  <si>
    <t xml:space="preserve">L-090 · estimated · T3 · 2026-03-22 · Semafor</t>
  </si>
  <si>
    <t xml:space="preserve">2026-03-22</t>
  </si>
  <si>
    <t xml:space="preserve">Semafor</t>
  </si>
  <si>
    <t xml:space="preserve">L-090</t>
  </si>
  <si>
    <t xml:space="preserve">O09_pp</t>
  </si>
  <si>
    <t xml:space="preserve">OpenAI retention bonus per person (~)</t>
  </si>
  <si>
    <t xml:space="preserve">L-093, L-166 · estimated / could-not-verify · T3 · 2025-08 · The Information relay; verbatim not reachable (403)</t>
  </si>
  <si>
    <t xml:space="preserve">2025-08</t>
  </si>
  <si>
    <t xml:space="preserve">The Information relay; verbatim not reachable (403)</t>
  </si>
  <si>
    <t xml:space="preserve">estimated / could-not-verify</t>
  </si>
  <si>
    <t xml:space="preserve">L-093, L-166</t>
  </si>
  <si>
    <t xml:space="preserve">O09_n</t>
  </si>
  <si>
    <t xml:space="preserve">OpenAI retention bonus recipients (~)</t>
  </si>
  <si>
    <t xml:space="preserve">L-093, L-166 · estimated / could-not-verify · T3 · 2025-08 · The Information relay</t>
  </si>
  <si>
    <t xml:space="preserve">The Information relay</t>
  </si>
  <si>
    <t xml:space="preserve">O09_yrs</t>
  </si>
  <si>
    <t xml:space="preserve">OpenAI retention bonus payout period</t>
  </si>
  <si>
    <t xml:space="preserve">L-093, L-166 · estimated / could-not-verify · T3 · 2025-08 · paid quarterly over two years</t>
  </si>
  <si>
    <t xml:space="preserve">paid quarterly over two years</t>
  </si>
  <si>
    <t xml:space="preserve">O09_eng</t>
  </si>
  <si>
    <t xml:space="preserve">OpenAI retention structure (engineers 0.2-0.6; key researchers 'mid-single-digit millions')</t>
  </si>
  <si>
    <t xml:space="preserve">L-166 · could-not-verify · T3 · 2025-08-07 · search-level relays</t>
  </si>
  <si>
    <t xml:space="preserve">engineers 0.2-0.6; researchers mid-single-digit millions</t>
  </si>
  <si>
    <t xml:space="preserve">2025-08-07</t>
  </si>
  <si>
    <t xml:space="preserve">search-level relays</t>
  </si>
  <si>
    <t xml:space="preserve">L-166</t>
  </si>
  <si>
    <t xml:space="preserve">O10_a</t>
  </si>
  <si>
    <t xml:space="preserve">OpenAI revolver (Oct-2024)</t>
  </si>
  <si>
    <t xml:space="preserve">L-023 · confirmed · T2 · 2024-10-03 · unsecured revolver</t>
  </si>
  <si>
    <t xml:space="preserve">2024-10-03</t>
  </si>
  <si>
    <t xml:space="preserve">unsecured revolver</t>
  </si>
  <si>
    <t xml:space="preserve">L-023</t>
  </si>
  <si>
    <t xml:space="preserve">O10_b</t>
  </si>
  <si>
    <t xml:space="preserve">OpenAI revolver inside the Mar-2026 round</t>
  </si>
  <si>
    <t xml:space="preserve">L-023 · confirmed · T2 · 2026-03-31 · debt</t>
  </si>
  <si>
    <t xml:space="preserve">debt</t>
  </si>
  <si>
    <t xml:space="preserve">O10_c</t>
  </si>
  <si>
    <t xml:space="preserve">OpenAI term loan (Jul-2026)</t>
  </si>
  <si>
    <t xml:space="preserve">L-023 · confirmed · T2 · 2026-07-08 · term loan</t>
  </si>
  <si>
    <t xml:space="preserve">2026-07-08</t>
  </si>
  <si>
    <t xml:space="preserve">term loan</t>
  </si>
  <si>
    <t xml:space="preserve">O10</t>
  </si>
  <si>
    <t xml:space="preserve">OpenAI debt stack (sum)</t>
  </si>
  <si>
    <t xml:space="preserve">L-023 · confirmed · T2 · 2026-07-08 · derived: 4,000 + 700 + 520</t>
  </si>
  <si>
    <t xml:space="preserve">derived: 4,000 + 700 + 520</t>
  </si>
  <si>
    <t xml:space="preserve">PB_TOTAL_O</t>
  </si>
  <si>
    <t xml:space="preserve">OpenAI PB Total Raised</t>
  </si>
  <si>
    <t xml:space="preserve">L-021 · confirmed · T2 · 2026-09-08 · PB profile</t>
  </si>
  <si>
    <t xml:space="preserve">L-021</t>
  </si>
  <si>
    <t xml:space="preserve">O11_cap</t>
  </si>
  <si>
    <t xml:space="preserve">Microsoft revenue-share cap (cumulative through 2030)</t>
  </si>
  <si>
    <t xml:space="preserve">L-052 · estimated · T3 · 2026-05-11 · single-outlet (The Information via Reuters)</t>
  </si>
  <si>
    <t xml:space="preserve">2026-05-11</t>
  </si>
  <si>
    <t xml:space="preserve">single-outlet (The Information via Reuters)</t>
  </si>
  <si>
    <t xml:space="preserve">L-052</t>
  </si>
  <si>
    <t xml:space="preserve">O11_stake</t>
  </si>
  <si>
    <t xml:space="preserve">Microsoft stake in OpenAI at the Oct-2025 recap (~27%)</t>
  </si>
  <si>
    <t xml:space="preserve">L-159 · confirmed · T2 · 2025-10-28 · TechCrunch verbatim; post-dilution decreased, undisclosed (C-19)</t>
  </si>
  <si>
    <t xml:space="preserve">2025-10-28</t>
  </si>
  <si>
    <t xml:space="preserve">TechCrunch verbatim; post-dilution decreased, undisclosed (C-19)</t>
  </si>
  <si>
    <t xml:space="preserve">L-159</t>
  </si>
  <si>
    <t xml:space="preserve">O11_stake_val</t>
  </si>
  <si>
    <t xml:space="preserve">Microsoft stake value at the recap (~)</t>
  </si>
  <si>
    <t xml:space="preserve">L-159 · confirmed · T2 · 2025-10-28 · TechCrunch verbatim</t>
  </si>
  <si>
    <t xml:space="preserve">TechCrunch verbatim</t>
  </si>
  <si>
    <t xml:space="preserve">O11_found</t>
  </si>
  <si>
    <t xml:space="preserve">OpenAI Foundation stake at the recap</t>
  </si>
  <si>
    <t xml:space="preserve">O11_inv</t>
  </si>
  <si>
    <t xml:space="preserve">Investors and employees at the recap</t>
  </si>
  <si>
    <t xml:space="preserve">O11_RPO</t>
  </si>
  <si>
    <t xml:space="preserve">Microsoft commercial RPO</t>
  </si>
  <si>
    <t xml:space="preserve">L-055 · confirmed · T1 · 2026-06-30 · Q4 FY26 call</t>
  </si>
  <si>
    <t xml:space="preserve">Q4 FY26 call</t>
  </si>
  <si>
    <t xml:space="preserve">L-055</t>
  </si>
  <si>
    <t xml:space="preserve">O11_RPO_ex</t>
  </si>
  <si>
    <t xml:space="preserve">Microsoft RPO growth excluding OpenAI</t>
  </si>
  <si>
    <t xml:space="preserve">O11_pct</t>
  </si>
  <si>
    <t xml:space="preserve">Microsoft revenue-share percentage</t>
  </si>
  <si>
    <t xml:space="preserve">L-051, L-157, L-158 · confirmed / could-not-verify · T1 / T2 · 2026-04-27 / 2026-06-30 / 2026-08-13 · official post, 10-K, Bloomberg</t>
  </si>
  <si>
    <t xml:space="preserve">not in the 10-K; Bloomberg full text states no basis for the &gt;40,000 (T4 20% never printed as a fact)</t>
  </si>
  <si>
    <t xml:space="preserve">2026-04-27 / 2026-06-30 / 2026-08-13</t>
  </si>
  <si>
    <t xml:space="preserve">official post, 10-K, Bloomberg</t>
  </si>
  <si>
    <t xml:space="preserve">confirmed / could-not-verify</t>
  </si>
  <si>
    <t xml:space="preserve">T1 / T2</t>
  </si>
  <si>
    <t xml:space="preserve">L-051, L-157, L-158</t>
  </si>
  <si>
    <t xml:space="preserve">O13_commit</t>
  </si>
  <si>
    <t xml:space="preserve">Microsoft total funding commitments to OpenAI</t>
  </si>
  <si>
    <t xml:space="preserve">L-157 · confirmed · T1 · 2026-06-30 · 10-K equity-method note</t>
  </si>
  <si>
    <t xml:space="preserve">10-K equity-method note</t>
  </si>
  <si>
    <t xml:space="preserve">05 (note), 09, 10</t>
  </si>
  <si>
    <t xml:space="preserve">O13_funded</t>
  </si>
  <si>
    <t xml:space="preserve">Microsoft funding commitments funded at 2026-06-30</t>
  </si>
  <si>
    <t xml:space="preserve">L-157 · confirmed · T1 · 2026-06-30 · 10-K equity-method note (= PB 1,000 + 2,000 + 10,000 less 1,100 unfunded)</t>
  </si>
  <si>
    <t xml:space="preserve">10-K equity-method note (= PB 1,000 + 2,000 + 10,000 less 1,100 unfunded)</t>
  </si>
  <si>
    <t xml:space="preserve">O12_users</t>
  </si>
  <si>
    <t xml:space="preserve">OpenAI active users</t>
  </si>
  <si>
    <t xml:space="preserve">L-080 · confirmed · T2 · 2026-07-31 · company statement (AFP)</t>
  </si>
  <si>
    <t xml:space="preserve">more than 1 billion active users</t>
  </si>
  <si>
    <t xml:space="preserve">company statement (AFP)</t>
  </si>
  <si>
    <t xml:space="preserve">L-080</t>
  </si>
  <si>
    <t xml:space="preserve">03 (context)</t>
  </si>
  <si>
    <t xml:space="preserve">O12_biz</t>
  </si>
  <si>
    <t xml:space="preserve">OpenAI business customers</t>
  </si>
  <si>
    <t xml:space="preserve">L-080 · confirmed · T2 · 2026-07-31 · company statement</t>
  </si>
  <si>
    <t xml:space="preserve">more than 2 million businesses</t>
  </si>
  <si>
    <t xml:space="preserve">O12_ads</t>
  </si>
  <si>
    <t xml:space="preserve">OpenAI advertising run-rate</t>
  </si>
  <si>
    <t xml:space="preserve">L-081 · confirmed · T2 · 2026-08-31 · Digiday</t>
  </si>
  <si>
    <t xml:space="preserve">2026-08-31</t>
  </si>
  <si>
    <t xml:space="preserve">Digiday</t>
  </si>
  <si>
    <t xml:space="preserve">L-081</t>
  </si>
  <si>
    <t xml:space="preserve">OAI_R01</t>
  </si>
  <si>
    <t xml:space="preserve">OpenAI equity round: Microsoft (Jul-2019)</t>
  </si>
  <si>
    <t xml:space="preserve">L-022 · estimated · T2 · 2019-07 · PitchBook deal records (sum of equity rounds)</t>
  </si>
  <si>
    <t xml:space="preserve">2019-07</t>
  </si>
  <si>
    <t xml:space="preserve">PitchBook deal records (sum of equity rounds)</t>
  </si>
  <si>
    <t xml:space="preserve">OAI_R02</t>
  </si>
  <si>
    <t xml:space="preserve">OpenAI equity round: Series A</t>
  </si>
  <si>
    <t xml:space="preserve">L-022 · estimated · T2 · n/a · PitchBook deal records (sum of equity rounds)</t>
  </si>
  <si>
    <t xml:space="preserve">OAI_R03</t>
  </si>
  <si>
    <t xml:space="preserve">OpenAI equity round: Jul-2021 round</t>
  </si>
  <si>
    <t xml:space="preserve">L-022 · estimated · T2 · 2021-07 · PitchBook deal records (sum of equity rounds)</t>
  </si>
  <si>
    <t xml:space="preserve">2021-07</t>
  </si>
  <si>
    <t xml:space="preserve">OAI_R04</t>
  </si>
  <si>
    <t xml:space="preserve">OpenAI equity round: Microsoft (Jan-2023; paid over multiple years)</t>
  </si>
  <si>
    <t xml:space="preserve">L-022 · estimated · T2 · 2023-01 · PitchBook deal records (sum of equity rounds)</t>
  </si>
  <si>
    <t xml:space="preserve">2023-01</t>
  </si>
  <si>
    <t xml:space="preserve">OAI_R05</t>
  </si>
  <si>
    <t xml:space="preserve">OpenAI equity round: Apr-2023 round</t>
  </si>
  <si>
    <t xml:space="preserve">L-022 · estimated · T2 · 2023-04 · PitchBook deal records (sum of equity rounds)</t>
  </si>
  <si>
    <t xml:space="preserve">2023-04</t>
  </si>
  <si>
    <t xml:space="preserve">OAI_R06</t>
  </si>
  <si>
    <t xml:space="preserve">OpenAI equity round: Series B (Oct-2024)</t>
  </si>
  <si>
    <t xml:space="preserve">L-022 · estimated · T2 · 2024-10-02 · PitchBook deal records (sum of equity rounds)</t>
  </si>
  <si>
    <t xml:space="preserve">2024-10-02</t>
  </si>
  <si>
    <t xml:space="preserve">OAI_R07</t>
  </si>
  <si>
    <t xml:space="preserve">OpenAI equity round: Series F (Mar-2025)</t>
  </si>
  <si>
    <t xml:space="preserve">L-022 · estimated · T2 · 2025-03-31 · PitchBook deal records (sum of equity rounds)</t>
  </si>
  <si>
    <t xml:space="preserve">2025-03-31</t>
  </si>
  <si>
    <t xml:space="preserve">OAI_R08</t>
  </si>
  <si>
    <t xml:space="preserve">OpenAI equity round: Jan-2025 round</t>
  </si>
  <si>
    <t xml:space="preserve">L-022 · estimated · T2 · 2025-01 · PitchBook deal records (sum of equity rounds)</t>
  </si>
  <si>
    <t xml:space="preserve">2025-01</t>
  </si>
  <si>
    <t xml:space="preserve">OAI_R09</t>
  </si>
  <si>
    <t xml:space="preserve">OpenAI equity round: Mar-2026 round, equity portion</t>
  </si>
  <si>
    <t xml:space="preserve">L-022 · estimated · T2 · 2026-03-31 · PitchBook deal records (sum of equity rounds)</t>
  </si>
  <si>
    <t xml:space="preserve">CONTRACT ANCHORS (C01-C22): totals, terms, GW; the 09_Obligations schedule links these cells</t>
  </si>
  <si>
    <t xml:space="preserve">C01_tot</t>
  </si>
  <si>
    <t xml:space="preserve">A-AWS: commitment to AWS over ten years ('&gt;100,000')</t>
  </si>
  <si>
    <t xml:space="preserve">L-072 · confirmed · T1 · 2026-04-20 · company statement; take-or-pay not disclosed</t>
  </si>
  <si>
    <t xml:space="preserve">company statement; take-or-pay not disclosed</t>
  </si>
  <si>
    <t xml:space="preserve">C01_term</t>
  </si>
  <si>
    <t xml:space="preserve">A-AWS: term</t>
  </si>
  <si>
    <t xml:space="preserve">L-072 · confirmed · T1 · 2026-04-20 · 'over the next ten years'</t>
  </si>
  <si>
    <t xml:space="preserve">'over the next ten years'</t>
  </si>
  <si>
    <t xml:space="preserve">C01_GW</t>
  </si>
  <si>
    <t xml:space="preserve">A-AWS: capacity ('up to 5 GW')</t>
  </si>
  <si>
    <t xml:space="preserve">L-072 · confirmed · T1 · 2026-04-20 · company statement</t>
  </si>
  <si>
    <t xml:space="preserve">C02_tot</t>
  </si>
  <si>
    <t xml:space="preserve">A-Azure: purchase commitment</t>
  </si>
  <si>
    <t xml:space="preserve">L-074 · confirmed · T1 · 2025-11-18 · company statement; term not stated (AJ 5 yrs)</t>
  </si>
  <si>
    <t xml:space="preserve">2025-11-18</t>
  </si>
  <si>
    <t xml:space="preserve">company statement; term not stated (AJ 5 yrs)</t>
  </si>
  <si>
    <t xml:space="preserve">L-074</t>
  </si>
  <si>
    <t xml:space="preserve">C02_GW</t>
  </si>
  <si>
    <t xml:space="preserve">A-Azure: capacity ('up to 1 GW')</t>
  </si>
  <si>
    <t xml:space="preserve">L-074 · confirmed · T1 · 2025-11-18 · company statement</t>
  </si>
  <si>
    <t xml:space="preserve">C03_monthly</t>
  </si>
  <si>
    <t xml:space="preserve">A-SpaceX: monthly fee</t>
  </si>
  <si>
    <t xml:space="preserve">L-046 · confirmed · T1 · 2026-05-03 · SpaceX S-1; through May-2029; reduced fee May-Jun 2026</t>
  </si>
  <si>
    <t xml:space="preserve">SpaceX S-1; through May-2029; reduced fee May-Jun 2026</t>
  </si>
  <si>
    <t xml:space="preserve">L-046</t>
  </si>
  <si>
    <t xml:space="preserve">C03_end</t>
  </si>
  <si>
    <t xml:space="preserve">A-SpaceX: last month of the fee</t>
  </si>
  <si>
    <t xml:space="preserve">L-046 · confirmed · T1 · 2026-05-03 · 'through May 2029'</t>
  </si>
  <si>
    <t xml:space="preserve">'through May 2029'</t>
  </si>
  <si>
    <t xml:space="preserve">C03_notice_m</t>
  </si>
  <si>
    <t xml:space="preserve">A-SpaceX: termination notice (90 days = 3 months)</t>
  </si>
  <si>
    <t xml:space="preserve">L-046 · confirmed · T1 · 2026-05-03 · either party, 90 days' notice</t>
  </si>
  <si>
    <t xml:space="preserve">months</t>
  </si>
  <si>
    <t xml:space="preserve">either party, 90 days' notice</t>
  </si>
  <si>
    <t xml:space="preserve">C04_tot</t>
  </si>
  <si>
    <t xml:space="preserve">A-Fluidstack: $50B US datacenter build (spend commitment, not a customer contract)</t>
  </si>
  <si>
    <t xml:space="preserve">L-076, L-168 · confirmed · T1 · 2025-11-12 · phasing 'throughout 2026' only; no $ or GW schedule</t>
  </si>
  <si>
    <t xml:space="preserve">2025-11-12</t>
  </si>
  <si>
    <t xml:space="preserve">phasing 'throughout 2026' only; no $ or GW schedule</t>
  </si>
  <si>
    <t xml:space="preserve">L-076, L-168</t>
  </si>
  <si>
    <t xml:space="preserve">C04_phasing</t>
  </si>
  <si>
    <t xml:space="preserve">A-Fluidstack: phasing</t>
  </si>
  <si>
    <t xml:space="preserve">L-168 · confirmed · T1 · 2025-11-12 · partner statement</t>
  </si>
  <si>
    <t xml:space="preserve">HOLE: 'throughout 2026' only (L-168); excluded from the annual priced run</t>
  </si>
  <si>
    <t xml:space="preserve">partner statement</t>
  </si>
  <si>
    <t xml:space="preserve">L-168</t>
  </si>
  <si>
    <t xml:space="preserve">C05_tot</t>
  </si>
  <si>
    <t xml:space="preserve">A-Nscale: compute deal</t>
  </si>
  <si>
    <t xml:space="preserve">L-135 · confirmed · T2 · 2026-08-26 · '~45,000 over six years'; capacity from late-2027</t>
  </si>
  <si>
    <t xml:space="preserve">2026-08-26</t>
  </si>
  <si>
    <t xml:space="preserve">'~45,000 over six years'; capacity from late-2027</t>
  </si>
  <si>
    <t xml:space="preserve">L-135</t>
  </si>
  <si>
    <t xml:space="preserve">C05_term</t>
  </si>
  <si>
    <t xml:space="preserve">A-Nscale: term</t>
  </si>
  <si>
    <t xml:space="preserve">L-135 · confirmed · T2 · 2026-08-26 · six years</t>
  </si>
  <si>
    <t xml:space="preserve">six years</t>
  </si>
  <si>
    <t xml:space="preserve">C05_MW</t>
  </si>
  <si>
    <t xml:space="preserve">A-Nscale: capacity (T3/T4 relay)</t>
  </si>
  <si>
    <t xml:space="preserve">L-135 · estimated · T3 · 2026-08-26 · Forbes/search summaries</t>
  </si>
  <si>
    <t xml:space="preserve">Forbes/search summaries</t>
  </si>
  <si>
    <t xml:space="preserve">C06_tot</t>
  </si>
  <si>
    <t xml:space="preserve">A-Lambda: compute deal</t>
  </si>
  <si>
    <t xml:space="preserve">L-137 · confirmed · T2 · 2026-08-31 · term not stated (AJ 6 yrs, flagged)</t>
  </si>
  <si>
    <t xml:space="preserve">term not stated (AJ 6 yrs, flagged)</t>
  </si>
  <si>
    <t xml:space="preserve">L-137</t>
  </si>
  <si>
    <t xml:space="preserve">C06_MW</t>
  </si>
  <si>
    <t xml:space="preserve">A-Lambda: capacity (T4 relay)</t>
  </si>
  <si>
    <t xml:space="preserve">L-137 · estimated · T4 · 2026-08-31 · relay</t>
  </si>
  <si>
    <t xml:space="preserve">relay</t>
  </si>
  <si>
    <t xml:space="preserve">C06_LL_term</t>
  </si>
  <si>
    <t xml:space="preserve">Beacon Point landlord lease term (Hut 8; tenant Nvidia)</t>
  </si>
  <si>
    <t xml:space="preserve">L-167 · confirmed · T1 · 2026-07-20 · landlord-level lease, not the Anthropic-Lambda term</t>
  </si>
  <si>
    <t xml:space="preserve">landlord-level lease, not the Anthropic-Lambda term</t>
  </si>
  <si>
    <t xml:space="preserve">L-167</t>
  </si>
  <si>
    <t xml:space="preserve">C06_LL_MW</t>
  </si>
  <si>
    <t xml:space="preserve">Beacon Point tenant contracted capacity</t>
  </si>
  <si>
    <t xml:space="preserve">L-167 · confirmed · T1 · 2026-07-20 · Hut 8 release</t>
  </si>
  <si>
    <t xml:space="preserve">Hut 8 release</t>
  </si>
  <si>
    <t xml:space="preserve">C06_LL_val</t>
  </si>
  <si>
    <t xml:space="preserve">Beacon Point campus base-term contract value</t>
  </si>
  <si>
    <t xml:space="preserve">C06_LL_renew</t>
  </si>
  <si>
    <t xml:space="preserve">Beacon Point contract value with renewals</t>
  </si>
  <si>
    <t xml:space="preserve">C07_tot</t>
  </si>
  <si>
    <t xml:space="preserve">A-Volta: compute deal (Norway)</t>
  </si>
  <si>
    <t xml:space="preserve">L-048 · estimated · T3 · 2026-08-04 · 'reportedly'; single chain</t>
  </si>
  <si>
    <t xml:space="preserve">2026-08-04</t>
  </si>
  <si>
    <t xml:space="preserve">'reportedly'; single chain</t>
  </si>
  <si>
    <t xml:space="preserve">L-048</t>
  </si>
  <si>
    <t xml:space="preserve">C07_term</t>
  </si>
  <si>
    <t xml:space="preserve">A-Volta: term</t>
  </si>
  <si>
    <t xml:space="preserve">L-048 · estimated · T3 · 2026-08-04 · six years</t>
  </si>
  <si>
    <t xml:space="preserve">C07_MW</t>
  </si>
  <si>
    <t xml:space="preserve">A-Volta: capacity</t>
  </si>
  <si>
    <t xml:space="preserve">L-048 · estimated · T3 · 2026-08-04 · Tydal, Norway</t>
  </si>
  <si>
    <t xml:space="preserve">Tydal, Norway</t>
  </si>
  <si>
    <t xml:space="preserve">C08_tot</t>
  </si>
  <si>
    <t xml:space="preserve">A-Riot: powered-shell lease (through June 2048)</t>
  </si>
  <si>
    <t xml:space="preserve">L-136 · confirmed · T2 · 2026-08-10 · Bloomberg; 20-yr lease</t>
  </si>
  <si>
    <t xml:space="preserve">2026-08-10</t>
  </si>
  <si>
    <t xml:space="preserve">Bloomberg; 20-yr lease</t>
  </si>
  <si>
    <t xml:space="preserve">L-136</t>
  </si>
  <si>
    <t xml:space="preserve">C08_term</t>
  </si>
  <si>
    <t xml:space="preserve">A-Riot: term</t>
  </si>
  <si>
    <t xml:space="preserve">L-136 · confirmed · T2 · 2026-08-10 · 20 years through June 2048</t>
  </si>
  <si>
    <t xml:space="preserve">20 years through June 2048</t>
  </si>
  <si>
    <t xml:space="preserve">C08_MW</t>
  </si>
  <si>
    <t xml:space="preserve">A-Riot: capacity</t>
  </si>
  <si>
    <t xml:space="preserve">L-136 · confirmed · T2 · 2026-08-10 · Rockdale, Texas</t>
  </si>
  <si>
    <t xml:space="preserve">Rockdale, Texas</t>
  </si>
  <si>
    <t xml:space="preserve">C08_ext</t>
  </si>
  <si>
    <t xml:space="preserve">A-Riot: total with two 5-yr extensions</t>
  </si>
  <si>
    <t xml:space="preserve">L-136 · confirmed · T2 · 2026-08-10 · options</t>
  </si>
  <si>
    <t xml:space="preserve">options</t>
  </si>
  <si>
    <t xml:space="preserve">C10_GW</t>
  </si>
  <si>
    <t xml:space="preserve">A-Google Cloud: capacity over five years ('5 GW'; $ undisclosed)</t>
  </si>
  <si>
    <t xml:space="preserve">L-073 · confirmed · T2 · 2026-04-06 · TechCrunch; Google release says 'multiple gigawatts' (L-154)</t>
  </si>
  <si>
    <t xml:space="preserve">TechCrunch; Google release says 'multiple gigawatts' (L-154)</t>
  </si>
  <si>
    <t xml:space="preserve">X02_a26</t>
  </si>
  <si>
    <t xml:space="preserve">Broadcom schedule, Anthropic: Ironwood deploying 2026</t>
  </si>
  <si>
    <t xml:space="preserve">L-049 · confirmed · T1 · 2026-09-02 · vendor call; sits inside the SPV</t>
  </si>
  <si>
    <t xml:space="preserve">2026-09-02</t>
  </si>
  <si>
    <t xml:space="preserve">vendor call; sits inside the SPV</t>
  </si>
  <si>
    <t xml:space="preserve">L-049</t>
  </si>
  <si>
    <t xml:space="preserve">X02_a27</t>
  </si>
  <si>
    <t xml:space="preserve">Broadcom schedule, Anthropic: TPU v8i 2027 (contracted tranche)</t>
  </si>
  <si>
    <t xml:space="preserve">L-049 · confirmed · T1 · 2026-09-02 · vendor call</t>
  </si>
  <si>
    <t xml:space="preserve">vendor call</t>
  </si>
  <si>
    <t xml:space="preserve">09, 12</t>
  </si>
  <si>
    <t xml:space="preserve">X02_a28</t>
  </si>
  <si>
    <t xml:space="preserve">Broadcom schedule, Anthropic: 2028 'line of sight' (vendor guidance, not contract)</t>
  </si>
  <si>
    <t xml:space="preserve">X02_o27</t>
  </si>
  <si>
    <t xml:space="preserve">Broadcom schedule, OpenAI: Jalapeno 2027</t>
  </si>
  <si>
    <t xml:space="preserve">L-050 · confirmed · T1 · 2026-09-02 · vendor call</t>
  </si>
  <si>
    <t xml:space="preserve">L-050</t>
  </si>
  <si>
    <t xml:space="preserve">X02_o28</t>
  </si>
  <si>
    <t xml:space="preserve">Broadcom schedule, OpenAI: 2028 ('&gt;5 GW')</t>
  </si>
  <si>
    <t xml:space="preserve">C11_GW</t>
  </si>
  <si>
    <t xml:space="preserve">A-AMD: capacity ('up to 2 GW' MI450; first GW from H1-2027; $ undisclosed)</t>
  </si>
  <si>
    <t xml:space="preserve">L-043 · confirmed · T1 · 2026-07-22 · AMD release / 10-Q</t>
  </si>
  <si>
    <t xml:space="preserve">AMD release / 10-Q</t>
  </si>
  <si>
    <t xml:space="preserve">C12_tot</t>
  </si>
  <si>
    <t xml:space="preserve">O-Oracle: cloud contract from 2027 (press)</t>
  </si>
  <si>
    <t xml:space="preserve">L-064 · estimated · T2 · 2026-07-22 · WSJ; Oracle discloses only RPO (L-056)</t>
  </si>
  <si>
    <t xml:space="preserve">WSJ; Oracle discloses only RPO (L-056)</t>
  </si>
  <si>
    <t xml:space="preserve">L-064</t>
  </si>
  <si>
    <t xml:space="preserve">C12_term</t>
  </si>
  <si>
    <t xml:space="preserve">O-Oracle: term</t>
  </si>
  <si>
    <t xml:space="preserve">L-064 · estimated · T2 · 2026-07-22 · five years from 2027</t>
  </si>
  <si>
    <t xml:space="preserve">five years from 2027</t>
  </si>
  <si>
    <t xml:space="preserve">C12_GW</t>
  </si>
  <si>
    <t xml:space="preserve">O-Oracle: capacity (~)</t>
  </si>
  <si>
    <t xml:space="preserve">L-064 · estimated · T2 · 2026-07-22 · press</t>
  </si>
  <si>
    <t xml:space="preserve">press</t>
  </si>
  <si>
    <t xml:space="preserve">ORCL_RPO</t>
  </si>
  <si>
    <t xml:space="preserve">Oracle total RPO at 2026-05-31 (T1 upper bound)</t>
  </si>
  <si>
    <t xml:space="preserve">L-056 · confirmed · T1 · 2026-05-31 · 10-K; OpenAI not named</t>
  </si>
  <si>
    <t xml:space="preserve">2026-05-31</t>
  </si>
  <si>
    <t xml:space="preserve">10-K; OpenAI not named</t>
  </si>
  <si>
    <t xml:space="preserve">L-056</t>
  </si>
  <si>
    <t xml:space="preserve">C13_base</t>
  </si>
  <si>
    <t xml:space="preserve">O-AWS: original agreement</t>
  </si>
  <si>
    <t xml:space="preserve">C13_exp</t>
  </si>
  <si>
    <t xml:space="preserve">O-AWS: expansion ('up to' 100,000 over eight years)</t>
  </si>
  <si>
    <t xml:space="preserve">L-064 · estimated · T2/T4 · 2026-08-01 · press; 'up to' language</t>
  </si>
  <si>
    <t xml:space="preserve">2026-08-01</t>
  </si>
  <si>
    <t xml:space="preserve">press; 'up to' language</t>
  </si>
  <si>
    <t xml:space="preserve">T2/T4</t>
  </si>
  <si>
    <t xml:space="preserve">C13_tot</t>
  </si>
  <si>
    <t xml:space="preserve">O-AWS: combined (derived)</t>
  </si>
  <si>
    <t xml:space="preserve">L-064 · estimated · T2/T4 · 2026-08-01 · derived: 38,000 + 100,000</t>
  </si>
  <si>
    <t xml:space="preserve">derived: 38,000 + 100,000</t>
  </si>
  <si>
    <t xml:space="preserve">C13_term</t>
  </si>
  <si>
    <t xml:space="preserve">O-AWS: term</t>
  </si>
  <si>
    <t xml:space="preserve">L-064 · estimated · T2/T4 · 2026-08-01 · eight years</t>
  </si>
  <si>
    <t xml:space="preserve">eight years</t>
  </si>
  <si>
    <t xml:space="preserve">C13_GW</t>
  </si>
  <si>
    <t xml:space="preserve">O-AWS: Trainium capacity (~)</t>
  </si>
  <si>
    <t xml:space="preserve">L-064 · estimated · T4 · 2026-08-01 · press</t>
  </si>
  <si>
    <t xml:space="preserve">C14_tot</t>
  </si>
  <si>
    <t xml:space="preserve">O-CoreWeave: cumulative agreements (press)</t>
  </si>
  <si>
    <t xml:space="preserve">L-058 · confirmed · T1 (tranche) / T4 (total) · 2026-06-30 · 10-Q names the 6,500 order form; 22,400 cumulative per press</t>
  </si>
  <si>
    <t xml:space="preserve">10-Q names the 6,500 order form; 22,400 cumulative per press</t>
  </si>
  <si>
    <t xml:space="preserve">T1 (tranche) / T4 (total)</t>
  </si>
  <si>
    <t xml:space="preserve">L-058</t>
  </si>
  <si>
    <t xml:space="preserve">C14_T1</t>
  </si>
  <si>
    <t xml:space="preserve">O-CoreWeave: Sept-2025 order form (T1 tranche, through 2031-05-31)</t>
  </si>
  <si>
    <t xml:space="preserve">L-058 · confirmed · T1 · 2026-06-30 · 10-Q</t>
  </si>
  <si>
    <t xml:space="preserve">10-Q</t>
  </si>
  <si>
    <t xml:space="preserve">C14_end</t>
  </si>
  <si>
    <t xml:space="preserve">O-CoreWeave: end of the order form</t>
  </si>
  <si>
    <t xml:space="preserve">C15_tot</t>
  </si>
  <si>
    <t xml:space="preserve">O-Cerebras: multi-year deal ('more than 20,000')</t>
  </si>
  <si>
    <t xml:space="preserve">L-149 · confirmed · T1 · 2026-05-11 · S-1/A</t>
  </si>
  <si>
    <t xml:space="preserve">S-1/A</t>
  </si>
  <si>
    <t xml:space="preserve">L-149</t>
  </si>
  <si>
    <t xml:space="preserve">C15_term</t>
  </si>
  <si>
    <t xml:space="preserve">O-Cerebras: tranche terms (3-4 yrs; AJ 4)</t>
  </si>
  <si>
    <t xml:space="preserve">C15_MW</t>
  </si>
  <si>
    <t xml:space="preserve">O-Cerebras: committed capacity</t>
  </si>
  <si>
    <t xml:space="preserve">L-149 · confirmed · T1 · 2026-05-11 · tranches 2026-2028</t>
  </si>
  <si>
    <t xml:space="preserve">tranches 2026-2028</t>
  </si>
  <si>
    <t xml:space="preserve">C15_opt_GW</t>
  </si>
  <si>
    <t xml:space="preserve">O-Cerebras: option for additional capacity by end-2030</t>
  </si>
  <si>
    <t xml:space="preserve">L-149 · confirmed · T1 · 2026-05-11 · option (flag OPTION)</t>
  </si>
  <si>
    <t xml:space="preserve">option (flag OPTION)</t>
  </si>
  <si>
    <t xml:space="preserve">C15_loan</t>
  </si>
  <si>
    <t xml:space="preserve">O-Cerebras: working-capital loan advanced BY OpenAI</t>
  </si>
  <si>
    <t xml:space="preserve">L-149 · confirmed · T1 · 2026-05-11 · a use of cash</t>
  </si>
  <si>
    <t xml:space="preserve">a use of cash</t>
  </si>
  <si>
    <t xml:space="preserve">C19_GW</t>
  </si>
  <si>
    <t xml:space="preserve">O-AMD: capacity ('up to 6 GW'; first GW on MI450)</t>
  </si>
  <si>
    <t xml:space="preserve">L-060 · confirmed · T1 · Oct-2025 · AMD 10-Q; warrant 160M shares at $0.01</t>
  </si>
  <si>
    <t xml:space="preserve">Oct-2025</t>
  </si>
  <si>
    <t xml:space="preserve">AMD 10-Q; warrant 160M shares at $0.01</t>
  </si>
  <si>
    <t xml:space="preserve">L-060</t>
  </si>
  <si>
    <t xml:space="preserve">C21_LOI</t>
  </si>
  <si>
    <t xml:space="preserve">O-Nvidia: LOI (Sep-2025), RETIRED</t>
  </si>
  <si>
    <t xml:space="preserve">L-075 · confirmed · T2 · 2026-03-04 · Huang: remaining ~70,000 'probably not in the cards'</t>
  </si>
  <si>
    <t xml:space="preserve">2026-03-04</t>
  </si>
  <si>
    <t xml:space="preserve">Huang: remaining ~70,000 'probably not in the cards'</t>
  </si>
  <si>
    <t xml:space="preserve">L-075</t>
  </si>
  <si>
    <t xml:space="preserve">C21_equity</t>
  </si>
  <si>
    <t xml:space="preserve">O-Nvidia: equity invested in the Mar-2026 round (inflow, not cost)</t>
  </si>
  <si>
    <t xml:space="preserve">L-075 · confirmed · T2 · 2026-03-04 · financing inflow</t>
  </si>
  <si>
    <t xml:space="preserve">financing inflow</t>
  </si>
  <si>
    <t xml:space="preserve">C22_GW</t>
  </si>
  <si>
    <t xml:space="preserve">O-Stargate: planned US capacity ('&gt;9 GW'; overlaps Oracle / SB Energy rows)</t>
  </si>
  <si>
    <t xml:space="preserve">L-079 · estimated · T3 · 2026-04-17 · Epoch AI; excluded from sums</t>
  </si>
  <si>
    <t xml:space="preserve">2026-04-17</t>
  </si>
  <si>
    <t xml:space="preserve">Epoch AI; excluded from sums</t>
  </si>
  <si>
    <t xml:space="preserve">L-079</t>
  </si>
  <si>
    <t xml:space="preserve">SPCX_AI_Q2</t>
  </si>
  <si>
    <t xml:space="preserve">SpaceX AI-segment Q2-2026 revenue (upper bound on Anthropic's cash paid to SpaceX in the quarter)</t>
  </si>
  <si>
    <t xml:space="preserve">L-047 · confirmed · T2 · Q2-2026 · SpaceX Q2 results; reduced fee May-June</t>
  </si>
  <si>
    <t xml:space="preserve">SpaceX Q2 results; reduced fee May-June</t>
  </si>
  <si>
    <t xml:space="preserve">L-047</t>
  </si>
  <si>
    <t xml:space="preserve">09 (E6 cash column)</t>
  </si>
  <si>
    <t xml:space="preserve">TALLY-ONLY VALUES (could-not-verify; flagged CNV; used ONLY by the 09_Obligations recalled-$ block, never as facts)</t>
  </si>
  <si>
    <t xml:space="preserve">C16_cnv</t>
  </si>
  <si>
    <t xml:space="preserve">O-Azure: incremental Azure commitment (register value)</t>
  </si>
  <si>
    <t xml:space="preserve">L-121 · could-not-verify · T4 · 2025-10-28 · 10-K silent; primaries 403; recalled-$ scope only</t>
  </si>
  <si>
    <t xml:space="preserve">10-K silent; primaries 403; recalled-$ scope only</t>
  </si>
  <si>
    <t xml:space="preserve">L-121</t>
  </si>
  <si>
    <t xml:space="preserve">09 (tally, CNV)</t>
  </si>
  <si>
    <t xml:space="preserve">C19_cnv</t>
  </si>
  <si>
    <t xml:space="preserve">O-AMD: dollar value (press estimate)</t>
  </si>
  <si>
    <t xml:space="preserve">L-123 · could-not-verify · T4 · 2025-10 · AMD 10-Q states no $; recalled-$ scope only</t>
  </si>
  <si>
    <t xml:space="preserve">2025-10</t>
  </si>
  <si>
    <t xml:space="preserve">AMD 10-Q states no $; recalled-$ scope only</t>
  </si>
  <si>
    <t xml:space="preserve">L-123</t>
  </si>
  <si>
    <t xml:space="preserve">C20_cnv</t>
  </si>
  <si>
    <t xml:space="preserve">O-Broadcom: dollar value ('350,000 / 10 GW', press estimate)</t>
  </si>
  <si>
    <t xml:space="preserve">L-122 · could-not-verify · T4 · 2025-10 · Broadcom states no $; recalled-$ scope only</t>
  </si>
  <si>
    <t xml:space="preserve">Broadcom states no $; recalled-$ scope only</t>
  </si>
  <si>
    <t xml:space="preserve">L-122</t>
  </si>
  <si>
    <t xml:space="preserve">T_young</t>
  </si>
  <si>
    <t xml:space="preserve">youngresearch tally ('517,000', not reproducible)</t>
  </si>
  <si>
    <t xml:space="preserve">L-138 · estimated · T4 · 2026-08-31 · not reproducible from ledger rows; CUT</t>
  </si>
  <si>
    <t xml:space="preserve">not reproducible from ledger rows; CUT</t>
  </si>
  <si>
    <t xml:space="preserve">L-138</t>
  </si>
  <si>
    <t xml:space="preserve">09 (tally display)</t>
  </si>
  <si>
    <t xml:space="preserve">T_register</t>
  </si>
  <si>
    <t xml:space="preserve">Register tally ('80B+ across 6 partners', superseded)</t>
  </si>
  <si>
    <t xml:space="preserve">L-138 · recalled · T4 · 2026-06-12 · pre-dates Riot, Volta, Nscale, Lambda; CUT</t>
  </si>
  <si>
    <t xml:space="preserve">2026-06-12</t>
  </si>
  <si>
    <t xml:space="preserve">pre-dates Riot, Volta, Nscale, Lambda; CUT</t>
  </si>
  <si>
    <t xml:space="preserve">T_oblig</t>
  </si>
  <si>
    <t xml:space="preserve">OpenAI obligation stack (register canonical, 'through ~2035')</t>
  </si>
  <si>
    <t xml:space="preserve">L-062 notes · recalled · T4 · 2026-02-27 · reconciles as 480,400 documented-$ + 690,000 recalled-$</t>
  </si>
  <si>
    <t xml:space="preserve">2026-02-27</t>
  </si>
  <si>
    <t xml:space="preserve">reconciles as 480,400 documented-$ + 690,000 recalled-$</t>
  </si>
  <si>
    <t xml:space="preserve">L-062 notes</t>
  </si>
  <si>
    <t xml:space="preserve">09 (tally)</t>
  </si>
  <si>
    <t xml:space="preserve">T_headline</t>
  </si>
  <si>
    <t xml:space="preserve">OpenAI headline 'infrastructure commitments' (Altman)</t>
  </si>
  <si>
    <t xml:space="preserve">L-062 · estimated · T2 relay · 2026 · includes optional and aspirational capacity</t>
  </si>
  <si>
    <t xml:space="preserve">includes optional and aspirational capacity</t>
  </si>
  <si>
    <t xml:space="preserve">T2 relay</t>
  </si>
  <si>
    <t xml:space="preserve">L-062</t>
  </si>
  <si>
    <t xml:space="preserve">FINANCING LADDER ANCHORS (F01-F10) AND LEASE ECONOMICS (X01)</t>
  </si>
  <si>
    <t xml:space="preserve">F_neo1</t>
  </si>
  <si>
    <t xml:space="preserve">CoreWeave 2031 senior notes coupon</t>
  </si>
  <si>
    <t xml:space="preserve">L-059 · confirmed · T1 · 2026-06-30 · 10-Q</t>
  </si>
  <si>
    <t xml:space="preserve">L-059</t>
  </si>
  <si>
    <t xml:space="preserve">F_neo2</t>
  </si>
  <si>
    <t xml:space="preserve">CoreWeave 2031 senior notes coupon (second)</t>
  </si>
  <si>
    <t xml:space="preserve">F_neo3</t>
  </si>
  <si>
    <t xml:space="preserve">CoreWeave 2032 senior notes coupon</t>
  </si>
  <si>
    <t xml:space="preserve">F_cs_tot</t>
  </si>
  <si>
    <t xml:space="preserve">Core Scientific-AMD: base contracted revenue ('&gt;14,000')</t>
  </si>
  <si>
    <t xml:space="preserve">L-148 · confirmed · T1 · 2026-07-28 · Q2 call; 2.5% escalators</t>
  </si>
  <si>
    <t xml:space="preserve">2026-07-28</t>
  </si>
  <si>
    <t xml:space="preserve">Q2 call; 2.5% escalators</t>
  </si>
  <si>
    <t xml:space="preserve">L-148</t>
  </si>
  <si>
    <t xml:space="preserve">10, 09</t>
  </si>
  <si>
    <t xml:space="preserve">F_cs_MW</t>
  </si>
  <si>
    <t xml:space="preserve">Core Scientific-AMD: capacity</t>
  </si>
  <si>
    <t xml:space="preserve">L-148 · confirmed · T1 · 2026-07-28 · five sites</t>
  </si>
  <si>
    <t xml:space="preserve">five sites</t>
  </si>
  <si>
    <t xml:space="preserve">F_cs_term</t>
  </si>
  <si>
    <t xml:space="preserve">Core Scientific-AMD: term</t>
  </si>
  <si>
    <t xml:space="preserve">L-148 · confirmed · T1 · 2026-07-28 · 15-year agreements</t>
  </si>
  <si>
    <t xml:space="preserve">15-year agreements</t>
  </si>
  <si>
    <t xml:space="preserve">F_amd_guar</t>
  </si>
  <si>
    <t xml:space="preserve">AMD datacenter lease guarantees (max)</t>
  </si>
  <si>
    <t xml:space="preserve">L-146 · confirmed · T1 · 2026-06-27 · AMD 10-Q</t>
  </si>
  <si>
    <t xml:space="preserve">2026-06-27</t>
  </si>
  <si>
    <t xml:space="preserve">AMD 10-Q</t>
  </si>
  <si>
    <t xml:space="preserve">L-146</t>
  </si>
  <si>
    <t xml:space="preserve">F_amd_lease</t>
  </si>
  <si>
    <t xml:space="preserve">AMD new long-term DC leases (up to 16 yrs)</t>
  </si>
  <si>
    <t xml:space="preserve">F_sbe_warrant</t>
  </si>
  <si>
    <t xml:space="preserve">SB Energy warrant fair-value charge (H1-2026)</t>
  </si>
  <si>
    <t xml:space="preserve">L-147 · confirmed · T1 · 2026-06-30 · S-1</t>
  </si>
  <si>
    <t xml:space="preserve">S-1</t>
  </si>
  <si>
    <t xml:space="preserve">L-147</t>
  </si>
  <si>
    <t xml:space="preserve">F_msft_gain</t>
  </si>
  <si>
    <t xml:space="preserve">Microsoft FY2026 net gains from OpenAI investments (recap dilution gain)</t>
  </si>
  <si>
    <t xml:space="preserve">L-054 · confirmed · T1 · FY2026 · 10-K</t>
  </si>
  <si>
    <t xml:space="preserve">FY2026</t>
  </si>
  <si>
    <t xml:space="preserve">F_msft_capex</t>
  </si>
  <si>
    <t xml:space="preserve">Microsoft CY2026 capex expectation</t>
  </si>
  <si>
    <t xml:space="preserve">L-145 · confirmed · T1 · 2026-07-29 · Q4 FY26 call</t>
  </si>
  <si>
    <t xml:space="preserve">2026-07-29</t>
  </si>
  <si>
    <t xml:space="preserve">L-145</t>
  </si>
  <si>
    <t xml:space="preserve">10, 13</t>
  </si>
  <si>
    <t xml:space="preserve">F_meta_lo</t>
  </si>
  <si>
    <t xml:space="preserve">Meta 2026 capex guidance, low</t>
  </si>
  <si>
    <t xml:space="preserve">L-095 · confirmed · T2 · 2026-04-29 · Fortune</t>
  </si>
  <si>
    <t xml:space="preserve">2026-04-29</t>
  </si>
  <si>
    <t xml:space="preserve">Fortune</t>
  </si>
  <si>
    <t xml:space="preserve">L-095</t>
  </si>
  <si>
    <t xml:space="preserve">F_meta_hi</t>
  </si>
  <si>
    <t xml:space="preserve">Meta 2026 capex guidance, high</t>
  </si>
  <si>
    <t xml:space="preserve">F_w_amd</t>
  </si>
  <si>
    <t xml:space="preserve">Warrant to OpenAI: AMD shares (M) at $0.01</t>
  </si>
  <si>
    <t xml:space="preserve">L-060 · confirmed · T1 · Oct-2025 · AMD 10-Q</t>
  </si>
  <si>
    <t xml:space="preserve">M shares</t>
  </si>
  <si>
    <t xml:space="preserve">F_w_sbe</t>
  </si>
  <si>
    <t xml:space="preserve">Warrant to OpenAI: SB Energy shares (M) at $0.01</t>
  </si>
  <si>
    <t xml:space="preserve">L-061 · confirmed · T1 · 2026-08-17 · S-1</t>
  </si>
  <si>
    <t xml:space="preserve">F_w_cer</t>
  </si>
  <si>
    <t xml:space="preserve">Warrant to OpenAI: Cerebras Class N shares (M)</t>
  </si>
  <si>
    <t xml:space="preserve">F_huang</t>
  </si>
  <si>
    <t xml:space="preserve">Huang statement on vendor equity</t>
  </si>
  <si>
    <t xml:space="preserve">L-075 · confirmed · T2 · 2026-03-04 · TechCrunch / Benzinga</t>
  </si>
  <si>
    <t xml:space="preserve">the 30,000 OpenAI investment 'might be the last time'; the 100,000 LOI 'probably not in the cards'</t>
  </si>
  <si>
    <t xml:space="preserve">TechCrunch / Benzinga</t>
  </si>
  <si>
    <t xml:space="preserve">X01_nscale</t>
  </si>
  <si>
    <t xml:space="preserve">Full-stack lease rate: Nscale (45,000 / 460 MW / 6 yr)</t>
  </si>
  <si>
    <t xml:space="preserve">L-134, L-135 · estimated · T3 (derived) · 2026-08 · derived</t>
  </si>
  <si>
    <t xml:space="preserve">$M per MW-yr</t>
  </si>
  <si>
    <t xml:space="preserve">2026-08</t>
  </si>
  <si>
    <t xml:space="preserve">derived</t>
  </si>
  <si>
    <t xml:space="preserve">T3 (derived)</t>
  </si>
  <si>
    <t xml:space="preserve">L-134, L-135</t>
  </si>
  <si>
    <t xml:space="preserve">09, 12, 07</t>
  </si>
  <si>
    <t xml:space="preserve">X01_volta</t>
  </si>
  <si>
    <t xml:space="preserve">Full-stack lease rate: Volta (10,000 / 133 MW / 6 yr)</t>
  </si>
  <si>
    <t xml:space="preserve">L-134, L-048 · estimated · T3 (derived) · 2026-08 · derived</t>
  </si>
  <si>
    <t xml:space="preserve">L-134, L-048</t>
  </si>
  <si>
    <t xml:space="preserve">X01_riot</t>
  </si>
  <si>
    <t xml:space="preserve">Powered-shell rate: Riot (9,100 / 191 MW / 20 yr)</t>
  </si>
  <si>
    <t xml:space="preserve">L-136 · confirmed · T2 (derived) · 2026-08-10 · derived</t>
  </si>
  <si>
    <t xml:space="preserve">T2 (derived)</t>
  </si>
  <si>
    <t xml:space="preserve">09, 12, 10</t>
  </si>
  <si>
    <t xml:space="preserve">X01_beacon</t>
  </si>
  <si>
    <t xml:space="preserve">Powered-shell rate: Hut 8 Beacon Point (19,600 / 704 MW / 15 yr)</t>
  </si>
  <si>
    <t xml:space="preserve">L-167 · confirmed · T1 (derived) · 2026-07-20 · derived; tenant Nvidia</t>
  </si>
  <si>
    <t xml:space="preserve">derived; tenant Nvidia</t>
  </si>
  <si>
    <t xml:space="preserve">T1 (derived)</t>
  </si>
  <si>
    <t xml:space="preserve">X01_cs</t>
  </si>
  <si>
    <t xml:space="preserve">Powered-shell rate: Core Scientific-AMD (14,000 / 530 MW / 15 yr)</t>
  </si>
  <si>
    <t xml:space="preserve">L-148 · confirmed · T1 (derived) · 2026-07-28 · derived</t>
  </si>
  <si>
    <t xml:space="preserve">X01_spv</t>
  </si>
  <si>
    <t xml:space="preserve">Chips-only rate: TPU SPV (34,500 / 1,000 MW / 5 yr)</t>
  </si>
  <si>
    <t xml:space="preserve">L-044 · estimated · T3 (derived) · 2026-08-12 · derived; 1 GW = 1,000 MW</t>
  </si>
  <si>
    <t xml:space="preserve">derived; 1 GW = 1,000 MW</t>
  </si>
  <si>
    <t xml:space="preserve">X01_tpu_69</t>
  </si>
  <si>
    <t xml:space="preserve">SW_TPU_RATE branch: 6.9 (chips only, shell inside AWS/other)</t>
  </si>
  <si>
    <t xml:space="preserve">L-044 · estimated · T3 (derived) · 2026-08-12 · rounded to one decimal as the spec states it</t>
  </si>
  <si>
    <t xml:space="preserve">rounded to one decimal as the spec states it</t>
  </si>
  <si>
    <t xml:space="preserve">12</t>
  </si>
  <si>
    <t xml:space="preserve">X01_tpu_93</t>
  </si>
  <si>
    <t xml:space="preserve">SW_TPU_RATE branch: 9.3 (SPV chips 6.9 + Riot shell 2.4)</t>
  </si>
  <si>
    <t xml:space="preserve">L-044, L-136 · estimated · T3 (derived) · 2026-08 · rounded components as the cost-stack states them</t>
  </si>
  <si>
    <t xml:space="preserve">rounded components as the cost-stack states them</t>
  </si>
  <si>
    <t xml:space="preserve">L-044, L-136</t>
  </si>
  <si>
    <t xml:space="preserve">X01_tpu_125</t>
  </si>
  <si>
    <t xml:space="preserve">SW_TPU_RATE branch: 12.5 (Volta full-stack)</t>
  </si>
  <si>
    <t xml:space="preserve">L-134 · estimated · T3 (derived) · 2026-08 · rounded</t>
  </si>
  <si>
    <t xml:space="preserve">rounded</t>
  </si>
  <si>
    <t xml:space="preserve">L-134</t>
  </si>
  <si>
    <t xml:space="preserve">X01_tpu_163</t>
  </si>
  <si>
    <t xml:space="preserve">SW_TPU_RATE branch: 16.3 (Nscale full-stack)</t>
  </si>
  <si>
    <t xml:space="preserve">X01_goog5</t>
  </si>
  <si>
    <t xml:space="preserve">Google reported value implied rate at 5 GW (200,000 / 5 yr / 5,000 MW)</t>
  </si>
  <si>
    <t xml:space="preserve">L-155, L-073 · estimated · T3 [VERIFY] · 2026-05-05 · consistency check</t>
  </si>
  <si>
    <t xml:space="preserve">consistency check</t>
  </si>
  <si>
    <t xml:space="preserve">L-155, L-073</t>
  </si>
  <si>
    <t xml:space="preserve">X01_goog16</t>
  </si>
  <si>
    <t xml:space="preserve">Google reported value implied rate at 16 GW (1 + 5 + 10 line of sight)</t>
  </si>
  <si>
    <t xml:space="preserve">L-155, L-049 · estimated · T3 [VERIFY] · 2026-05-05 · consistency check</t>
  </si>
  <si>
    <t xml:space="preserve">L-155, L-049</t>
  </si>
  <si>
    <t xml:space="preserve">PER-RUN REFERENCE (L-115), INDUSTRY REFERENCE (X03), OUTSIDE-VIEW ANCHORS</t>
  </si>
  <si>
    <t xml:space="preserve">X04_grok4</t>
  </si>
  <si>
    <t xml:space="preserve">Per-run compute cost: Grok 4 final run (~)</t>
  </si>
  <si>
    <t xml:space="preserve">L-115 · estimated · T3 · 2024-06-03 / 2025-09-26 · Epoch AI; final-run amortized compute (different basis from annual budgets, C-11); never summed with L3</t>
  </si>
  <si>
    <t xml:space="preserve">2024-06-03 / 2025-09-26</t>
  </si>
  <si>
    <t xml:space="preserve">Epoch AI; final-run amortized compute (different basis from annual budgets, C-11); never summed with L3</t>
  </si>
  <si>
    <t xml:space="preserve">L-115</t>
  </si>
  <si>
    <t xml:space="preserve">03 (reference block)</t>
  </si>
  <si>
    <t xml:space="preserve">X04_gpt45</t>
  </si>
  <si>
    <t xml:space="preserve">Per-run compute cost: GPT-4.5 pre-training (~)</t>
  </si>
  <si>
    <t xml:space="preserve">X04_gpt45_post</t>
  </si>
  <si>
    <t xml:space="preserve">Per-run compute cost: GPT-4.5 post-training (~)</t>
  </si>
  <si>
    <t xml:space="preserve">X04_gpt4</t>
  </si>
  <si>
    <t xml:space="preserve">Per-run compute cost: GPT-4 (~)</t>
  </si>
  <si>
    <t xml:space="preserve">X04_gemini</t>
  </si>
  <si>
    <t xml:space="preserve">Per-run compute cost: Gemini Ultra (~)</t>
  </si>
  <si>
    <t xml:space="preserve">X04_llama</t>
  </si>
  <si>
    <t xml:space="preserve">Per-run compute cost: Llama 3.1-405B (~)</t>
  </si>
  <si>
    <t xml:space="preserve">X04_growth</t>
  </si>
  <si>
    <t xml:space="preserve">Per-run cost growth since 2016</t>
  </si>
  <si>
    <t xml:space="preserve">L-115 · estimated · T3 · 2024-06-03 · Epoch AI</t>
  </si>
  <si>
    <t xml:space="preserve">x per yr</t>
  </si>
  <si>
    <t xml:space="preserve">2024-06-03</t>
  </si>
  <si>
    <t xml:space="preserve">X04_1b</t>
  </si>
  <si>
    <t xml:space="preserve">Largest runs '&gt; 1,000 by 2027'</t>
  </si>
  <si>
    <t xml:space="preserve">BCOM_26</t>
  </si>
  <si>
    <t xml:space="preserve">Broadcom AI semiconductor revenue FY2026 (~)</t>
  </si>
  <si>
    <t xml:space="preserve">L-144 · confirmed · T1 · 2026-09-02 · vendor guidance</t>
  </si>
  <si>
    <t xml:space="preserve">vendor guidance</t>
  </si>
  <si>
    <t xml:space="preserve">L-144</t>
  </si>
  <si>
    <t xml:space="preserve">BCOM_27</t>
  </si>
  <si>
    <t xml:space="preserve">Broadcom AI semiconductor revenue FY2027 (supply secured)</t>
  </si>
  <si>
    <t xml:space="preserve">BCOM_28</t>
  </si>
  <si>
    <t xml:space="preserve">Broadcom AI semiconductor revenue FY2028 (line of sight)</t>
  </si>
  <si>
    <t xml:space="preserve">CW_build</t>
  </si>
  <si>
    <t xml:space="preserve">All-in greenfield datacenter build cost</t>
  </si>
  <si>
    <t xml:space="preserve">L-109 · confirmed · T2 · 2026-09-03 · Cushman &amp; Wakefield 2026 guide</t>
  </si>
  <si>
    <t xml:space="preserve">$M per MW</t>
  </si>
  <si>
    <t xml:space="preserve">Cushman &amp; Wakefield 2026 guide</t>
  </si>
  <si>
    <t xml:space="preserve">L-109</t>
  </si>
  <si>
    <t xml:space="preserve">CW_infl</t>
  </si>
  <si>
    <t xml:space="preserve">Build cost inflation since Q4-2024</t>
  </si>
  <si>
    <t xml:space="preserve">L-109 · confirmed · T2 · 2026-09-03 · Cushman &amp; Wakefield</t>
  </si>
  <si>
    <t xml:space="preserve">Cushman &amp; Wakefield</t>
  </si>
  <si>
    <t xml:space="preserve">GPU_new_lo</t>
  </si>
  <si>
    <t xml:space="preserve">H100 new price, low</t>
  </si>
  <si>
    <t xml:space="preserve">L-103 · estimated · T4 · 2026-07-10 · GPU price index</t>
  </si>
  <si>
    <t xml:space="preserve">$</t>
  </si>
  <si>
    <t xml:space="preserve">2026-07-10</t>
  </si>
  <si>
    <t xml:space="preserve">GPU price index</t>
  </si>
  <si>
    <t xml:space="preserve">L-103</t>
  </si>
  <si>
    <t xml:space="preserve">GPU_new_hi</t>
  </si>
  <si>
    <t xml:space="preserve">H100 new price, high</t>
  </si>
  <si>
    <t xml:space="preserve">GPU_used_lo</t>
  </si>
  <si>
    <t xml:space="preserve">H100 used price, low</t>
  </si>
  <si>
    <t xml:space="preserve">GPU_used_hi</t>
  </si>
  <si>
    <t xml:space="preserve">H100 used price, high</t>
  </si>
  <si>
    <t xml:space="preserve">MSFT_life_old</t>
  </si>
  <si>
    <t xml:space="preserve">Microsoft datacenter useful life, before</t>
  </si>
  <si>
    <t xml:space="preserve">MSFT_life_new</t>
  </si>
  <si>
    <t xml:space="preserve">Microsoft datacenter useful life, after</t>
  </si>
  <si>
    <t xml:space="preserve">ABIL_op</t>
  </si>
  <si>
    <t xml:space="preserve">Abilene operational capacity</t>
  </si>
  <si>
    <t xml:space="preserve">L-079 · estimated · T3 · 2026-04-17 · Epoch AI</t>
  </si>
  <si>
    <t xml:space="preserve">ABIL_plan</t>
  </si>
  <si>
    <t xml:space="preserve">Abilene planned (capped from 2.1)</t>
  </si>
  <si>
    <t xml:space="preserve">ABIL_orig</t>
  </si>
  <si>
    <t xml:space="preserve">Abilene original plan</t>
  </si>
  <si>
    <t xml:space="preserve">L-079 notes · estimated · T4 · 2026-03-09 · Winbuzzer (T4)</t>
  </si>
  <si>
    <t xml:space="preserve">2026-03-09</t>
  </si>
  <si>
    <t xml:space="preserve">Winbuzzer (T4)</t>
  </si>
  <si>
    <t xml:space="preserve">L-079 notes</t>
  </si>
  <si>
    <t xml:space="preserve">CHATGPT_late</t>
  </si>
  <si>
    <t xml:space="preserve">ChatGPT 1B-user milestone lateness vs projection</t>
  </si>
  <si>
    <t xml:space="preserve">L-080 · confirmed · T2 · 2026-07-29 · The Information via PYMNTS</t>
  </si>
  <si>
    <t xml:space="preserve">The Information via PYMNTS</t>
  </si>
  <si>
    <t xml:space="preserve">PB_move_A</t>
  </si>
  <si>
    <t xml:space="preserve">PB Anthropic FY2027 projection move, Jul-16 to Sep-9 (55,000 to 71,000)</t>
  </si>
  <si>
    <t xml:space="preserve">L-009 · estimated · T2 · 2026-09-09 · derived; Jul-16 field was 55,000</t>
  </si>
  <si>
    <t xml:space="preserve">derived; Jul-16 field was 55,000</t>
  </si>
  <si>
    <t xml:space="preserve">L-009</t>
  </si>
  <si>
    <t xml:space="preserve">PB_move_O</t>
  </si>
  <si>
    <t xml:space="preserve">PB OpenAI FY2026 projection move, Jul-16 to Sep-9 (30,000 to 41,300)</t>
  </si>
  <si>
    <t xml:space="preserve">L-024 · estimated · T2 · 2026-09-09 · derived; Jul-16 field was 30,000</t>
  </si>
  <si>
    <t xml:space="preserve">derived; Jul-16 field was 30,000</t>
  </si>
  <si>
    <t xml:space="preserve">L-024</t>
  </si>
  <si>
    <t xml:space="preserve">AIBQ v3.0 INPUTS (Q01-Q18): weights, May-27 sub-scores (L-133), Sep-9 re-run sub-scores (aibq-delta.md)</t>
  </si>
  <si>
    <t xml:space="preserve">Q_wCE1</t>
  </si>
  <si>
    <t xml:space="preserve">AIBQ rubric: CE-1 weight</t>
  </si>
  <si>
    <t xml:space="preserve">L-133 (rubric v3.0) · recalled · T4 · 2026-05-26 · rubric v3.0; Report weights CE 20 / RQ 25 / CI 15 / GO 20 / MD 20</t>
  </si>
  <si>
    <t xml:space="preserve">weight</t>
  </si>
  <si>
    <t xml:space="preserve">2026-05-26</t>
  </si>
  <si>
    <t xml:space="preserve">rubric v3.0; Report weights CE 20 / RQ 25 / CI 15 / GO 20 / MD 20</t>
  </si>
  <si>
    <t xml:space="preserve">PERMANENT (method)</t>
  </si>
  <si>
    <t xml:space="preserve">L-133 (rubric v3.0)</t>
  </si>
  <si>
    <t xml:space="preserve">11</t>
  </si>
  <si>
    <t xml:space="preserve">Q_wCE2</t>
  </si>
  <si>
    <t xml:space="preserve">AIBQ rubric: CE-2 weight</t>
  </si>
  <si>
    <t xml:space="preserve">Q_wCE3</t>
  </si>
  <si>
    <t xml:space="preserve">AIBQ rubric: CE-3 weight</t>
  </si>
  <si>
    <t xml:space="preserve">Q_wCE4</t>
  </si>
  <si>
    <t xml:space="preserve">AIBQ rubric: CE-4 weight</t>
  </si>
  <si>
    <t xml:space="preserve">Q_wCI1</t>
  </si>
  <si>
    <t xml:space="preserve">AIBQ rubric: CI-1 weight</t>
  </si>
  <si>
    <t xml:space="preserve">Q_wCI2</t>
  </si>
  <si>
    <t xml:space="preserve">AIBQ rubric: CI-2 weight</t>
  </si>
  <si>
    <t xml:space="preserve">Q_wCI3</t>
  </si>
  <si>
    <t xml:space="preserve">AIBQ rubric: CI-3 weight</t>
  </si>
  <si>
    <t xml:space="preserve">Q_wCI4</t>
  </si>
  <si>
    <t xml:space="preserve">AIBQ rubric: CI-4 weight</t>
  </si>
  <si>
    <t xml:space="preserve">Q_wCI5</t>
  </si>
  <si>
    <t xml:space="preserve">AIBQ rubric: CI-5 weight</t>
  </si>
  <si>
    <t xml:space="preserve">Q_wCEdim</t>
  </si>
  <si>
    <t xml:space="preserve">AIBQ rubric: CE dimension weight (Report configuration, Ruling 6)</t>
  </si>
  <si>
    <t xml:space="preserve">Q_wCIdim</t>
  </si>
  <si>
    <t xml:space="preserve">AIBQ rubric: CI dimension weight (Report configuration)</t>
  </si>
  <si>
    <t xml:space="preserve">Q_A_CE1_old</t>
  </si>
  <si>
    <t xml:space="preserve">AIBQ prior: Anthropic CE-1 (May-27)</t>
  </si>
  <si>
    <t xml:space="preserve">L-133 · recalled · T4 · 2026-05-27 · May-27 vintage (prior/v4-reconstruction section 7)</t>
  </si>
  <si>
    <t xml:space="preserve">score</t>
  </si>
  <si>
    <t xml:space="preserve">2026-05-27</t>
  </si>
  <si>
    <t xml:space="preserve">May-27 vintage (prior/v4-reconstruction section 7)</t>
  </si>
  <si>
    <t xml:space="preserve">11, 06</t>
  </si>
  <si>
    <t xml:space="preserve">Q_A_CE2_old</t>
  </si>
  <si>
    <t xml:space="preserve">AIBQ prior: Anthropic CE-2 (May-27)</t>
  </si>
  <si>
    <t xml:space="preserve">Q_A_CE3_old</t>
  </si>
  <si>
    <t xml:space="preserve">AIBQ prior: Anthropic CE-3 (May-27)</t>
  </si>
  <si>
    <t xml:space="preserve">Q_A_CE4_old</t>
  </si>
  <si>
    <t xml:space="preserve">AIBQ prior: Anthropic CE-4 (May-27)</t>
  </si>
  <si>
    <t xml:space="preserve">Q_A_CI1_old</t>
  </si>
  <si>
    <t xml:space="preserve">AIBQ prior: Anthropic CI-1 (May-27)</t>
  </si>
  <si>
    <t xml:space="preserve">Q_A_CI2_old</t>
  </si>
  <si>
    <t xml:space="preserve">AIBQ prior: Anthropic CI-2 (May-27)</t>
  </si>
  <si>
    <t xml:space="preserve">Q_A_CI3_old</t>
  </si>
  <si>
    <t xml:space="preserve">AIBQ prior: Anthropic CI-3 (May-27)</t>
  </si>
  <si>
    <t xml:space="preserve">Q_A_CI4_old</t>
  </si>
  <si>
    <t xml:space="preserve">AIBQ prior: Anthropic CI-4 (May-27)</t>
  </si>
  <si>
    <t xml:space="preserve">Q_A_CI5_old</t>
  </si>
  <si>
    <t xml:space="preserve">AIBQ prior: Anthropic CI-5 (May-27)</t>
  </si>
  <si>
    <t xml:space="preserve">Q_O_CE1_old</t>
  </si>
  <si>
    <t xml:space="preserve">AIBQ prior: OpenAI CE-1 (May-27)</t>
  </si>
  <si>
    <t xml:space="preserve">Q_O_CE2_old</t>
  </si>
  <si>
    <t xml:space="preserve">AIBQ prior: OpenAI CE-2 (May-27)</t>
  </si>
  <si>
    <t xml:space="preserve">Q_O_CE3_old</t>
  </si>
  <si>
    <t xml:space="preserve">AIBQ prior: OpenAI CE-3 (May-27)</t>
  </si>
  <si>
    <t xml:space="preserve">Q_O_CE4_old</t>
  </si>
  <si>
    <t xml:space="preserve">AIBQ prior: OpenAI CE-4 (May-27)</t>
  </si>
  <si>
    <t xml:space="preserve">Q_O_CI1_old</t>
  </si>
  <si>
    <t xml:space="preserve">AIBQ prior: OpenAI CI-1 (May-27)</t>
  </si>
  <si>
    <t xml:space="preserve">Q_O_CI2_old</t>
  </si>
  <si>
    <t xml:space="preserve">AIBQ prior: OpenAI CI-2 (May-27)</t>
  </si>
  <si>
    <t xml:space="preserve">Q_O_CI3_old</t>
  </si>
  <si>
    <t xml:space="preserve">AIBQ prior: OpenAI CI-3 (May-27)</t>
  </si>
  <si>
    <t xml:space="preserve">Q_O_CI4_old</t>
  </si>
  <si>
    <t xml:space="preserve">AIBQ prior: OpenAI CI-4 (May-27)</t>
  </si>
  <si>
    <t xml:space="preserve">Q_O_CI5_old</t>
  </si>
  <si>
    <t xml:space="preserve">AIBQ prior: OpenAI CI-5 (May-27)</t>
  </si>
  <si>
    <t xml:space="preserve">Q_A_CI_canon</t>
  </si>
  <si>
    <t xml:space="preserve">AIBQ prior: Anthropic CI canonical (after the un-decomposed SpaceX revision)</t>
  </si>
  <si>
    <t xml:space="preserve">AIBQ_OLD_A</t>
  </si>
  <si>
    <t xml:space="preserve">AIBQ prior: Anthropic composite (May-27, canonical)</t>
  </si>
  <si>
    <t xml:space="preserve">AIBQ_OLD_O</t>
  </si>
  <si>
    <t xml:space="preserve">AIBQ prior: OpenAI composite (May-27, canonical)</t>
  </si>
  <si>
    <t xml:space="preserve">Q_A_CE1_new</t>
  </si>
  <si>
    <t xml:space="preserve">AIBQ re-run: Anthropic CE-1 (Sep-9)</t>
  </si>
  <si>
    <t xml:space="preserve">aibq-delta.md sections 1-4 · derived (AJ on rubric v3.0) · T4 · 2026-09-09 · Analyst re-run on the Sep-9 ledger; rubric bands in 11_AIBQ</t>
  </si>
  <si>
    <t xml:space="preserve">Analyst re-run on the Sep-9 ledger; rubric bands in 11_AIBQ</t>
  </si>
  <si>
    <t xml:space="preserve">derived (AJ on rubric v3.0)</t>
  </si>
  <si>
    <t xml:space="preserve">aibq-delta.md sections 1-4</t>
  </si>
  <si>
    <t xml:space="preserve">Q_A_CE2_new</t>
  </si>
  <si>
    <t xml:space="preserve">AIBQ re-run: Anthropic CE-2 (Sep-9)</t>
  </si>
  <si>
    <t xml:space="preserve">Q_A_CE3_new</t>
  </si>
  <si>
    <t xml:space="preserve">AIBQ re-run: Anthropic CE-3 (Sep-9)</t>
  </si>
  <si>
    <t xml:space="preserve">Q_A_CE4_dnc</t>
  </si>
  <si>
    <t xml:space="preserve">AIBQ re-run: Anthropic CE-4 (Sep-9), facility does NOT close (default)</t>
  </si>
  <si>
    <t xml:space="preserve">Q_A_CE4_closes</t>
  </si>
  <si>
    <t xml:space="preserve">AIBQ re-run: Anthropic CE-4 (Sep-9), facility closes</t>
  </si>
  <si>
    <t xml:space="preserve">Q_A_CI1_new</t>
  </si>
  <si>
    <t xml:space="preserve">AIBQ re-run: Anthropic CI-1 (Sep-9)</t>
  </si>
  <si>
    <t xml:space="preserve">Q_A_CI2_new</t>
  </si>
  <si>
    <t xml:space="preserve">AIBQ re-run: Anthropic CI-2 (Sep-9)</t>
  </si>
  <si>
    <t xml:space="preserve">Q_A_CI3_new</t>
  </si>
  <si>
    <t xml:space="preserve">AIBQ re-run: Anthropic CI-3 (Sep-9)</t>
  </si>
  <si>
    <t xml:space="preserve">Q_A_CI4_new</t>
  </si>
  <si>
    <t xml:space="preserve">AIBQ re-run: Anthropic CI-4 (Sep-9)</t>
  </si>
  <si>
    <t xml:space="preserve">Q_A_CI5_new</t>
  </si>
  <si>
    <t xml:space="preserve">AIBQ re-run: Anthropic CI-5 (Sep-9)</t>
  </si>
  <si>
    <t xml:space="preserve">Q_O_CE1_net</t>
  </si>
  <si>
    <t xml:space="preserve">AIBQ re-run: OpenAI CE-1 (Sep-9), NET basis</t>
  </si>
  <si>
    <t xml:space="preserve">Q_O_CE1_gross</t>
  </si>
  <si>
    <t xml:space="preserve">AIBQ re-run: OpenAI CE-1 (Sep-9), GROSS case (C-16)</t>
  </si>
  <si>
    <t xml:space="preserve">Q_O_CE2_new</t>
  </si>
  <si>
    <t xml:space="preserve">AIBQ re-run: OpenAI CE-2 (Sep-9)</t>
  </si>
  <si>
    <t xml:space="preserve">Q_O_CE3_new</t>
  </si>
  <si>
    <t xml:space="preserve">AIBQ re-run: OpenAI CE-3 (Sep-9)</t>
  </si>
  <si>
    <t xml:space="preserve">Q_O_CE4_new</t>
  </si>
  <si>
    <t xml:space="preserve">AIBQ re-run: OpenAI CE-4 (Sep-9)</t>
  </si>
  <si>
    <t xml:space="preserve">Q_O_CI1_new</t>
  </si>
  <si>
    <t xml:space="preserve">AIBQ re-run: OpenAI CI-1 (Sep-9)</t>
  </si>
  <si>
    <t xml:space="preserve">Q_O_CI2_new</t>
  </si>
  <si>
    <t xml:space="preserve">AIBQ re-run: OpenAI CI-2 (Sep-9)</t>
  </si>
  <si>
    <t xml:space="preserve">Q_O_CI3_new</t>
  </si>
  <si>
    <t xml:space="preserve">AIBQ re-run: OpenAI CI-3 (Sep-9)</t>
  </si>
  <si>
    <t xml:space="preserve">Q_O_CI4_new</t>
  </si>
  <si>
    <t xml:space="preserve">AIBQ re-run: OpenAI CI-4 (Sep-9)</t>
  </si>
  <si>
    <t xml:space="preserve">Q_O_CI5_new</t>
  </si>
  <si>
    <t xml:space="preserve">AIBQ re-run: OpenAI CI-5 (Sep-9)</t>
  </si>
  <si>
    <t xml:space="preserve">EI_growth</t>
  </si>
  <si>
    <t xml:space="preserve">Efficiency Index input: min(growth/100, 1.0), both labs</t>
  </si>
  <si>
    <t xml:space="preserve">aibq-delta.md section 1, 3 · derived · T4 · 2026-09-09 · growth &gt;100% capped at 1.0</t>
  </si>
  <si>
    <t xml:space="preserve">growth &gt;100% capped at 1.0</t>
  </si>
  <si>
    <t xml:space="preserve">aibq-delta.md section 1, 3</t>
  </si>
  <si>
    <t xml:space="preserve">EI_fcf</t>
  </si>
  <si>
    <t xml:space="preserve">Efficiency Index input: min(FCF/Rev, 0.30), both labs (no TTM FCF+; Ruling 3)</t>
  </si>
  <si>
    <t xml:space="preserve">aibq-delta.md section 1 · derived · T4 · 2026-09-09 · unswept</t>
  </si>
  <si>
    <t xml:space="preserve">unswept</t>
  </si>
  <si>
    <t xml:space="preserve">aibq-delta.md section 1</t>
  </si>
  <si>
    <t xml:space="preserve">EI_gm_A</t>
  </si>
  <si>
    <t xml:space="preserve">Efficiency Index input: Anthropic GM (lower edge of 50-65% net basis)</t>
  </si>
  <si>
    <t xml:space="preserve">aibq-delta.md section 1 · derived · T4 · 2026-09-09 · rubric input</t>
  </si>
  <si>
    <t xml:space="preserve">rubric input</t>
  </si>
  <si>
    <t xml:space="preserve">EI_gm_O</t>
  </si>
  <si>
    <t xml:space="preserve">Efficiency Index input: OpenAI GM</t>
  </si>
  <si>
    <t xml:space="preserve">L-083 · estimated · T3 · 2025 · Sacra 33%</t>
  </si>
  <si>
    <t xml:space="preserve">Sacra 33%</t>
  </si>
  <si>
    <t xml:space="preserve">EI_w1</t>
  </si>
  <si>
    <t xml:space="preserve">Efficiency Index weight on growth</t>
  </si>
  <si>
    <t xml:space="preserve">rubric v3.0 (S5) · recalled · T4 · 2026-05-26 · Index = min(growth/100,1)*0.4 + min(FCF/Rev,0.3)*0.3 + GM*0.3</t>
  </si>
  <si>
    <t xml:space="preserve">Index = min(growth/100,1)*0.4 + min(FCF/Rev,0.3)*0.3 + GM*0.3</t>
  </si>
  <si>
    <t xml:space="preserve">rubric v3.0 (S5)</t>
  </si>
  <si>
    <t xml:space="preserve">EI_w2</t>
  </si>
  <si>
    <t xml:space="preserve">Efficiency Index weight on FCF</t>
  </si>
  <si>
    <t xml:space="preserve">EI_w3</t>
  </si>
  <si>
    <t xml:space="preserve">Efficiency Index weight on GM</t>
  </si>
  <si>
    <t xml:space="preserve">Q_flag</t>
  </si>
  <si>
    <t xml:space="preserve">AIBQ flag threshold: sub-score delta at or above this is flagged (composite threshold 0.1)</t>
  </si>
  <si>
    <t xml:space="preserve">rubric v3.0 · recalled · T4 · 2026-05-26 · flag rule (aibq-delta.md)</t>
  </si>
  <si>
    <t xml:space="preserve">flag rule (aibq-delta.md)</t>
  </si>
  <si>
    <t xml:space="preserve">rubric v3.0</t>
  </si>
  <si>
    <t xml:space="preserve">BASE RATES (B01-B03) AND IPO STATUS (I01)</t>
  </si>
  <si>
    <t xml:space="preserve">B01_priv</t>
  </si>
  <si>
    <t xml:space="preserve">Growth endurance, private cloud companies (next year's growth = 0.7 x this year's)</t>
  </si>
  <si>
    <t xml:space="preserve">L-161 · estimated · T3 · 2021-09-21 · Bessemer; SaaS dataset, not consumption-billed labs</t>
  </si>
  <si>
    <t xml:space="preserve">2021-09-21</t>
  </si>
  <si>
    <t xml:space="preserve">Bessemer; SaaS dataset, not consumption-billed labs</t>
  </si>
  <si>
    <t xml:space="preserve">L-161</t>
  </si>
  <si>
    <t xml:space="preserve">00 (2029E-2030E tails), 13</t>
  </si>
  <si>
    <t xml:space="preserve">B01_pub</t>
  </si>
  <si>
    <t xml:space="preserve">Growth endurance, public cloud companies</t>
  </si>
  <si>
    <t xml:space="preserve">L-161 · estimated · T3 · 2021-09-21 · Bessemer; SaaS dataset</t>
  </si>
  <si>
    <t xml:space="preserve">Bessemer; SaaS dataset</t>
  </si>
  <si>
    <t xml:space="preserve">00, 13</t>
  </si>
  <si>
    <t xml:space="preserve">B02_2014</t>
  </si>
  <si>
    <t xml:space="preserve">AWS operating margin FY2014</t>
  </si>
  <si>
    <t xml:space="preserve">L-162 · confirmed · T1 · FY2014 · Amazon 10-K segment tables; OPERATING margin, not gross margin</t>
  </si>
  <si>
    <t xml:space="preserve">FY2014</t>
  </si>
  <si>
    <t xml:space="preserve">Amazon 10-K segment tables; OPERATING margin, not gross margin</t>
  </si>
  <si>
    <t xml:space="preserve">L-162</t>
  </si>
  <si>
    <t xml:space="preserve">B02_2015</t>
  </si>
  <si>
    <t xml:space="preserve">AWS operating margin FY2015</t>
  </si>
  <si>
    <t xml:space="preserve">L-162 · confirmed · T1 · FY2015 · Amazon 10-K segment tables; OPERATING margin, not gross margin</t>
  </si>
  <si>
    <t xml:space="preserve">FY2015</t>
  </si>
  <si>
    <t xml:space="preserve">B02_2016</t>
  </si>
  <si>
    <t xml:space="preserve">AWS operating margin FY2016</t>
  </si>
  <si>
    <t xml:space="preserve">L-162 · confirmed · T1 · FY2016 · Amazon 10-K segment tables; OPERATING margin, not gross margin</t>
  </si>
  <si>
    <t xml:space="preserve">FY2016</t>
  </si>
  <si>
    <t xml:space="preserve">B02_2017</t>
  </si>
  <si>
    <t xml:space="preserve">AWS operating margin FY2017</t>
  </si>
  <si>
    <t xml:space="preserve">L-162 · confirmed · T1 · FY2017 · Amazon 10-K segment tables; OPERATING margin, not gross margin</t>
  </si>
  <si>
    <t xml:space="preserve">FY2017</t>
  </si>
  <si>
    <t xml:space="preserve">B02_2018</t>
  </si>
  <si>
    <t xml:space="preserve">AWS operating margin FY2018</t>
  </si>
  <si>
    <t xml:space="preserve">L-162 · confirmed · T1 · FY2018 · Amazon 10-K segment tables; OPERATING margin, not gross margin</t>
  </si>
  <si>
    <t xml:space="preserve">FY2018</t>
  </si>
  <si>
    <t xml:space="preserve">B02_2019</t>
  </si>
  <si>
    <t xml:space="preserve">AWS operating margin FY2019</t>
  </si>
  <si>
    <t xml:space="preserve">L-162 · confirmed · T1 · FY2019 · Amazon 10-K segment tables; OPERATING margin, not gross margin</t>
  </si>
  <si>
    <t xml:space="preserve">FY2019</t>
  </si>
  <si>
    <t xml:space="preserve">B02_2020</t>
  </si>
  <si>
    <t xml:space="preserve">AWS operating margin FY2020</t>
  </si>
  <si>
    <t xml:space="preserve">L-162 · confirmed · T1 · FY2020 · Amazon 10-K segment tables; OPERATING margin, not gross margin</t>
  </si>
  <si>
    <t xml:space="preserve">FY2020</t>
  </si>
  <si>
    <t xml:space="preserve">B02_2021</t>
  </si>
  <si>
    <t xml:space="preserve">AWS operating margin FY2021</t>
  </si>
  <si>
    <t xml:space="preserve">L-162 · confirmed · T1 · FY2021 · Amazon 10-K segment tables; OPERATING margin, not gross margin</t>
  </si>
  <si>
    <t xml:space="preserve">FY2021</t>
  </si>
  <si>
    <t xml:space="preserve">B02_2022</t>
  </si>
  <si>
    <t xml:space="preserve">AWS operating margin FY2022</t>
  </si>
  <si>
    <t xml:space="preserve">L-162 · confirmed · T1 · FY2022 · Amazon 10-K segment tables; OPERATING margin, not gross margin</t>
  </si>
  <si>
    <t xml:space="preserve">FY2022</t>
  </si>
  <si>
    <t xml:space="preserve">B02_2023</t>
  </si>
  <si>
    <t xml:space="preserve">AWS operating margin FY2023</t>
  </si>
  <si>
    <t xml:space="preserve">L-162 · confirmed · T1 · FY2023 · Amazon 10-K segment tables; OPERATING margin, not gross margin</t>
  </si>
  <si>
    <t xml:space="preserve">FY2023</t>
  </si>
  <si>
    <t xml:space="preserve">B02_2024</t>
  </si>
  <si>
    <t xml:space="preserve">AWS operating margin FY2024</t>
  </si>
  <si>
    <t xml:space="preserve">L-162 · confirmed · T1 · FY2024 · Amazon 10-K segment tables; OPERATING margin, not gross margin</t>
  </si>
  <si>
    <t xml:space="preserve">B02_2025</t>
  </si>
  <si>
    <t xml:space="preserve">AWS operating margin FY2025</t>
  </si>
  <si>
    <t xml:space="preserve">L-162 · confirmed · T1 · FY2025 · Amazon 10-K segment tables; OPERATING margin, not gross margin</t>
  </si>
  <si>
    <t xml:space="preserve">B03_stepup</t>
  </si>
  <si>
    <t xml:space="preserve">IPO colour: median step-up at listing (Q2-2026)</t>
  </si>
  <si>
    <t xml:space="preserve">L-163 · could-not-verify · T2 (colour) · 2026-08-10 · PB Q2-2026 US VC Valuations</t>
  </si>
  <si>
    <t xml:space="preserve">PB Q2-2026 US VC Valuations</t>
  </si>
  <si>
    <t xml:space="preserve">T2 (colour)</t>
  </si>
  <si>
    <t xml:space="preserve">L-163</t>
  </si>
  <si>
    <t xml:space="preserve">B03_cerebras</t>
  </si>
  <si>
    <t xml:space="preserve">IPO colour: Cerebras cancel -&gt; refile -&gt; price (~months)</t>
  </si>
  <si>
    <t xml:space="preserve">L-163 · could-not-verify · T2 (colour) · 2026-08-10 · one documented frontier-adjacent case</t>
  </si>
  <si>
    <t xml:space="preserve">one documented frontier-adjacent case</t>
  </si>
  <si>
    <t xml:space="preserve">B03_status</t>
  </si>
  <si>
    <t xml:space="preserve">IPO timing base rate</t>
  </si>
  <si>
    <t xml:space="preserve">L-163 · could-not-verify · T2 (colour) · 2026-08-10 · status</t>
  </si>
  <si>
    <t xml:space="preserve">no filed-to-priced or withdrawal statistic available (PB none; Renaissance paywall; SEC counts only): analyst judgment</t>
  </si>
  <si>
    <t xml:space="preserve">I01_edgar</t>
  </si>
  <si>
    <t xml:space="preserve">Public S-1 status, both labs (EDGAR)</t>
  </si>
  <si>
    <t xml:space="preserve">L-001, L-002 · confirmed · T1 · 2026-09-09 · EDGAR full-text and company browse</t>
  </si>
  <si>
    <t xml:space="preserve">no public S-1 for either as of 2026-09-09</t>
  </si>
  <si>
    <t xml:space="preserve">EDGAR full-text and company browse</t>
  </si>
  <si>
    <t xml:space="preserve">L-001, L-002</t>
  </si>
  <si>
    <t xml:space="preserve">08, 12</t>
  </si>
  <si>
    <t xml:space="preserve">I01_a_conf</t>
  </si>
  <si>
    <t xml:space="preserve">Anthropic confidential S-1 submission</t>
  </si>
  <si>
    <t xml:space="preserve">L-039 · confirmed · T1 · 2026-06-01 · company statement</t>
  </si>
  <si>
    <t xml:space="preserve">2026-06-01</t>
  </si>
  <si>
    <t xml:space="preserve">L-039</t>
  </si>
  <si>
    <t xml:space="preserve">I01_a_exp</t>
  </si>
  <si>
    <t xml:space="preserve">Anthropic expected IPO window (PB)</t>
  </si>
  <si>
    <t xml:space="preserve">L-003 · confirmed · T2 · 2026-09-04 · PB financing note</t>
  </si>
  <si>
    <t xml:space="preserve">October 2026</t>
  </si>
  <si>
    <t xml:space="preserve">2026-09-04</t>
  </si>
  <si>
    <t xml:space="preserve">PB financing note</t>
  </si>
  <si>
    <t xml:space="preserve">L-003</t>
  </si>
  <si>
    <t xml:space="preserve">I01_a_press</t>
  </si>
  <si>
    <t xml:space="preserve">Anthropic reported timetable (press)</t>
  </si>
  <si>
    <t xml:space="preserve">L-040 · estimated · T3 · 2026-09-07 · press</t>
  </si>
  <si>
    <t xml:space="preserve">mid-October 2026 reported (Forbes headline); late Sep / early Oct (The Information)</t>
  </si>
  <si>
    <t xml:space="preserve">2026-09-07</t>
  </si>
  <si>
    <t xml:space="preserve">L-040</t>
  </si>
  <si>
    <t xml:space="preserve">I01_o_conf</t>
  </si>
  <si>
    <t xml:space="preserve">OpenAI confidential S-1 submission</t>
  </si>
  <si>
    <t xml:space="preserve">L-004 · confirmed · T2 · 2026-07-09 · PB financing note</t>
  </si>
  <si>
    <t xml:space="preserve">2026-06-08</t>
  </si>
  <si>
    <t xml:space="preserve">2026-07-09</t>
  </si>
  <si>
    <t xml:space="preserve">L-004</t>
  </si>
  <si>
    <t xml:space="preserve">I01_o_cfo</t>
  </si>
  <si>
    <t xml:space="preserve">OpenAI IPO timing (CFO to employees)</t>
  </si>
  <si>
    <t xml:space="preserve">L-068 · confirmed · T2 · 2026-08-19 · CNBC</t>
  </si>
  <si>
    <t xml:space="preserve">'will be a public company in 2027', possibly sooner</t>
  </si>
  <si>
    <t xml:space="preserve">CNBC</t>
  </si>
  <si>
    <t xml:space="preserve">L-068</t>
  </si>
  <si>
    <t xml:space="preserve">I01_o_pb</t>
  </si>
  <si>
    <t xml:space="preserve">OpenAI expected IPO window (PB, stale)</t>
  </si>
  <si>
    <t xml:space="preserve">L-004 · estimated · T3 · 2026-07-09 · PB financing note, stale</t>
  </si>
  <si>
    <t xml:space="preserve">September 2026 (note dated 2026-07-09; retired by L-002 and the 15-day rule)</t>
  </si>
  <si>
    <t xml:space="preserve">PB financing note, stale</t>
  </si>
  <si>
    <t xml:space="preserve">WORKBOOK B MIRROR (SW_SSI branches)</t>
  </si>
  <si>
    <t xml:space="preserve">SSI_pb</t>
  </si>
  <si>
    <t xml:space="preserve">SSI total raised (PB)</t>
  </si>
  <si>
    <t xml:space="preserve">L-097 · confirmed · T2 · 2026-07-28 · PB profile; C-08</t>
  </si>
  <si>
    <t xml:space="preserve">PB profile; C-08</t>
  </si>
  <si>
    <t xml:space="preserve">L-097</t>
  </si>
  <si>
    <t xml:space="preserve">12 (SW_SSI), B/08_Reference</t>
  </si>
  <si>
    <t xml:space="preserve">SSI_press</t>
  </si>
  <si>
    <t xml:space="preserve">SSI total raised (press tallies)</t>
  </si>
  <si>
    <t xml:space="preserve">L-097, C-08 · estimated · T2/T4 · 2026-07-28 · press; C-08</t>
  </si>
  <si>
    <t xml:space="preserve">press; C-08</t>
  </si>
  <si>
    <t xml:space="preserve">L-097, C-08</t>
  </si>
  <si>
    <t xml:space="preserve">End of 01_Data.</t>
  </si>
  <si>
    <t xml:space="preserve">02_Revenue: run-rate ladders (dated), recognized quarterly and annual revenue, the PB forward projection block (Ruling 4, never current), the gross-to-net restatement (E5), the FY2026E integrations (check block), annual revenue paths 2023A-2030E.</t>
  </si>
  <si>
    <t xml:space="preserve">Date / period</t>
  </si>
  <si>
    <t xml:space="preserve">Basis tag</t>
  </si>
  <si>
    <t xml:space="preserve">RUN-RATE LADDERS (DATED) AND RECOGNIZED REVENUE (Exhibit E4; A5:K31)</t>
  </si>
  <si>
    <t xml:space="preserve">L-139 · confirmed · T1 · 2025-12 · GROSS run-rate</t>
  </si>
  <si>
    <t xml:space="preserve">GROSS</t>
  </si>
  <si>
    <t xml:space="preserve">Anthropic run-rate, April 6 2026</t>
  </si>
  <si>
    <t xml:space="preserve">L-139 · confirmed · T1 · 2026-04-06 · GROSS run-rate</t>
  </si>
  <si>
    <t xml:space="preserve">Anthropic run-rate, early May 2026</t>
  </si>
  <si>
    <t xml:space="preserve">L-037 · confirmed · T1 · 2026-05 · GROSS run-rate</t>
  </si>
  <si>
    <t xml:space="preserve">Anthropic run-rate, end-July 2026 (LB01)</t>
  </si>
  <si>
    <t xml:space="preserve">L-032 · confirmed · T2 · 2026-07-31 · GROSS run-rate</t>
  </si>
  <si>
    <t xml:space="preserve">   Anthropic run-rate multiple, end-2025 to end-July</t>
  </si>
  <si>
    <t xml:space="preserve">OpenAI run-rate, end-2025 ('&gt;20,000')</t>
  </si>
  <si>
    <t xml:space="preserve">L-065 · confirmed · T2 · 2025-12 · basis unstated</t>
  </si>
  <si>
    <t xml:space="preserve">unstated (NET assumed)</t>
  </si>
  <si>
    <t xml:space="preserve">OpenAI run-rate, March 2026 (~2,000 monthly x 12)</t>
  </si>
  <si>
    <t xml:space="preserve">L-063 · confirmed · T2 · 2026-03 · monthly revenue at the March round</t>
  </si>
  <si>
    <t xml:space="preserve">OpenAI run-rate, July 2026 (LB02; floor '&gt;40')</t>
  </si>
  <si>
    <t xml:space="preserve">L-065 · confirmed · T2 · 2026-07 · basis unstated (SW_OAI_BASIS)</t>
  </si>
  <si>
    <t xml:space="preserve">unstated (NET assumed; SW_OAI_BASIS)</t>
  </si>
  <si>
    <t xml:space="preserve">OpenAI run-rate growth quarter-to-date (CFO, Aug-19; colour)</t>
  </si>
  <si>
    <t xml:space="preserve">L-069 · confirmed · T2 · 2026-08-19 · all-hands relay</t>
  </si>
  <si>
    <t xml:space="preserve">   OpenAI run-rate multiple, end-2025 to July</t>
  </si>
  <si>
    <t xml:space="preserve">L-151 · confirmed · T2 · Q2-2025 · recognized</t>
  </si>
  <si>
    <t xml:space="preserve">GROSS presumed</t>
  </si>
  <si>
    <t xml:space="preserve">L-151 · confirmed · T2 · Q1-2026 · recognized, GROSS presumed</t>
  </si>
  <si>
    <t xml:space="preserve">Anthropic Q2-2026 revenue, preliminary (LB05a)</t>
  </si>
  <si>
    <t xml:space="preserve">   Anthropic Q2 / Q1 (check 2.45x)</t>
  </si>
  <si>
    <t xml:space="preserve">NET presumed</t>
  </si>
  <si>
    <t xml:space="preserve">OpenAI Q2-2026 revenue (LB06a)</t>
  </si>
  <si>
    <t xml:space="preserve">   OpenAI Q2 / Q1 - 1 (+18% per WSJ)</t>
  </si>
  <si>
    <t xml:space="preserve">basis unstated</t>
  </si>
  <si>
    <t xml:space="preserve">Anthropic FY2025 recognized revenue (SW_A_FY25; C-03)</t>
  </si>
  <si>
    <t xml:space="preserve">L-010 / L-120 · estimated / recalled · T2 / T4 · FY2025 · PB field = exit run-rate vs implied 4,500-6,000</t>
  </si>
  <si>
    <t xml:space="preserve">switch value visible (C-03)</t>
  </si>
  <si>
    <t xml:space="preserve">PB FORWARD PROJECTION (Ruling 4), never current: PB TTM fields are recognized-estimates (2022-2025) and projections (2026-2027); no cell labelled current reads them</t>
  </si>
  <si>
    <t xml:space="preserve">PB series (year)</t>
  </si>
  <si>
    <t xml:space="preserve">L-010, L-009 (Anthropic); L-025, L-024 (OpenAI) · estimated · T2 · pulled 2026-09-09</t>
  </si>
  <si>
    <t xml:space="preserve">2022</t>
  </si>
  <si>
    <t xml:space="preserve">2023</t>
  </si>
  <si>
    <t xml:space="preserve">2024</t>
  </si>
  <si>
    <t xml:space="preserve">2027</t>
  </si>
  <si>
    <t xml:space="preserve">Anthropic PB revenue series</t>
  </si>
  <si>
    <t xml:space="preserve">2026-2027 fields are FORWARD projections</t>
  </si>
  <si>
    <t xml:space="preserve">OpenAI PB revenue series (2025 = run-rate vintage, C-06; 2026 = projection)</t>
  </si>
  <si>
    <t xml:space="preserve">PB NI rows (T4) not carried</t>
  </si>
  <si>
    <t xml:space="preserve">GROSS TO NET RESTATEMENT AT BOTH HAIRCUTS; OPENAI BASIS SWITCH (Exhibit E5; A35:H50). Every net figure shows its haircut in column E (Ruling 5).</t>
  </si>
  <si>
    <t xml:space="preserve">Source / basis</t>
  </si>
  <si>
    <t xml:space="preserve">Haircut / basis visible</t>
  </si>
  <si>
    <t xml:space="preserve">Anthropic run-rate GROSS (LB01)</t>
  </si>
  <si>
    <t xml:space="preserve">L-032 / L-065 / L-126 / L-033 / L-066 (see 01_Data rows)</t>
  </si>
  <si>
    <t xml:space="preserve">Haircut in use (SW_HAIRCUT; C-13)</t>
  </si>
  <si>
    <t xml:space="preserve">Anthropic net run-rate at SW_HAIRCUT</t>
  </si>
  <si>
    <t xml:space="preserve">Anthropic net run-rate at 39.75% (R01, Ruling 5)</t>
  </si>
  <si>
    <t xml:space="preserve">Anthropic net run-rate at 27% (R02, C-13 external)</t>
  </si>
  <si>
    <t xml:space="preserve">Anthropic net run-rate at the OTHER haircut (the one SW_HAIRCUT does not select)</t>
  </si>
  <si>
    <t xml:space="preserve">OpenAI run-rate as reported (LB02; basis unstated)</t>
  </si>
  <si>
    <t xml:space="preserve">unstated</t>
  </si>
  <si>
    <t xml:space="preserve">OpenAI basis switch (SW_OAI_BASIS; C-16)</t>
  </si>
  <si>
    <t xml:space="preserve">OpenAI net run-rate at SW_OAI_BASIS (GROSS case applies R03 = 20%, T4, flagged)</t>
  </si>
  <si>
    <t xml:space="preserve">OpenAI net run-rate, NET case (LB02 as reported)</t>
  </si>
  <si>
    <t xml:space="preserve">0% (NET presumed)</t>
  </si>
  <si>
    <t xml:space="preserve">OpenAI net run-rate, GROSS case (LB02 x (1 - R03); R03 is T4 and NEVER printed as a fact)</t>
  </si>
  <si>
    <t xml:space="preserve">T4 (L-052 notes)</t>
  </si>
  <si>
    <t xml:space="preserve">Anthropic Q2-2026 revenue GROSS (LB05a)</t>
  </si>
  <si>
    <t xml:space="preserve">Anthropic Q2-2026 net at 39.75%</t>
  </si>
  <si>
    <t xml:space="preserve">Anthropic Q2-2026 net at 27%</t>
  </si>
  <si>
    <t xml:space="preserve">OpenAI Q2-2026 revenue (LB06a; NET presumed)</t>
  </si>
  <si>
    <t xml:space="preserve">Anthropic Q2 net (39.75%) / OpenAI Q2; at 27% in column F</t>
  </si>
  <si>
    <t xml:space="preserve">at 27%</t>
  </si>
  <si>
    <t xml:space="preserve">FY2026E INTEGRATION, ANTHROPIC: linear monthly ramp from the July run-rate (LB01/12) to the YE expectation; Q3 = Jul+Aug+Sep; Q4 = Oct+Nov+Dec; FY2026E = Q1 (A03) + Q2 (LB05a) + Q3 + Q4</t>
  </si>
  <si>
    <t xml:space="preserve">Case</t>
  </si>
  <si>
    <t xml:space="preserve">YE run-rate</t>
  </si>
  <si>
    <t xml:space="preserve">Source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</si>
  <si>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</si>
  <si>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</si>
  <si>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</si>
  <si>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</si>
  <si>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</si>
  <si>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</si>
  <si>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Q3</t>
  </si>
  <si>
    <t xml:space="preserve">Q4</t>
  </si>
  <si>
    <t xml:space="preserve">H1 (A03 + LB05a)</t>
  </si>
  <si>
    <t xml:space="preserve">Monthly step</t>
  </si>
  <si>
    <t xml:space="preserve">Check vs spec</t>
  </si>
  <si>
    <t xml:space="preserve">Live scenario (SW_SCEN via YE26 driver)</t>
  </si>
  <si>
    <t xml:space="preserve">00_Assumptions YE26</t>
  </si>
  <si>
    <t xml:space="preserve">Check: YE 100,000 (L-035 low)</t>
  </si>
  <si>
    <t xml:space="preserve">L-035 · estimated · T3</t>
  </si>
  <si>
    <t xml:space="preserve">Check: YE 120,000 (L-035 high)</t>
  </si>
  <si>
    <t xml:space="preserve">Check: flat from July (LB01)</t>
  </si>
  <si>
    <t xml:space="preserve">L-032 · confirmed · T2</t>
  </si>
  <si>
    <t xml:space="preserve">   H1-2026 check (16,330) and Q2/Q1 (2.45x)</t>
  </si>
  <si>
    <t xml:space="preserve">   H1-2026 on the '&gt;11,500' print (L-151): A03 + LB05a_low</t>
  </si>
  <si>
    <t xml:space="preserve">   Q3 / Q4 in the live scenario as a share of FY2026E</t>
  </si>
  <si>
    <t xml:space="preserve">FY2026E INTEGRATION, OPENAI: monthly from LB02/12 in July, compounding at the H2 monthly growth driver; FY2026E = Q1 + Q2 (L-066) + Q3 + Q4</t>
  </si>
  <si>
    <t xml:space="preserve">Monthly growth</t>
  </si>
  <si>
    <t xml:space="preserve">H1 (L-066)</t>
  </si>
  <si>
    <t xml:space="preserve">Live scenario (SW_SCEN via OAIG driver)</t>
  </si>
  <si>
    <t xml:space="preserve">L-065 (T2) July &gt;40,000; growth AJ</t>
  </si>
  <si>
    <t xml:space="preserve">Check: 0% (Bear)</t>
  </si>
  <si>
    <t xml:space="preserve">Check: 10% (Base)</t>
  </si>
  <si>
    <t xml:space="preserve">Check: 20% (Bull)</t>
  </si>
  <si>
    <t xml:space="preserve">ANNUAL REVENUE PATHS 2023A-2030E (feeds 03_Costs, 04_PL, 09_Obligations, 07_Sensitivity). 2029E-2030E Anthropic = Bessemer endurance on the 2028 growth rate (B01, L-161).</t>
  </si>
  <si>
    <t xml:space="preserve">Anthropic revenue GROSS (2023 HOLE: PB 100 is a recognized-estimate in the projection block, not carried as an actual)</t>
  </si>
  <si>
    <t xml:space="preserve">L-012 (2024) / SW_A_FY25 (2025) / FY2026E integration / AJ 2027-2028 / B01 tails</t>
  </si>
  <si>
    <t xml:space="preserve">HOLE</t>
  </si>
  <si>
    <t xml:space="preserve">   growth YoY</t>
  </si>
  <si>
    <t xml:space="preserve">   Bessemer tails by scenario (check block; the live row above uses the SW_SCEN scenario)</t>
  </si>
  <si>
    <t xml:space="preserve">   Bear: 2027 / 2028 / growth 2028 / 2029 / 2030</t>
  </si>
  <si>
    <t xml:space="preserve">AJ 2027-2028; B01 endurance on the 2028 growth rate</t>
  </si>
  <si>
    <t xml:space="preserve">   Base: 2027 / 2028 / growth 2028 / 2029 / 2030</t>
  </si>
  <si>
    <t xml:space="preserve">   Bull: 2027 / 2028 / growth 2028 / 2029 / 2030</t>
  </si>
  <si>
    <t xml:space="preserve">Anthropic revenue NET at SW_HAIRCUT (haircut visible in C)</t>
  </si>
  <si>
    <t xml:space="preserve">OpenAI revenue (NET presumed): 2025 = O01; 2026 = FY2026E integration; 2027E+ compound at OAICAGR</t>
  </si>
  <si>
    <t xml:space="preserve">L-063 (2025) / L-066 + L-065 (2026) / AJ CAGR 40-100%</t>
  </si>
  <si>
    <t xml:space="preserve">Ruling 4: no PB TTM field feeds any cell labelled current; the projection block (rows 28-31) is its only home. Ruling 5: every net figure carries its haircut in the adjacent cell.</t>
  </si>
  <si>
    <t xml:space="preserve">03_Costs: the 5-Layer stack consumption layers L3 (training), L4 (inference / COGS), L5 (people and other) by year, both companies (E3 A5:K40); L1-L2 annualized links from 09_Obligations; per-run reference, the $50B split and the Q2 GM cross-check grid (E9 A45:K60); unit-economics block.</t>
  </si>
  <si>
    <t xml:space="preserve">CONSUMPTION LAYERS L3-L5 BY YEAR, ANTHROPIC (GROSS basis: L4 also carries cloud-partner payouts) (Exhibit E3; A5:K40)</t>
  </si>
  <si>
    <t xml:space="preserve">Basis / source</t>
  </si>
  <si>
    <t xml:space="preserve">Revenue GROSS (02_Revenue row 71)</t>
  </si>
  <si>
    <t xml:space="preserve">02_Revenue</t>
  </si>
  <si>
    <t xml:space="preserve">Gross margin path (2024-2025 L-119; 2026E+ GMA driver)</t>
  </si>
  <si>
    <t xml:space="preserve">L-119 · recalled · T4 · GROSS-basis margin; 2026E+ AJ</t>
  </si>
  <si>
    <t xml:space="preserve">L4 Inference / COGS = revenue x (1 - GM) (2024: 1,940; 2025: on SW_A_FY25)</t>
  </si>
  <si>
    <t xml:space="preserve">derived; includes partner payouts on the GROSS basis</t>
  </si>
  <si>
    <t xml:space="preserve">L3 Training (annual budget, C-11; 2026-2028 L-125 x factor; 2029-2030 AJ)</t>
  </si>
  <si>
    <t xml:space="preserve">L-125 · recalled · T4 · annual budget (C-11)</t>
  </si>
  <si>
    <t xml:space="preserve">L5 Comp = headcount (SW_A_HC path) x loaded cash comp per head (COMPA)</t>
  </si>
  <si>
    <t xml:space="preserve">L-008 / L-091 (SW_A_HC); L-165 anchors; SBC HOLE</t>
  </si>
  <si>
    <t xml:space="preserve">L5 Copyright cash (Bartz settlement 2026; music demands &gt;3,000 unreserved, not carried)</t>
  </si>
  <si>
    <t xml:space="preserve">L-086 · confirmed · T2 · cash 2026</t>
  </si>
  <si>
    <t xml:space="preserve">L5 Data licensing (AJ; L-113 anchor)</t>
  </si>
  <si>
    <t xml:space="preserve">AJ · L-113 (T1) marquee sources ~50-70 each</t>
  </si>
  <si>
    <t xml:space="preserve">L5 Expert data / labeling (AJ; L-114 anchor)</t>
  </si>
  <si>
    <t xml:space="preserve">AJ · L-114 (T4) 1-3B per year per lab</t>
  </si>
  <si>
    <t xml:space="preserve">L5 Safety / eval (AJ; L-117 anchor)</t>
  </si>
  <si>
    <t xml:space="preserve">AJ · L-117 (CNV, T4) 55-115</t>
  </si>
  <si>
    <t xml:space="preserve">L5 GTM + G&amp;A (HOLE placeholder: % of comp; L-118 workforce mix)</t>
  </si>
  <si>
    <t xml:space="preserve">HOLE · L-118 (T4) mix 35/35/30</t>
  </si>
  <si>
    <t xml:space="preserve">L5 People and everything else, total (2023-2025 HOLE: no ledger opex)</t>
  </si>
  <si>
    <t xml:space="preserve">sum of rows 10-15</t>
  </si>
  <si>
    <t xml:space="preserve">L1 Silicon, annualized priced (09_Obligations row 62)</t>
  </si>
  <si>
    <t xml:space="preserve">09_Obligations (SPV lease)</t>
  </si>
  <si>
    <t xml:space="preserve">L2 Capacity, annualized priced (09_Obligations row 63)</t>
  </si>
  <si>
    <t xml:space="preserve">09_Obligations (AWS, Azure, SpaceX, Nscale, Lambda, Volta, Riot)</t>
  </si>
  <si>
    <t xml:space="preserve">L1 + L2 priced commitments</t>
  </si>
  <si>
    <t xml:space="preserve">Compute envelope = L3 + L4 (COGS + training) at SW_SCEN</t>
  </si>
  <si>
    <t xml:space="preserve">derived; feeds 09_Obligations row 84 (E10 scenario envelope)</t>
  </si>
  <si>
    <t xml:space="preserve">Total consumption L3 + L4 + L5</t>
  </si>
  <si>
    <t xml:space="preserve">Cross-layer check: envelope - priced commitments (before the Google leg and AMD; positive = priced sits inside the envelope)</t>
  </si>
  <si>
    <t xml:space="preserve">cost-stack section 2 cross-layer row</t>
  </si>
  <si>
    <t xml:space="preserve">2026E: priced (L1 3,450 + L2 24,708) sits inside the derived COGS + training envelope (30,000-42,000): consistent. 2027E-2028E: consistent BEFORE the Google leg and AMD; the E10 block on 09_Obligations adds them.</t>
  </si>
  <si>
    <t xml:space="preserve">CONSUMPTION LAYERS L3-L5 BY YEAR, OPENAI (NET revenue basis)</t>
  </si>
  <si>
    <t xml:space="preserve">Revenue NET presumed (02_Revenue row 78)</t>
  </si>
  <si>
    <t xml:space="preserve">COGS as % of revenue (2025 = 1 - 33% GM; 2026 = inference 14,100 / FY2026E, implied; 2027E+ OCOGS driver)</t>
  </si>
  <si>
    <t xml:space="preserve">L-083 (T3); AJ path</t>
  </si>
  <si>
    <t xml:space="preserve">L4 Inference / COGS (2025 total COGS = O01 x (1 - 33%) = 8,777; 2026 = O07 inference 14,100 only, flagged; 2027E+ = revenue x AJ %)</t>
  </si>
  <si>
    <t xml:space="preserve">L-063, L-083 (T3); 2027E+ AJ</t>
  </si>
  <si>
    <t xml:space="preserve">   memo: inference cost 2025 (Sacra) and 2026E</t>
  </si>
  <si>
    <t xml:space="preserve">L-083 · estimated · T3</t>
  </si>
  <si>
    <t xml:space="preserve">L3 Training (annual budget, C-11; 2026-2029 L-125; 2030 AJ)</t>
  </si>
  <si>
    <t xml:space="preserve">L5 Comp = headcount path (4,500 -&gt; 8,000 linear 2026, then +20%/yr) x comp per head (COMPO)</t>
  </si>
  <si>
    <t xml:space="preserve">L-027, L-090; AJ 0.8 / 0.7 / 0.6</t>
  </si>
  <si>
    <t xml:space="preserve">L5 Retention bonuses (~1.5 x ~1,000 over 2 yrs, split 2025-2026)</t>
  </si>
  <si>
    <t xml:space="preserve">L-093 · estimated · T3; L-166 · could-not-verify</t>
  </si>
  <si>
    <t xml:space="preserve">L5 Other opex ex-compute (2027E+: residual so that L5 = OAIOPEX % of revenue; AJ)</t>
  </si>
  <si>
    <t xml:space="preserve">AJ · OAIOPEX (Bear 40 / Base 30 / Bull 20%)</t>
  </si>
  <si>
    <t xml:space="preserve">L5 People and everything else, total (2025 = retention only; comp HOLE)</t>
  </si>
  <si>
    <t xml:space="preserve">sum of rows 32-34</t>
  </si>
  <si>
    <t xml:space="preserve">L1 Silicon, annualized priced (09_Obligations row 66)</t>
  </si>
  <si>
    <t xml:space="preserve">09_Obligations (Cerebras)</t>
  </si>
  <si>
    <t xml:space="preserve">L2 Capacity, annualized priced (09_Obligations row 67)</t>
  </si>
  <si>
    <t xml:space="preserve">09_Obligations (Oracle, AWS, CoreWeave, Azure proxy)</t>
  </si>
  <si>
    <t xml:space="preserve">2027E: priced commitments ~110,000 + training 60,000 (T4; part of the same compute) vs burn plan 57,000-63,000 (L-082): the revenue required to hold burn at ~60,000 is a multiple of the July run-rate (cost-stack section 3).</t>
  </si>
  <si>
    <t xml:space="preserve">TRAINING VS INFERENCE: per-run reference (never summed), the $50B split, the Q2 GM cross-check grid (Exhibit E9; A45:K60)</t>
  </si>
  <si>
    <t xml:space="preserve">Per-run reference (L-115, Epoch AI; final-run amortized compute; basis differs from the annual budgets above, C-11): printed beside, never summed</t>
  </si>
  <si>
    <t xml:space="preserve">Grok 4</t>
  </si>
  <si>
    <t xml:space="preserve">GPT-4.5 pre-train</t>
  </si>
  <si>
    <t xml:space="preserve">GPT-4.5 post-train</t>
  </si>
  <si>
    <t xml:space="preserve">GPT-4</t>
  </si>
  <si>
    <t xml:space="preserve">Gemini Ultra</t>
  </si>
  <si>
    <t xml:space="preserve">Llama 3.1-405B</t>
  </si>
  <si>
    <t xml:space="preserve">growth (x per yr)</t>
  </si>
  <si>
    <t xml:space="preserve">&gt;1,000 by 2027</t>
  </si>
  <si>
    <t xml:space="preserve">Per-run compute cost ($M)</t>
  </si>
  <si>
    <t xml:space="preserve">L-115 · estimated · T3</t>
  </si>
  <si>
    <t xml:space="preserve">Anthropic 2026 training budget 7,000 (L-125) is 14x Grok 4's ~500 final run: the budget aggregates all runs, experiments and post-training (C-11), so the two bases are shown side by side and never summed.</t>
  </si>
  <si>
    <t xml:space="preserve">The $50B split (OpenAI 2026): compute spend 50,000 (LB07a, T2) less training budget 25,000 (L-125, T4) less inference 14,100 (L-083, T3) = unexplained (printed as a check, not allocated)</t>
  </si>
  <si>
    <t xml:space="preserve">the T4 split does not reconcile to the T2 total</t>
  </si>
  <si>
    <t xml:space="preserve">Q2-2026 GM cross-check grid: implied gross margin = (LB05b adjusted operating income + quarterly opex) / Q2 revenue on each basis. LB05b is a non-GAAP adjusted operating income (excludes SBC per relays; definition unpublished, L-151/L-152), so the implied GM is an ADJUSTED GM.</t>
  </si>
  <si>
    <t xml:space="preserve">Quarterly opex (AJ)</t>
  </si>
  <si>
    <t xml:space="preserve">NET-39.75</t>
  </si>
  <si>
    <t xml:space="preserve">NET-27</t>
  </si>
  <si>
    <t xml:space="preserve">Q2 revenue on each basis</t>
  </si>
  <si>
    <t xml:space="preserve">LB05a; R01; R02</t>
  </si>
  <si>
    <t xml:space="preserve">Implied adjusted GM at opex 3,000</t>
  </si>
  <si>
    <t xml:space="preserve">check 31% / 51% at 3,000 gross / net-39.75</t>
  </si>
  <si>
    <t xml:space="preserve">Implied adjusted GM at opex 4,000</t>
  </si>
  <si>
    <t xml:space="preserve">Implied adjusted GM at opex 5,000</t>
  </si>
  <si>
    <t xml:space="preserve">Second cross-check from A19 (T4 compute-cost ratio, display only): 1 - 0.56 = gross-basis GM if compute is the whole of cost of revenue (Q1 in E)</t>
  </si>
  <si>
    <t xml:space="preserve">If partner payouts sat beside compute in cost of revenue: 1 - 0.56 - SW_HAIRCUT (live) / at 39.75% / at 27%</t>
  </si>
  <si>
    <t xml:space="preserve">Required opex ratio at opex 3,000 (opex / Q2 revenue) and the consistency flag</t>
  </si>
  <si>
    <t xml:space="preserve">Ruling 3: LB05b is not FCF and not an operating profit; every label reads 'adjusted'.</t>
  </si>
  <si>
    <t xml:space="preserve">UNIT-ECONOMICS BLOCK: list prices (display); $/token COGS = HOLE (L-116: none disclosed)</t>
  </si>
  <si>
    <t xml:space="preserve">Model</t>
  </si>
  <si>
    <t xml:space="preserve">Input $/MTok</t>
  </si>
  <si>
    <t xml:space="preserve">Output $/MTok</t>
  </si>
  <si>
    <t xml:space="preserve">Fable 5.1</t>
  </si>
  <si>
    <t xml:space="preserve">Opus 5</t>
  </si>
  <si>
    <t xml:space="preserve">Sonnet 5</t>
  </si>
  <si>
    <t xml:space="preserve">Haiku 4.5</t>
  </si>
  <si>
    <t xml:space="preserve">Fast Mode (Opus 5) multiplier / cache read (Fable 5.1)</t>
  </si>
  <si>
    <t xml:space="preserve">$ per token COGS</t>
  </si>
  <si>
    <t xml:space="preserve">L-116: no $/million-token COGS disclosure exists for either lab; Workbook B G20 derives a serving-cost ESTIMATE from throughput (L-164) and GPU-hour rates (L-104, L-105)</t>
  </si>
  <si>
    <t xml:space="preserve">04_PL: P&amp;L rollup 2023A-2030E, both companies; dual view (excl-training / incl-training) built ONLY from ledger rows and AJ inputs; no breakeven-year cells; H1-2026 actuals block (A30:H40).</t>
  </si>
  <si>
    <t xml:space="preserve">ANTHROPIC P&amp;L (GROSS revenue; every net figure shows its haircut in column C)</t>
  </si>
  <si>
    <t xml:space="preserve">Revenue GROSS</t>
  </si>
  <si>
    <t xml:space="preserve">03_Costs row 6</t>
  </si>
  <si>
    <t xml:space="preserve">Revenue NET at SW_HAIRCUT</t>
  </si>
  <si>
    <t xml:space="preserve">COGS (L4)</t>
  </si>
  <si>
    <t xml:space="preserve">03_Costs row 8</t>
  </si>
  <si>
    <t xml:space="preserve">Gross profit</t>
  </si>
  <si>
    <t xml:space="preserve">Gross margin</t>
  </si>
  <si>
    <t xml:space="preserve">Training (L3)</t>
  </si>
  <si>
    <t xml:space="preserve">03_Costs row 9</t>
  </si>
  <si>
    <t xml:space="preserve">Other opex (L5)</t>
  </si>
  <si>
    <t xml:space="preserve">03_Costs row 16</t>
  </si>
  <si>
    <t xml:space="preserve">Operating result EXCL. training = GP - L5</t>
  </si>
  <si>
    <t xml:space="preserve">derived (dual view)</t>
  </si>
  <si>
    <t xml:space="preserve">Operating result INCL. training = GP - L5 - L3</t>
  </si>
  <si>
    <t xml:space="preserve">Net result FY2024A (SW_A_FY24_NI; C-05)</t>
  </si>
  <si>
    <t xml:space="preserve">FY2025 burn (register; display)</t>
  </si>
  <si>
    <t xml:space="preserve">L-120 · recalled · T4</t>
  </si>
  <si>
    <t xml:space="preserve">WSJ Apr-6 dual-P&amp;L breakevens not carried (no ledger row; argument-map AM-32). No breakeven-year cells on this tab.</t>
  </si>
  <si>
    <t xml:space="preserve">C-12 note (2026E): SW_A_2026_LOSS =</t>
  </si>
  <si>
    <t xml:space="preserve">2023A-2025A cells link only to ledger facts (A05, A06 via SW_A_FY25, O01, O02, LB06) and otherwise read HOLE.</t>
  </si>
  <si>
    <t xml:space="preserve">OPENAI P&amp;L (NET revenue presumed; basis switch SW_OAI_BASIS applies to the run-rate rows on 02_Revenue)</t>
  </si>
  <si>
    <t xml:space="preserve">Revenue NET presumed</t>
  </si>
  <si>
    <t xml:space="preserve">03_Costs row 27</t>
  </si>
  <si>
    <t xml:space="preserve">03_Costs row 29</t>
  </si>
  <si>
    <t xml:space="preserve">derived (2025 = 33%, L-083)</t>
  </si>
  <si>
    <t xml:space="preserve">03_Costs row 31</t>
  </si>
  <si>
    <t xml:space="preserve">03_Costs row 35</t>
  </si>
  <si>
    <t xml:space="preserve">H1-2026 ACTUALS BLOCK (Exhibit E9 companion; A30:H40)</t>
  </si>
  <si>
    <t xml:space="preserve">Anthropic</t>
  </si>
  <si>
    <t xml:space="preserve">OpenAI</t>
  </si>
  <si>
    <t xml:space="preserve">Q1-2026 revenue</t>
  </si>
  <si>
    <t xml:space="preserve">L-151 · T2 / L-066 · T2</t>
  </si>
  <si>
    <t xml:space="preserve">recognized; Anthropic GROSS presumed, OpenAI NET presumed</t>
  </si>
  <si>
    <t xml:space="preserve">Q2-2026 revenue</t>
  </si>
  <si>
    <t xml:space="preserve">L-033 · T2 / L-066 · T2</t>
  </si>
  <si>
    <t xml:space="preserve">Anthropic preliminary (11,500-11,600)</t>
  </si>
  <si>
    <t xml:space="preserve">H1-2026 recognized</t>
  </si>
  <si>
    <t xml:space="preserve">Q2 / Q1</t>
  </si>
  <si>
    <t xml:space="preserve">Q2-2026 operating result: Anthropic = ADJUSTED operating income, non-GAAP (LB05b; definition unpublished; excludes SBC per relays); OpenAI = operating loss incl. SBC (LB06b)</t>
  </si>
  <si>
    <t xml:space="preserve">L-034, L-151, L-152 · T2/T3 / L-066 · T2</t>
  </si>
  <si>
    <t xml:space="preserve">sign confirmed for Anthropic; amount is a projection</t>
  </si>
  <si>
    <t xml:space="preserve">Q1-2026 operating result (OpenAI operating loss incl. SBC)</t>
  </si>
  <si>
    <t xml:space="preserve">L-066 · T2</t>
  </si>
  <si>
    <t xml:space="preserve">no Anthropic Q1 result disclosed</t>
  </si>
  <si>
    <t xml:space="preserve">Adjusted operating margin: Anthropic on the 10,900 Reuters base (5.1%) and on 11,600 (in F); OpenAI H1 operating loss / H1 revenue (x)</t>
  </si>
  <si>
    <t xml:space="preserve">L-152 (derived) / L-066</t>
  </si>
  <si>
    <t xml:space="preserve">adjusted margin on 11,600</t>
  </si>
  <si>
    <t xml:space="preserve">OpenAI operating loss QoQ change (Q1 9,300 -&gt; Q2 12,300)</t>
  </si>
  <si>
    <t xml:space="preserve">+32%: 'worsening 10-50%' band (AIBQ CE-3)</t>
  </si>
  <si>
    <t xml:space="preserve">H1-2026 on the '&gt;11,500' print (Anthropic); OpenAI H1 operating loss incl. SBC</t>
  </si>
  <si>
    <t xml:space="preserve">L-151 / L-066</t>
  </si>
  <si>
    <t xml:space="preserve">2025A OpenAI: reported operating loss 20,920 and group loss 60,350 incl. the 41,550 fair-value swing (O02, recalled T3) are displayed on 01_Data and not reconstructed here; 2023A-2024A read HOLE.</t>
  </si>
  <si>
    <t xml:space="preserve">RECONCILIATION (OpenAI 2026E): the derived operating result incl. training (row 29, G) is built from ledger rows only (L4 = inference 14,100 per L-083; L5 = comp + retention); the H1-2026 actual operating loss annualized (E40 x 2) is far larger. The gap is a HOLE (SBC, other compute inside the 50,000 plan, other opex), not allocated:</t>
  </si>
  <si>
    <t xml:space="preserve">derived minus annualized actual (HOLE)</t>
  </si>
  <si>
    <t xml:space="preserve">2025A OpenAI: derived L4 + L5 (8,777 + 750) against the reported operating loss 20,920 (O02) likewise leaves the training and other opex of 2025 as HOLE.</t>
  </si>
  <si>
    <t xml:space="preserve">05_Cash_Fund: capitalization (equity rounds reproduce LB03 / LB04; debt and lease obligations shown separately; identity checks), the CE walk Jul-16 -&gt; Sep-9 equity-only at every basis (E13 A40:H55), burn walks, facilities block.</t>
  </si>
  <si>
    <t xml:space="preserve">CAPITALIZATION (Ruling 1: CE denominators are equity-only; the SPV and project debt are off-balance-sheet obligations, display only)</t>
  </si>
  <si>
    <t xml:space="preserve">Anthropic ($M)</t>
  </si>
  <si>
    <t xml:space="preserve">OpenAI item</t>
  </si>
  <si>
    <t xml:space="preserve">OpenAI ($M)</t>
  </si>
  <si>
    <t xml:space="preserve">Series A</t>
  </si>
  <si>
    <t xml:space="preserve">L-018 / L-017 / L-016 / L-015 · confirmed · T2 · PB deal record</t>
  </si>
  <si>
    <t xml:space="preserve">Microsoft (Jul-2019)</t>
  </si>
  <si>
    <t xml:space="preserve">L-022 · estimated · T2 · PB deal records</t>
  </si>
  <si>
    <t xml:space="preserve">Series B</t>
  </si>
  <si>
    <t xml:space="preserve">Series C</t>
  </si>
  <si>
    <t xml:space="preserve">Jul-2021 round</t>
  </si>
  <si>
    <t xml:space="preserve">Alphabet convertible-to-equity</t>
  </si>
  <si>
    <t xml:space="preserve">Microsoft (Jan-2023; paid over multiple years)</t>
  </si>
  <si>
    <t xml:space="preserve">Series D</t>
  </si>
  <si>
    <t xml:space="preserve">Apr-2023 round</t>
  </si>
  <si>
    <t xml:space="preserve">Amazon round (incl. 1,300 convertible)</t>
  </si>
  <si>
    <t xml:space="preserve">Series B (Oct-2024)</t>
  </si>
  <si>
    <t xml:space="preserve">Series E</t>
  </si>
  <si>
    <t xml:space="preserve">Series F (Mar-2025)</t>
  </si>
  <si>
    <t xml:space="preserve">Series F (incl. 750 convertible)</t>
  </si>
  <si>
    <t xml:space="preserve">Jan-2025 round</t>
  </si>
  <si>
    <t xml:space="preserve">Series G</t>
  </si>
  <si>
    <t xml:space="preserve">Mar-2026 round, equity portion</t>
  </si>
  <si>
    <t xml:space="preserve">Series H</t>
  </si>
  <si>
    <t xml:space="preserve">Sum of the ten equity rounds (must equal LB03)</t>
  </si>
  <si>
    <t xml:space="preserve">Sum of the equity rounds (must equal LB04)</t>
  </si>
  <si>
    <t xml:space="preserve">Revolver (debt; in PB Total Raised, not equity)</t>
  </si>
  <si>
    <t xml:space="preserve">L-014 · confirmed · T2 · 2025-05-16</t>
  </si>
  <si>
    <t xml:space="preserve">Debt: 4,000 revolver + 700 + 520 term loan (O10)</t>
  </si>
  <si>
    <t xml:space="preserve">L-023 · confirmed · T2</t>
  </si>
  <si>
    <t xml:space="preserve">Identity: LB03 + 2,500 = PB Total Raised 126,754 (L-006)</t>
  </si>
  <si>
    <t xml:space="preserve">Identity: LB04 + 5,220 = PB Total Raised 186,436.5 (L-021)</t>
  </si>
  <si>
    <t xml:space="preserve">Contingent inflow: Amazon (milestones; up to)</t>
  </si>
  <si>
    <t xml:space="preserve">L-072 · T1</t>
  </si>
  <si>
    <t xml:space="preserve">shown, not added to capital raised</t>
  </si>
  <si>
    <t xml:space="preserve">Microsoft funding commitments (L-157, T1): committed / funded / unfunded</t>
  </si>
  <si>
    <t xml:space="preserve">Contingent inflow: Google (performance targets)</t>
  </si>
  <si>
    <t xml:space="preserve">L-073 · T2</t>
  </si>
  <si>
    <t xml:space="preserve">Unfunded at 2026-06-30 and as % of LB04 (0.6%)</t>
  </si>
  <si>
    <t xml:space="preserve">Contingent inflow: AMD (through FY2028; up to)</t>
  </si>
  <si>
    <t xml:space="preserve">L-043 · T1</t>
  </si>
  <si>
    <t xml:space="preserve">OpenAI CE if the unfunded 1,100 were stripped from the denominator (0.221x -&gt; 0.222x; PB committed basis kept)</t>
  </si>
  <si>
    <t xml:space="preserve">Contingent inflows, total (shown, not added)</t>
  </si>
  <si>
    <t xml:space="preserve">Nvidia equity into OpenAI (Mar-2026 round; inflow, not cost)</t>
  </si>
  <si>
    <t xml:space="preserve">Off-balance-sheet: TPU lease SPV (lessor debt, L-044; PB removed it from Total Raised, C-01)</t>
  </si>
  <si>
    <t xml:space="preserve">L-044 · estimated · T3</t>
  </si>
  <si>
    <t xml:space="preserve">OpenAI cash at end-2025 (~; L-082 T3)</t>
  </si>
  <si>
    <t xml:space="preserve">Off-balance-sheet: project-company debt, five TPU sites (Google conditional support)</t>
  </si>
  <si>
    <t xml:space="preserve">L-045 · estimated · T3</t>
  </si>
  <si>
    <t xml:space="preserve">Total raised VIEW (SW_TOTAL_RAISED_VIEW; display only; CE never changes)</t>
  </si>
  <si>
    <t xml:space="preserve">On-balance-sheet = equity + revolver; Incl. lease SPV adds the 34,500 lessor debt (the retired PB 161,254 view)</t>
  </si>
  <si>
    <t xml:space="preserve">Series H composition (L-038, T1): 65,000 incl. previously committed hyperscaler money, of which Amazon</t>
  </si>
  <si>
    <t xml:space="preserve">new-cash relevance only</t>
  </si>
  <si>
    <t xml:space="preserve">CAPITAL EFFICIENCY WALK, JUL-16 -&gt; SEP-9, EQUITY-ONLY, BOTH BASES (Exhibit E13; A40:H55). CE = net run-rate / equity-only raised (Ruling 1); haircut visible in column C (Ruling 5).</t>
  </si>
  <si>
    <t xml:space="preserve">Row</t>
  </si>
  <si>
    <t xml:space="preserve">Anthropic run-rate GROSS</t>
  </si>
  <si>
    <t xml:space="preserve">Haircut</t>
  </si>
  <si>
    <t xml:space="preserve">Anthropic net run-rate</t>
  </si>
  <si>
    <t xml:space="preserve">Anthropic CE (x)</t>
  </si>
  <si>
    <t xml:space="preserve">OpenAI net run-rate</t>
  </si>
  <si>
    <t xml:space="preserve">OpenAI CE (x)</t>
  </si>
  <si>
    <t xml:space="preserve">Ratio (A / O)</t>
  </si>
  <si>
    <t xml:space="preserve">OpenAI basis</t>
  </si>
  <si>
    <t xml:space="preserve">Jul-16 register (L-133, recalled T4): 47,000 gross -&gt; 28,318 net; OpenAI 25,000</t>
  </si>
  <si>
    <t xml:space="preserve">NET (register)</t>
  </si>
  <si>
    <t xml:space="preserve">Sep-9 at SW_HAIRCUT (live)</t>
  </si>
  <si>
    <t xml:space="preserve">Sep-9 at 39.75% (R01, Ruling 5)</t>
  </si>
  <si>
    <t xml:space="preserve">NET</t>
  </si>
  <si>
    <t xml:space="preserve">Sep-9 at 27% (R02, C-13 external)</t>
  </si>
  <si>
    <t xml:space="preserve">Sep-9 GROSS (display only: forbidden basis, Ruling 5)</t>
  </si>
  <si>
    <t xml:space="preserve">Sep-9 at 39.75%, OpenAI GROSS case (LB02 x (1 - R03), T4)</t>
  </si>
  <si>
    <t xml:space="preserve">GROSS (R03 = 20%, T4)</t>
  </si>
  <si>
    <t xml:space="preserve">Change Jul-16 -&gt; Sep-9 (at 39.75%): Anthropic CE, OpenAI CE, ratio</t>
  </si>
  <si>
    <t xml:space="preserve">Reading: the data improved (run-rate +38%, CE 0.228x -&gt; 0.315x equalized, OpenAI 0.138x -&gt; 0.221x) while the AIBQ CE score falls: the fall is a method correction (11_AIBQ).</t>
  </si>
  <si>
    <t xml:space="preserve">Every OpenAI net figure shows SW_OAI_BASIS (column I); every Anthropic net figure shows its haircut (column C).</t>
  </si>
  <si>
    <t xml:space="preserve">BURN WALK: OpenAI (both vintages) and the bridge from operating loss to burn; Anthropic C-12 block (SW_A_2026_LOSS); facilities block (SW_15B_FACILITY)</t>
  </si>
  <si>
    <t xml:space="preserve">OpenAI burn plan 2026, Feb vintage / post-April vintage (in E)</t>
  </si>
  <si>
    <t xml:space="preserve">L-082 · estimated · T3 (two vintages)</t>
  </si>
  <si>
    <t xml:space="preserve">OpenAI burn plan 2027, Feb vintage / post-April vintage (in E)</t>
  </si>
  <si>
    <t xml:space="preserve">L-082 · estimated · T3</t>
  </si>
  <si>
    <t xml:space="preserve">OpenAI 2030 positive cash flow (Feb vintage plan) / end-2025 cash (in E)</t>
  </si>
  <si>
    <t xml:space="preserve">OpenAI Q1-2026 cash burn (vs Q1 operating loss 9,300 incl. SBC)</t>
  </si>
  <si>
    <t xml:space="preserve">L-142 · estimated · T3</t>
  </si>
  <si>
    <t xml:space="preserve">Bridge: H1-2026 operating loss incl. SBC annualized (average quarter x 4)</t>
  </si>
  <si>
    <t xml:space="preserve">L-066 · confirmed · T2</t>
  </si>
  <si>
    <t xml:space="preserve">less SBC (AJ % of operating loss, SBCP)</t>
  </si>
  <si>
    <t xml:space="preserve">AJ · SBCP</t>
  </si>
  <si>
    <t xml:space="preserve">less burn plan 2026 (post-April vintage)</t>
  </si>
  <si>
    <t xml:space="preserve">L-082 · T3</t>
  </si>
  <si>
    <t xml:space="preserve">residual: vendor financing / prepayment timing / capitalized items (PLUG; HOLE)</t>
  </si>
  <si>
    <t xml:space="preserve">HOLE · residual, flagged</t>
  </si>
  <si>
    <t xml:space="preserve">Anthropic 2026 loss / burn (C-12, frozen): branch A = GAAP-style plan loss (Jan-2026, L-120 T4); branch B = Q2 positive ADJUSTED operating income trajectory (L-034, L-151 T2; non-GAAP, definition unpublished, L-152), annualized display = LB05b x 4; no plug</t>
  </si>
  <si>
    <t xml:space="preserve">Branch A: 'expects to lose ~11,000 in 2026' (GAAP-style)</t>
  </si>
  <si>
    <t xml:space="preserve">L-120 · recalled · T4 · 2026-01</t>
  </si>
  <si>
    <t xml:space="preserve">Branch B: Q2 adjusted operating income x 4 (display of the trajectory; NOT a forecast)</t>
  </si>
  <si>
    <t xml:space="preserve">L-034, L-151 · T2; L-152 · T3</t>
  </si>
  <si>
    <t xml:space="preserve">Selected branch (SW_A_2026_LOSS)</t>
  </si>
  <si>
    <t xml:space="preserve">FY2025 burn (register) / Jan-2026 planned 2026 burn ~3,000 (T3 recalled, not carried as a row)</t>
  </si>
  <si>
    <t xml:space="preserve">Facilities block</t>
  </si>
  <si>
    <t xml:space="preserve">Revolver 2,500 (May-2025); drawn / undrawn: HOLE</t>
  </si>
  <si>
    <t xml:space="preserve">L-014 · confirmed · T2</t>
  </si>
  <si>
    <t xml:space="preserve">HOLE (drawn amount undisclosed)</t>
  </si>
  <si>
    <t xml:space="preserve">Expansion to 15,000: shown only when SW_15B_FACILITY = Closes (default: Does not close, L-160)</t>
  </si>
  <si>
    <t xml:space="preserve">Facilities in view</t>
  </si>
  <si>
    <t xml:space="preserve">06_Valuation: marks ladder and multiples at gross / 39.75% / 27% (Anthropic) and net / gross-case (OpenAI) (E5 A5:H20); the $/AIBQ-point ladder (E15 A25:F32). Ruling 2: the AIBQ-to-valuation coefficient is embargoed; no cell computes any such statistic.</t>
  </si>
  <si>
    <t xml:space="preserve">MARKS AND MULTIPLES (Exhibit E5; A5:H20); every net figure shows its haircut in column E</t>
  </si>
  <si>
    <t xml:space="preserve">Anthropic post-money mark (M01, Series H)</t>
  </si>
  <si>
    <t xml:space="preserve">L-005, L-038 · confirmed · T2/T1 · 2026-05-28</t>
  </si>
  <si>
    <t xml:space="preserve">OpenAI post-money mark (M02, Mar-2026; Aug-10 tender at the same price)</t>
  </si>
  <si>
    <t xml:space="preserve">L-019, L-067 · confirmed · T2 · 2026-03-31</t>
  </si>
  <si>
    <t xml:space="preserve">Anthropic mark / run-rate GROSS (display only; not comparable, Ruling 5)</t>
  </si>
  <si>
    <t xml:space="preserve">Anthropic mark / net run-rate at SW_HAIRCUT (equalized)</t>
  </si>
  <si>
    <t xml:space="preserve">Anthropic mark / net run-rate at 39.75% (Ruling 5)</t>
  </si>
  <si>
    <t xml:space="preserve">Anthropic mark / net run-rate at 27% (C-13 external)</t>
  </si>
  <si>
    <t xml:space="preserve">OpenAI mark / net run-rate at SW_OAI_BASIS</t>
  </si>
  <si>
    <t xml:space="preserve">OpenAI mark / run-rate, NET case (as reported)</t>
  </si>
  <si>
    <t xml:space="preserve">OpenAI mark / run-rate, GROSS case (LB02 x (1 - R03), T4 flagged)</t>
  </si>
  <si>
    <t xml:space="preserve">R03 is T4 and never printed as a fact</t>
  </si>
  <si>
    <t xml:space="preserve">Relative multiple: Anthropic (SW_HAIRCUT) / OpenAI (SW_OAI_BASIS) - 1</t>
  </si>
  <si>
    <t xml:space="preserve">Relative multiple at 27% vs OpenAI NET</t>
  </si>
  <si>
    <t xml:space="preserve">Jul-16 reference: Anthropic mark / net run-rate at May 47,000 (34.1x)</t>
  </si>
  <si>
    <t xml:space="preserve">L-133 · recalled · T4; L-037</t>
  </si>
  <si>
    <t xml:space="preserve">Jul-16 reference: OpenAI mark / 25,000 (34.1x)</t>
  </si>
  <si>
    <t xml:space="preserve">L-133 · recalled · T4</t>
  </si>
  <si>
    <t xml:space="preserve">Relative multiple at 39.75% vs OpenAI NET (+15%)</t>
  </si>
  <si>
    <t xml:space="preserve">C-15 (display only; no formula reads this): secondary marks 1,500,000 implied at $925/share and 'low-to-mid 800,000' (both T4); none adopted; the primary mark is M01.</t>
  </si>
  <si>
    <t xml:space="preserve">Ruling 2: the AIBQ-to-valuation coefficient is embargoed. Ruling 5: never gross vs net; the gross multiple (row 7) is display only.</t>
  </si>
  <si>
    <t xml:space="preserve">$/AIBQ-POINT LADDER (Exhibit E15; A25:F32): mark / composite; the only permitted valuation-quality expression (Ruling 2)</t>
  </si>
  <si>
    <t xml:space="preserve">Anthropic composite</t>
  </si>
  <si>
    <t xml:space="preserve">Anthropic $B per point</t>
  </si>
  <si>
    <t xml:space="preserve">OpenAI composite</t>
  </si>
  <si>
    <t xml:space="preserve">OpenAI $B per point</t>
  </si>
  <si>
    <t xml:space="preserve">Spread (OpenAI / Anthropic)</t>
  </si>
  <si>
    <t xml:space="preserve">Old (May-27 canonical, L-133)</t>
  </si>
  <si>
    <t xml:space="preserve">$B more per point for OpenAI (old: ~70)</t>
  </si>
  <si>
    <t xml:space="preserve">New (default: facility does not close; OpenAI net case)</t>
  </si>
  <si>
    <t xml:space="preserve">$B more per point for OpenAI (new: ~57)</t>
  </si>
  <si>
    <t xml:space="preserve">New (facility-closes branch)</t>
  </si>
  <si>
    <t xml:space="preserve">New (canonical CI 5.8 base)</t>
  </si>
  <si>
    <t xml:space="preserve">New (OpenAI C-16 gross case, CE-1 = 4.0)</t>
  </si>
  <si>
    <t xml:space="preserve">LIVE (both switches)</t>
  </si>
  <si>
    <t xml:space="preserve">Checks: $/pt 118 / 175 (default), 119 on the closes branch, spread 1.48x (1.47x), old 188 and 1.60x, $57B more per point</t>
  </si>
  <si>
    <t xml:space="preserve">The ladder narrows because OpenAI's CE and CI improved on ledger evidence while its mark stood still (Aug-10 tender at 852,000, L-067). No coefficient is computed or referenced (Ruling 2).</t>
  </si>
  <si>
    <t xml:space="preserve">07_Sensitivity: (a) basis grid A5:H20; (b) Anthropic 2028E envelope grid A25:H40 (three panels); (c) OpenAI 2030 cash-flow sign A45:H60 (Exhibit E17). Grids are wired to the switches and drivers; no typed constants.</t>
  </si>
  <si>
    <t xml:space="preserve">(a) BASIS GRID: haircut 27% / 33% / 39.75% x OpenAI basis NET / GROSS (R03 = 20%, T4): Anthropic equalized multiple, OpenAI multiple, relative multiple, CE ratio</t>
  </si>
  <si>
    <t xml:space="preserve">Anthropic multiple</t>
  </si>
  <si>
    <t xml:space="preserve">OpenAI multiple</t>
  </si>
  <si>
    <t xml:space="preserve">Relative multiple (A / O - 1)</t>
  </si>
  <si>
    <t xml:space="preserve">CE ratio (A / O)</t>
  </si>
  <si>
    <t xml:space="preserve">Expected corners: (39.75%, NET) 24.6x vs 21.3x, +15%, 1.43x; (27%, NET) 20.3x vs 21.3x, -5%, 1.73x; (39.75%, GROSS) 24.6x vs 26.6x, -7%, 1.78x</t>
  </si>
  <si>
    <t xml:space="preserve">GROSS rows apply R03 (T4, L-052 notes) and are flagged; the 20% is never printed as a fact. The 33% row exists for the grid only (spec section 5).</t>
  </si>
  <si>
    <t xml:space="preserve">Live switches: SW_HAIRCUT =</t>
  </si>
  <si>
    <t xml:space="preserve">SW_OAI_BASIS =</t>
  </si>
  <si>
    <t xml:space="preserve">(b) ANTHROPIC 2028E ENVELOPE GRID: cell = revenue x (1 - GM) + training - priced run 53,355 - Google leg; negative = the plan does not cover the commitments (before AMD)</t>
  </si>
  <si>
    <t xml:space="preserve">Panel 1: training 22,000 (L-125), Google leg = live switch (SW_GOOGLE_VALUE)</t>
  </si>
  <si>
    <t xml:space="preserve">2028E revenue \ GM</t>
  </si>
  <si>
    <t xml:space="preserve">Priced run 2028</t>
  </si>
  <si>
    <t xml:space="preserve">Google leg 2028</t>
  </si>
  <si>
    <t xml:space="preserve">Panel 2: training 30,000 (Base 2029 AJ), Google leg = live switch</t>
  </si>
  <si>
    <t xml:space="preserve">Panel 3: training 22,000, Google leg = PROXY (SW_TPU_RATE x SW_GW_2028 x 1,000) regardless of SW_GOOGLE_VALUE</t>
  </si>
  <si>
    <t xml:space="preserve">Expected at (200,000, 77%, reported): 46,000 + 22,000 - 53,355 - 40,000 = -25,355 (computed here with the reported leg irrespective of the switch):</t>
  </si>
  <si>
    <t xml:space="preserve">Live switches: SW_GOOGLE_VALUE / SW_TPU_RATE / SW_GW_2028 =</t>
  </si>
  <si>
    <t xml:space="preserve">(c) OPENAI 2030 CASH-FLOW SIGN: rows = 2027-2030 revenue CAGR 40 / 70 / 100%; columns = compute plan 600,000 / 750,000 / 900,000 (2027-2030 spend = plan - 50,000, phased 15 / 22 / 28 / 35%); cell = 2030E revenue - 2030E compute - other opex (OAIOPEX live %)</t>
  </si>
  <si>
    <t xml:space="preserve">CAGR \ compute plan</t>
  </si>
  <si>
    <t xml:space="preserve">2030E revenue</t>
  </si>
  <si>
    <t xml:space="preserve">Years 2027-2030</t>
  </si>
  <si>
    <t xml:space="preserve">Other opex %</t>
  </si>
  <si>
    <t xml:space="preserve">2030 phasing</t>
  </si>
  <si>
    <t xml:space="preserve">2030E compute by plan (plan - 50,000) x 35%:</t>
  </si>
  <si>
    <t xml:space="preserve">Sign at Base (70%, 750,000):</t>
  </si>
  <si>
    <t xml:space="preserve">Note: The Information's own 2030 figure is +39,000 (L-082, T3, Feb vintage):</t>
  </si>
  <si>
    <t xml:space="preserve">Phasing 2027 / 2028 / 2029 / 2030:</t>
  </si>
  <si>
    <t xml:space="preserve">FY2026E OpenAI revenue used as the base (live scenario):</t>
  </si>
  <si>
    <t xml:space="preserve">Scenario definitions are stated once on 00_Assumptions (spec section 4); the 2029-2030 Anthropic tails use the Bessemer endurance shape with the arithmetic on 02_Revenue rows 74-76.</t>
  </si>
  <si>
    <t xml:space="preserve">08_Output: E1 at-a-glance (A1:H14); the ten load-bearing figures (named ranges LB01-LB10); verdict flags; the spec section 9 check table (rows 44+).</t>
  </si>
  <si>
    <t xml:space="preserve">Item (Exhibit E1)</t>
  </si>
  <si>
    <t xml:space="preserve">Basis / tier</t>
  </si>
  <si>
    <t xml:space="preserve">Rows</t>
  </si>
  <si>
    <t xml:space="preserve">Post-money mark</t>
  </si>
  <si>
    <t xml:space="preserve">Series H post · T2/T1 · 2026-05-28</t>
  </si>
  <si>
    <t xml:space="preserve">Mar-2026 round post · T2 · 2026-03-31 (tender Aug-10)</t>
  </si>
  <si>
    <t xml:space="preserve">L-005, L-038, L-019, L-067</t>
  </si>
  <si>
    <t xml:space="preserve">Equity-only capital raised (Ruling 1 denominator)</t>
  </si>
  <si>
    <t xml:space="preserve">sum of ten PB equity rounds · T2 · 2026-05-28</t>
  </si>
  <si>
    <t xml:space="preserve">sum of PB equity rounds · T2 · 2026-03-31</t>
  </si>
  <si>
    <t xml:space="preserve">L-007, L-022</t>
  </si>
  <si>
    <t xml:space="preserve">excl. revolver / debt / lease SPV</t>
  </si>
  <si>
    <t xml:space="preserve">Annualized run-rate</t>
  </si>
  <si>
    <t xml:space="preserve">GROSS run-rate · T2 · 2026-07-31</t>
  </si>
  <si>
    <t xml:space="preserve">L-032, L-065</t>
  </si>
  <si>
    <t xml:space="preserve">Ruling 5: never compared gross vs net</t>
  </si>
  <si>
    <t xml:space="preserve">Net run-rate at the haircut in use (haircut visible in D)</t>
  </si>
  <si>
    <t xml:space="preserve">L-126 (Ruling 5), C-13, C-16</t>
  </si>
  <si>
    <t xml:space="preserve">equalized</t>
  </si>
  <si>
    <t xml:space="preserve">Q2-2026 revenue (recognized, preliminary)</t>
  </si>
  <si>
    <t xml:space="preserve">GROSS presumed · T2 · Q2-2026</t>
  </si>
  <si>
    <t xml:space="preserve">NET presumed · T2 · Q2-2026</t>
  </si>
  <si>
    <t xml:space="preserve">L-033, L-151, L-066</t>
  </si>
  <si>
    <t xml:space="preserve">Anthropic Q1 4,730; OpenAI Q1 5,700</t>
  </si>
  <si>
    <t xml:space="preserve">Q2-2026 operating result</t>
  </si>
  <si>
    <t xml:space="preserve">ADJUSTED operating income, non-GAAP (definition unpublished; excludes SBC per relays) · T2/T3 · projection, sign confirmed</t>
  </si>
  <si>
    <t xml:space="preserve">operating loss incl. SBC · T2</t>
  </si>
  <si>
    <t xml:space="preserve">L-034, L-151, L-152, L-066</t>
  </si>
  <si>
    <t xml:space="preserve">Ruling 3: not FCF, not an operating profit</t>
  </si>
  <si>
    <t xml:space="preserve">FY2026E recognized revenue, derived range (flat from July to YE 120,000 / 0% to 20% monthly growth)</t>
  </si>
  <si>
    <t xml:space="preserve">linear ramp integration · derived</t>
  </si>
  <si>
    <t xml:space="preserve">compounding integration · derived</t>
  </si>
  <si>
    <t xml:space="preserve">L-151, L-033, L-032, L-035; L-066, L-065</t>
  </si>
  <si>
    <t xml:space="preserve">Documented-$ compute contracts (excl. SPV) / reported-$ incl. the Google leg [VERIFY]</t>
  </si>
  <si>
    <t xml:space="preserve">09_Obligations</t>
  </si>
  <si>
    <t xml:space="preserve">scope lines mandatory (C-14)</t>
  </si>
  <si>
    <t xml:space="preserve">Unpriced gigawatts</t>
  </si>
  <si>
    <t xml:space="preserve">L-073, L-049, L-043, L-155</t>
  </si>
  <si>
    <t xml:space="preserve">L-061, L-060, L-050</t>
  </si>
  <si>
    <t xml:space="preserve">no dollar value in any filing</t>
  </si>
  <si>
    <t xml:space="preserve">IPO status (EDGAR 2026-09-09: no public S-1 for either)</t>
  </si>
  <si>
    <t xml:space="preserve">L-039 T1; L-003 T2; L-040 T3</t>
  </si>
  <si>
    <t xml:space="preserve">L-004 T2; L-068 T2; L-002 T1</t>
  </si>
  <si>
    <t xml:space="preserve">Scenario / haircut in use</t>
  </si>
  <si>
    <t xml:space="preserve">switch</t>
  </si>
  <si>
    <t xml:space="preserve">SW_SCEN</t>
  </si>
  <si>
    <t xml:space="preserve">SW_HAIRCUT</t>
  </si>
  <si>
    <t xml:space="preserve">00_Assumptions, 12_Conflicts</t>
  </si>
  <si>
    <t xml:space="preserve">switch register on 12_Conflicts</t>
  </si>
  <si>
    <t xml:space="preserve">CE (net run-rate / equity-only) and ratio</t>
  </si>
  <si>
    <t xml:space="preserve">05_Cash_Fund</t>
  </si>
  <si>
    <t xml:space="preserve">Ruling 1</t>
  </si>
  <si>
    <t xml:space="preserve">THE TEN LOAD-BEARING FIGURES (argument-map section A; named ranges LB01-LB10 on 01_Data)</t>
  </si>
  <si>
    <t xml:space="preserve">#</t>
  </si>
  <si>
    <t xml:space="preserve">Figure</t>
  </si>
  <si>
    <t xml:space="preserve">What turns on it</t>
  </si>
  <si>
    <t xml:space="preserve">#1</t>
  </si>
  <si>
    <t xml:space="preserve">Anthropic annualized run-rate (LB01)</t>
  </si>
  <si>
    <t xml:space="preserve">every Anthropic multiple, CE ratio, the equalization, the AIBQ CE-1 move</t>
  </si>
  <si>
    <t xml:space="preserve">#2</t>
  </si>
  <si>
    <t xml:space="preserve">OpenAI annualized run-rate (LB02)</t>
  </si>
  <si>
    <t xml:space="preserve">every OpenAI multiple and CE ratio; C-16 switch</t>
  </si>
  <si>
    <t xml:space="preserve">#3</t>
  </si>
  <si>
    <t xml:space="preserve">Anthropic equity-only capital raised (LB03)</t>
  </si>
  <si>
    <t xml:space="preserve">estimated (derived)</t>
  </si>
  <si>
    <t xml:space="preserve">CE denominator (Ruling 1); the 'entry fee' headline</t>
  </si>
  <si>
    <t xml:space="preserve">#4</t>
  </si>
  <si>
    <t xml:space="preserve">OpenAI equity-only capital raised (LB04)</t>
  </si>
  <si>
    <t xml:space="preserve">CE denominator; the 'entry fee' headline</t>
  </si>
  <si>
    <t xml:space="preserve">#5</t>
  </si>
  <si>
    <t xml:space="preserve">Anthropic Q2-2026 revenue (LB05a) and first positive ADJUSTED operating income (LB05b; non-GAAP, definition unpublished)</t>
  </si>
  <si>
    <t xml:space="preserve">T2 (T3 for the definition)</t>
  </si>
  <si>
    <t xml:space="preserve">confirmed (revenue, sign) / estimated (margin, definition)</t>
  </si>
  <si>
    <t xml:space="preserve">the strongest counter-evidence; CE-3; the GM cross-check; C-12</t>
  </si>
  <si>
    <t xml:space="preserve">#6</t>
  </si>
  <si>
    <t xml:space="preserve">OpenAI Q2-2026 revenue (LB06a) and operating loss incl. SBC (LB06b)</t>
  </si>
  <si>
    <t xml:space="preserve">the strongest evidence for the thesis; CE-3; the burn-vs-loss bridge</t>
  </si>
  <si>
    <t xml:space="preserve">#7</t>
  </si>
  <si>
    <t xml:space="preserve">OpenAI compute spend 2026 (LB07a) and through 2030 (LB07b)</t>
  </si>
  <si>
    <t xml:space="preserve">2026-05-05 / 2026-07-22</t>
  </si>
  <si>
    <t xml:space="preserve">confirmed / estimated</t>
  </si>
  <si>
    <t xml:space="preserve">the consumption side of the obligation stack</t>
  </si>
  <si>
    <t xml:space="preserve">#8</t>
  </si>
  <si>
    <t xml:space="preserve">Microsoft revenue from OpenAI arrangements FY2026 (LB08)</t>
  </si>
  <si>
    <t xml:space="preserve">the only T1 cash anchor in the OpenAI stack</t>
  </si>
  <si>
    <t xml:space="preserve">#9</t>
  </si>
  <si>
    <t xml:space="preserve">SB Energy PORTS leases 8.0 GW-IT and the Nvidia 105,000 RVG (LB09)</t>
  </si>
  <si>
    <t xml:space="preserve">who holds the risk; CI-2; the quasi-debt argument</t>
  </si>
  <si>
    <t xml:space="preserve">#10</t>
  </si>
  <si>
    <t xml:space="preserve">Anthropic 2028 revenue forecast to IPO investors (LB10: 190,000-200,000)</t>
  </si>
  <si>
    <t xml:space="preserve">the margin-commitment incompatibility with the T4 GM path and training plan</t>
  </si>
  <si>
    <t xml:space="preserve">Companion values: LB05b =</t>
  </si>
  <si>
    <t xml:space="preserve">LB06b (loss) =</t>
  </si>
  <si>
    <t xml:space="preserve">LB07b =</t>
  </si>
  <si>
    <t xml:space="preserve">VERDICT FLAGS</t>
  </si>
  <si>
    <t xml:space="preserve">Flag</t>
  </si>
  <si>
    <t xml:space="preserve">Reading</t>
  </si>
  <si>
    <t xml:space="preserve">Cells</t>
  </si>
  <si>
    <t xml:space="preserve">E10 gap 2028 at the plan envelope, Google leg in use (low / high; negative = plan does not cover commitments)</t>
  </si>
  <si>
    <t xml:space="preserve">09_Obligations I88:I89</t>
  </si>
  <si>
    <t xml:space="preserve">E10 gap 2028 after the AMD proxy (low)</t>
  </si>
  <si>
    <t xml:space="preserve">09_Obligations I90</t>
  </si>
  <si>
    <t xml:space="preserve">Relative multiple at 39.75% (Anthropic equalized vs OpenAI NET)</t>
  </si>
  <si>
    <t xml:space="preserve">06_Valuation D18</t>
  </si>
  <si>
    <t xml:space="preserve">Relative multiple at 27%</t>
  </si>
  <si>
    <t xml:space="preserve">06_Valuation D15</t>
  </si>
  <si>
    <t xml:space="preserve">Relative multiple at the live switches</t>
  </si>
  <si>
    <t xml:space="preserve">06_Valuation D14</t>
  </si>
  <si>
    <t xml:space="preserve">AIBQ composites, live (Anthropic / OpenAI in C)</t>
  </si>
  <si>
    <t xml:space="preserve">11_AIBQ composite block</t>
  </si>
  <si>
    <t xml:space="preserve">$B per AIBQ point, live (Anthropic / OpenAI in C; spread in D)</t>
  </si>
  <si>
    <t xml:space="preserve">CE ratio, live</t>
  </si>
  <si>
    <t xml:space="preserve">05_Cash_Fund H43</t>
  </si>
  <si>
    <t xml:space="preserve">Anthropic 2026 result branch in use (SW_A_2026_LOSS)</t>
  </si>
  <si>
    <t xml:space="preserve">05_Cash_Fund D66</t>
  </si>
  <si>
    <t xml:space="preserve">Scenario in use</t>
  </si>
  <si>
    <t xml:space="preserve">00_Assumptions C4</t>
  </si>
  <si>
    <t xml:space="preserve">SPEC SECTION 9 CHECK TABLE (expected values typed once on 00_Assumptions rows 132+; PASS/FAIL cells live on the tabs and are linked here)</t>
  </si>
  <si>
    <t xml:space="preserve">PASS / FAIL (linked)</t>
  </si>
  <si>
    <t xml:space="preserve">05_Cash_Fund D17</t>
  </si>
  <si>
    <t xml:space="preserve">05_Cash_Fund J17</t>
  </si>
  <si>
    <t xml:space="preserve">02_Revenue D38</t>
  </si>
  <si>
    <t xml:space="preserve">06_Valuation D7</t>
  </si>
  <si>
    <t xml:space="preserve">06_Valuation D9</t>
  </si>
  <si>
    <t xml:space="preserve">06_Valuation D10</t>
  </si>
  <si>
    <t xml:space="preserve">06_Valuation D12</t>
  </si>
  <si>
    <t xml:space="preserve">06_Valuation D13</t>
  </si>
  <si>
    <t xml:space="preserve">05_Cash_Fund E44</t>
  </si>
  <si>
    <t xml:space="preserve">05_Cash_Fund E45</t>
  </si>
  <si>
    <t xml:space="preserve">05_Cash_Fund E46</t>
  </si>
  <si>
    <t xml:space="preserve">05_Cash_Fund G44</t>
  </si>
  <si>
    <t xml:space="preserve">05_Cash_Fund H44</t>
  </si>
  <si>
    <t xml:space="preserve">05_Cash_Fund H45</t>
  </si>
  <si>
    <t xml:space="preserve">05_Cash_Fund H46</t>
  </si>
  <si>
    <t xml:space="preserve">02_Revenue M55</t>
  </si>
  <si>
    <t xml:space="preserve">02_Revenue M56</t>
  </si>
  <si>
    <t xml:space="preserve">02_Revenue M57</t>
  </si>
  <si>
    <t xml:space="preserve">02_Revenue L54</t>
  </si>
  <si>
    <t xml:space="preserve">02_Revenue E20</t>
  </si>
  <si>
    <t xml:space="preserve">02_Revenue M65</t>
  </si>
  <si>
    <t xml:space="preserve">02_Revenue M66</t>
  </si>
  <si>
    <t xml:space="preserve">02_Revenue M67</t>
  </si>
  <si>
    <t xml:space="preserve">09_Obligations B18</t>
  </si>
  <si>
    <t xml:space="preserve">09_Obligations B19</t>
  </si>
  <si>
    <t xml:space="preserve">09_Obligations B20</t>
  </si>
  <si>
    <t xml:space="preserve">09_Obligations B38</t>
  </si>
  <si>
    <t xml:space="preserve">09_Obligations B39</t>
  </si>
  <si>
    <t xml:space="preserve">09_Obligations B46</t>
  </si>
  <si>
    <t xml:space="preserve">09_Obligations B48</t>
  </si>
  <si>
    <t xml:space="preserve">09_Obligations B47</t>
  </si>
  <si>
    <t xml:space="preserve">09_Obligations E18</t>
  </si>
  <si>
    <t xml:space="preserve">09_Obligations G64</t>
  </si>
  <si>
    <t xml:space="preserve">09_Obligations H64</t>
  </si>
  <si>
    <t xml:space="preserve">09_Obligations I64</t>
  </si>
  <si>
    <t xml:space="preserve">09_Obligations J64</t>
  </si>
  <si>
    <t xml:space="preserve">09_Obligations K64</t>
  </si>
  <si>
    <t xml:space="preserve">09_Obligations H68</t>
  </si>
  <si>
    <t xml:space="preserve">09_Obligations I73</t>
  </si>
  <si>
    <t xml:space="preserve">09_Obligations I82</t>
  </si>
  <si>
    <t xml:space="preserve">09_Obligations I83</t>
  </si>
  <si>
    <t xml:space="preserve">09_Obligations H82</t>
  </si>
  <si>
    <t xml:space="preserve">09_Obligations H83</t>
  </si>
  <si>
    <t xml:space="preserve">09_Obligations AK98:AL98</t>
  </si>
  <si>
    <t xml:space="preserve">09_Obligations AI98:AJ98</t>
  </si>
  <si>
    <t xml:space="preserve">09_Obligations AM99</t>
  </si>
  <si>
    <t xml:space="preserve">09_Obligations AM101</t>
  </si>
  <si>
    <t xml:space="preserve">09_Obligations AM100</t>
  </si>
  <si>
    <t xml:space="preserve">09_Obligations AM102</t>
  </si>
  <si>
    <t xml:space="preserve">07_Sensitivity G40</t>
  </si>
  <si>
    <t xml:space="preserve">03_Costs G49</t>
  </si>
  <si>
    <t xml:space="preserve">03_Costs D54</t>
  </si>
  <si>
    <t xml:space="preserve">03_Costs E54</t>
  </si>
  <si>
    <t xml:space="preserve">11_AIBQ CE dimension F</t>
  </si>
  <si>
    <t xml:space="preserve">11_AIBQ CE dimension G</t>
  </si>
  <si>
    <t xml:space="preserve">11_AIBQ CI dimension D</t>
  </si>
  <si>
    <t xml:space="preserve">11_AIBQ OpenAI CE dimension D</t>
  </si>
  <si>
    <t xml:space="preserve">11_AIBQ OpenAI CI dimension D</t>
  </si>
  <si>
    <t xml:space="preserve">11_AIBQ composite H</t>
  </si>
  <si>
    <t xml:space="preserve">11_AIBQ composite H (closes)</t>
  </si>
  <si>
    <t xml:space="preserve">11_AIBQ composite H (canonical)</t>
  </si>
  <si>
    <t xml:space="preserve">11_AIBQ composite H (OpenAI)</t>
  </si>
  <si>
    <t xml:space="preserve">11_AIBQ composite H (gross case)</t>
  </si>
  <si>
    <t xml:space="preserve">11_AIBQ Efficiency Index C</t>
  </si>
  <si>
    <t xml:space="preserve">11_AIBQ Efficiency Index F</t>
  </si>
  <si>
    <t xml:space="preserve">06_Valuation C26</t>
  </si>
  <si>
    <t xml:space="preserve">06_Valuation E26</t>
  </si>
  <si>
    <t xml:space="preserve">06_Valuation C27</t>
  </si>
  <si>
    <t xml:space="preserve">06_Valuation F26</t>
  </si>
  <si>
    <t xml:space="preserve">06_Valuation F27</t>
  </si>
  <si>
    <t xml:space="preserve">06_Valuation F25</t>
  </si>
  <si>
    <t xml:space="preserve">06_Valuation E25</t>
  </si>
  <si>
    <t xml:space="preserve">06_Valuation H26</t>
  </si>
  <si>
    <t xml:space="preserve">02_Revenue J74</t>
  </si>
  <si>
    <t xml:space="preserve">02_Revenue K74</t>
  </si>
  <si>
    <t xml:space="preserve">02_Revenue J75</t>
  </si>
  <si>
    <t xml:space="preserve">02_Revenue K75</t>
  </si>
  <si>
    <t xml:space="preserve">02_Revenue J76</t>
  </si>
  <si>
    <t xml:space="preserve">02_Revenue K76</t>
  </si>
  <si>
    <t xml:space="preserve">10_Financing B18</t>
  </si>
  <si>
    <t xml:space="preserve">10_Financing C18</t>
  </si>
  <si>
    <t xml:space="preserve">10_Financing B19</t>
  </si>
  <si>
    <t xml:space="preserve">10_Financing C19</t>
  </si>
  <si>
    <t xml:space="preserve">06_Valuation D16:D17</t>
  </si>
  <si>
    <t xml:space="preserve">05_Cash_Fund H42</t>
  </si>
  <si>
    <t xml:space="preserve">13_OutsideView D27</t>
  </si>
  <si>
    <t xml:space="preserve">13_OutsideView D28</t>
  </si>
  <si>
    <t xml:space="preserve">13_OutsideView D29</t>
  </si>
  <si>
    <t xml:space="preserve">07_Sensitivity G8</t>
  </si>
  <si>
    <t xml:space="preserve">07_Sensitivity G6</t>
  </si>
  <si>
    <t xml:space="preserve">07_Sensitivity G12</t>
  </si>
  <si>
    <t xml:space="preserve">07_Sensitivity H12</t>
  </si>
  <si>
    <t xml:space="preserve">09_Obligations D95</t>
  </si>
  <si>
    <t xml:space="preserve">09_Obligations E95</t>
  </si>
  <si>
    <t xml:space="preserve">Count of FAIL cells above (0 = all pass at the current switch settings; checks assume Base defaults):</t>
  </si>
  <si>
    <t xml:space="preserve">09_Obligations: contract schedule (A100:AD127; one row per commitment), contracted / cash / cancellable tables (E6 A5:J20, E7 A25:J40), tally reconciliation (E8 A45:H58), annualized priced run by year (E3 A60:K75; SUMIFS over the schedule), envelope-vs-commitments chart data (E10 A80:K98). Every total/term/GW links 01_Data or 00_Assumptions; nothing typed here.</t>
  </si>
  <si>
    <t xml:space="preserve">OBLIGATION STACK, ANTHROPIC: contracted / cash paid to date / cancellable-contingent-unpriced / backstop (Exhibit E6; A5:J20; cost-stack section 4a)</t>
  </si>
  <si>
    <t xml:space="preserve">Counterparty (layer)</t>
  </si>
  <si>
    <t xml:space="preserve">Contracted, documented ($M)</t>
  </si>
  <si>
    <t xml:space="preserve">Cash paid to date ($M; bounds)</t>
  </si>
  <si>
    <t xml:space="preserve">Cancellable / contingent / unpriced</t>
  </si>
  <si>
    <t xml:space="preserve">Vendor backstop</t>
  </si>
  <si>
    <t xml:space="preserve">Scope</t>
  </si>
  <si>
    <t xml:space="preserve">1 AWS (L2)</t>
  </si>
  <si>
    <t xml:space="preserve">HOLE (AWS does not disclose)</t>
  </si>
  <si>
    <t xml:space="preserve">take-or-pay not disclosed; Amazon up to 20,000 more equity (inflow)</t>
  </si>
  <si>
    <t xml:space="preserve">Amazon is investor and supplier</t>
  </si>
  <si>
    <t xml:space="preserve">DOC</t>
  </si>
  <si>
    <t xml:space="preserve">2 Google Cloud (L2)</t>
  </si>
  <si>
    <t xml:space="preserve">unpriced in every filing</t>
  </si>
  <si>
    <t xml:space="preserve">Google supports the SPV and the project debt</t>
  </si>
  <si>
    <t xml:space="preserve">T2 / T1 / T3</t>
  </si>
  <si>
    <t xml:space="preserve">L-073, L-049, L-153, L-154, L-156, L-155</t>
  </si>
  <si>
    <t xml:space="preserve">REPORTED / UNPRICED</t>
  </si>
  <si>
    <t xml:space="preserve">3 TPU lease SPV (L1)</t>
  </si>
  <si>
    <t xml:space="preserve">lease presumed non-cancellable (debt-serviced)</t>
  </si>
  <si>
    <t xml:space="preserve">Broadcom and Google absorb part of the losses; tranches T+1pt / 5.75% / 8.5%</t>
  </si>
  <si>
    <t xml:space="preserve">SPV</t>
  </si>
  <si>
    <t xml:space="preserve">4 Azure (L2)</t>
  </si>
  <si>
    <t xml:space="preserve">none disclosed</t>
  </si>
  <si>
    <t xml:space="preserve">Microsoft equity up to 5,000 (funded)</t>
  </si>
  <si>
    <t xml:space="preserve">L-074, L-055</t>
  </si>
  <si>
    <t xml:space="preserve">5 SpaceX COLOSSUS (L2)</t>
  </si>
  <si>
    <t xml:space="preserve">SpaceX bought ~2,000 of gas turbines</t>
  </si>
  <si>
    <t xml:space="preserve">L-046, L-047</t>
  </si>
  <si>
    <t xml:space="preserve">6 Fluidstack (L2)</t>
  </si>
  <si>
    <t xml:space="preserve">HOLE (project companies raised 15,200 for 1.43 GW: a separate TPU-site program)</t>
  </si>
  <si>
    <t xml:space="preserve">spend commitment; phasing beyond 2026 undisclosed</t>
  </si>
  <si>
    <t xml:space="preserve">Google conditional support on project debt</t>
  </si>
  <si>
    <t xml:space="preserve">L-076, L-168, L-045</t>
  </si>
  <si>
    <t xml:space="preserve">DOC (phasing HOLE)</t>
  </si>
  <si>
    <t xml:space="preserve">7 Nscale (L2)</t>
  </si>
  <si>
    <t xml:space="preserve">terms not published [VERIFY]</t>
  </si>
  <si>
    <t xml:space="preserve">not disclosed</t>
  </si>
  <si>
    <t xml:space="preserve">8 Lambda (L2)</t>
  </si>
  <si>
    <t xml:space="preserve">Anthropic-Lambda term HOLE (AJ 6 yrs); landlord lease 15 yr, 704 MW, 19,600 base-term (L-167)</t>
  </si>
  <si>
    <t xml:space="preserve">Nvidia holds the datacenter lease; Hut 8 landlord</t>
  </si>
  <si>
    <t xml:space="preserve">T2 / T1</t>
  </si>
  <si>
    <t xml:space="preserve">L-137, L-167</t>
  </si>
  <si>
    <t xml:space="preserve">9 Volta (L2)</t>
  </si>
  <si>
    <t xml:space="preserve">'reportedly': single chain</t>
  </si>
  <si>
    <t xml:space="preserve">hydropower site (Bitdeer)</t>
  </si>
  <si>
    <t xml:space="preserve">10 Riot Platforms (L2)</t>
  </si>
  <si>
    <t xml:space="preserve">none</t>
  </si>
  <si>
    <t xml:space="preserve">11 AMD (L1)</t>
  </si>
  <si>
    <t xml:space="preserve">unpriced</t>
  </si>
  <si>
    <t xml:space="preserve">up to 2 GW; $ undisclosed; equity up to 5,000 contingent (inflow)</t>
  </si>
  <si>
    <t xml:space="preserve">AMD leases DC sites itself (9,500; guarantees 4,100)</t>
  </si>
  <si>
    <t xml:space="preserve">L-043, L-146</t>
  </si>
  <si>
    <t xml:space="preserve">UNPRICED</t>
  </si>
  <si>
    <t xml:space="preserve">12 Copyright (L5)</t>
  </si>
  <si>
    <t xml:space="preserve">payable 2026</t>
  </si>
  <si>
    <t xml:space="preserve">L5 (consumption)</t>
  </si>
  <si>
    <t xml:space="preserve">13 Debt facilities</t>
  </si>
  <si>
    <t xml:space="preserve">facility, not spend</t>
  </si>
  <si>
    <t xml:space="preserve">T2 / T3 / T3</t>
  </si>
  <si>
    <t xml:space="preserve">L-014, L-042, L-160</t>
  </si>
  <si>
    <t xml:space="preserve">facility</t>
  </si>
  <si>
    <t xml:space="preserve">TOTAL documented-$ (items 1, 4-10; scope DOC)</t>
  </si>
  <si>
    <t xml:space="preserve">Cancellable within documented-$ (SpaceX beyond 90 days + Riot options):</t>
  </si>
  <si>
    <t xml:space="preserve">share of documented-$</t>
  </si>
  <si>
    <t xml:space="preserve">TOTAL documented-$ incl. the TPU SPV lease (scope DOC + SPV)</t>
  </si>
  <si>
    <t xml:space="preserve">Contingent equity inflows (Amazon + Google + AMD; shown, not added):</t>
  </si>
  <si>
    <t xml:space="preserve">REPORTED-$ (documented-$ + the Google leg at its reported ~200,000) [VERIFY, T3]</t>
  </si>
  <si>
    <t xml:space="preserve">[VERIFY] L-155 (T3, page not opened); incl. SPV:</t>
  </si>
  <si>
    <t xml:space="preserve">Unpriced GW: Google 5 GW contracted (reported value T3 only) + 5-10 GW line of sight; AMD 2 GW</t>
  </si>
  <si>
    <t xml:space="preserve">GW contracted and unpriced (Google 5 + AMD 2)</t>
  </si>
  <si>
    <t xml:space="preserve">OBLIGATION STACK, OPENAI (Exhibit E7; A25:J40; cost-stack section 4b). Row 25-26 = the Microsoft anchor (Exhibit E12).</t>
  </si>
  <si>
    <t xml:space="preserve">Cash paid to date ($M)</t>
  </si>
  <si>
    <t xml:space="preserve">1 Microsoft Azure (L2)</t>
  </si>
  <si>
    <t xml:space="preserve">T4 / T1 / T3 / T2</t>
  </si>
  <si>
    <t xml:space="preserve">L-121, L-054, L-051, L-052, L-159, L-157, L-158</t>
  </si>
  <si>
    <t xml:space="preserve">RECALLED (CNV) + PROXY</t>
  </si>
  <si>
    <t xml:space="preserve">Exhibit E12 row: the T1 cash anchor is LB08 (24,100 FY2026) with A/R 6,000; do not print '20%'</t>
  </si>
  <si>
    <t xml:space="preserve">2 Oracle (L2)</t>
  </si>
  <si>
    <t xml:space="preserve">HOLE (Oracle does not name OpenAI)</t>
  </si>
  <si>
    <t xml:space="preserve">prepayments booked by Oracle; cancellability unknown</t>
  </si>
  <si>
    <t xml:space="preserve">Oracle raises ~40,000 debt+equity in FY27</t>
  </si>
  <si>
    <t xml:space="preserve">T2 (T1 bound: RPO 638,000)</t>
  </si>
  <si>
    <t xml:space="preserve">L-064, L-056, L-057</t>
  </si>
  <si>
    <t xml:space="preserve">3 AWS (L2)</t>
  </si>
  <si>
    <t xml:space="preserve">'up to' 100,000 expansion may be a ceiling</t>
  </si>
  <si>
    <t xml:space="preserve">T2 / T4</t>
  </si>
  <si>
    <t xml:space="preserve">4 CoreWeave (L2)</t>
  </si>
  <si>
    <t xml:space="preserve">'committed to pay up to'; T1 tranche 6,500</t>
  </si>
  <si>
    <t xml:space="preserve">CoreWeave funds with 9.0-9.75% notes and OEM financing</t>
  </si>
  <si>
    <t xml:space="preserve">T1 / T4</t>
  </si>
  <si>
    <t xml:space="preserve">L-058, L-059</t>
  </si>
  <si>
    <t xml:space="preserve">5 Cerebras (L1)</t>
  </si>
  <si>
    <t xml:space="preserve">option +1.25 GW by end-2030 (optional); warrant vests on milestones</t>
  </si>
  <si>
    <t xml:space="preserve">6 SB Energy PORTS-Pike (L2)</t>
  </si>
  <si>
    <t xml:space="preserve">unpriced (rent undisclosed)</t>
  </si>
  <si>
    <t xml:space="preserve">7 SB Energy Milam County (L2)</t>
  </si>
  <si>
    <t xml:space="preserve">rent undisclosed; warrant FV charge 2,573 at SB Energy</t>
  </si>
  <si>
    <t xml:space="preserve">SoftBank-affiliated landlord</t>
  </si>
  <si>
    <t xml:space="preserve">8 AMD (L1)</t>
  </si>
  <si>
    <t xml:space="preserve">unpriced (90,000 is a press estimate, CNV)</t>
  </si>
  <si>
    <t xml:space="preserve">milestone-based purchases: effectively optional</t>
  </si>
  <si>
    <t xml:space="preserve">AMD credit support to neoclouds</t>
  </si>
  <si>
    <t xml:space="preserve">T1 (GW) / T4 ($)</t>
  </si>
  <si>
    <t xml:space="preserve">L-060, L-123</t>
  </si>
  <si>
    <t xml:space="preserve">RECALLED (CNV)</t>
  </si>
  <si>
    <t xml:space="preserve">9 Broadcom (L1)</t>
  </si>
  <si>
    <t xml:space="preserve">unpriced (350,000 / 10 GW is CNV)</t>
  </si>
  <si>
    <t xml:space="preserve">vendor 'on track' language, not disclosed take-or-pay</t>
  </si>
  <si>
    <t xml:space="preserve">Broadcom supply secured through FY2028</t>
  </si>
  <si>
    <t xml:space="preserve">L-050, L-122, L-144</t>
  </si>
  <si>
    <t xml:space="preserve">10 Nvidia (L1)</t>
  </si>
  <si>
    <t xml:space="preserve">LOI 100,000 / 10 GW RETIRED (C-20)</t>
  </si>
  <si>
    <t xml:space="preserve">n/a (30,000 equity inflow)</t>
  </si>
  <si>
    <t xml:space="preserve">RVG 105,000 is Nvidia's contingent liability, not OpenAI's</t>
  </si>
  <si>
    <t xml:space="preserve">see item 6</t>
  </si>
  <si>
    <t xml:space="preserve">L-075, L-061</t>
  </si>
  <si>
    <t xml:space="preserve">INFLOW</t>
  </si>
  <si>
    <t xml:space="preserve">11 Stargate US sites (L2)</t>
  </si>
  <si>
    <t xml:space="preserve">&gt;9 GW planned; overlaps items 2 and 6-7 (do not add)</t>
  </si>
  <si>
    <t xml:space="preserve">Abilene operating</t>
  </si>
  <si>
    <t xml:space="preserve">five sites complete Q4-2028 (T3)</t>
  </si>
  <si>
    <t xml:space="preserve">Oracle / Crusoe project finance off-balance-sheet</t>
  </si>
  <si>
    <t xml:space="preserve">OVERLAP</t>
  </si>
  <si>
    <t xml:space="preserve">12 Debt</t>
  </si>
  <si>
    <t xml:space="preserve">facilities</t>
  </si>
  <si>
    <t xml:space="preserve">no Stargate project debt at the OpenAI level found</t>
  </si>
  <si>
    <t xml:space="preserve">TOTAL documented-$ (items 2-5; scope DOC)</t>
  </si>
  <si>
    <t xml:space="preserve">Unpriced T1 leases (GW-IT):</t>
  </si>
  <si>
    <t xml:space="preserve">RECALLED-$ (items 1, 8, 9; scope RECALLED; all could-not-verify)</t>
  </si>
  <si>
    <t xml:space="preserve">Sum documented + recalled (vs the 1,150,000 'obligations through 2035' tally):</t>
  </si>
  <si>
    <t xml:space="preserve">Share of the reconstructed tally resting on could-not-verify rows</t>
  </si>
  <si>
    <t xml:space="preserve">Cash anchors: LB08 24,100 FY26 to Microsoft (T1) + 50,000 2026 compute plan (T2) + 1,000 Cerebras loan (T1) + Q1-26 burn 3,700 (T3)</t>
  </si>
  <si>
    <t xml:space="preserve">TALLY RECONCILIATION: the numbers are scopes, not one number (Exhibit E8; A45:H58; cost-stack section 5)</t>
  </si>
  <si>
    <t xml:space="preserve">Tally</t>
  </si>
  <si>
    <t xml:space="preserve">Value ($M)</t>
  </si>
  <si>
    <t xml:space="preserve">Scope / definition</t>
  </si>
  <si>
    <t xml:space="preserve">Vintage</t>
  </si>
  <si>
    <t xml:space="preserve">Row · status · tier</t>
  </si>
  <si>
    <t xml:space="preserve">Reconciles?</t>
  </si>
  <si>
    <t xml:space="preserve">Components (formula)</t>
  </si>
  <si>
    <t xml:space="preserve">Bloomberg (Aug-31): 'at least 175,000'</t>
  </si>
  <si>
    <t xml:space="preserve">Lambda + Nscale + Fluidstack + SpaceX at its 36-month maximum</t>
  </si>
  <si>
    <t xml:space="preserve">L-138 · estimated · T2</t>
  </si>
  <si>
    <t xml:space="preserve">Yes, exactly</t>
  </si>
  <si>
    <t xml:space="preserve">C06 + C05 + C04 + C03 (schedule totals)</t>
  </si>
  <si>
    <t xml:space="preserve">TechCrunch (Aug-26): 'at least 61,000'</t>
  </si>
  <si>
    <t xml:space="preserve">Nscale + Volta + AMD 5,000 (equity, not compute) + SpaceX one month</t>
  </si>
  <si>
    <t xml:space="preserve">Yes, but mixes an equity inflow with compute: do not cite</t>
  </si>
  <si>
    <t xml:space="preserve">C05 + C07 + A17_amd + C03_monthly</t>
  </si>
  <si>
    <t xml:space="preserve">stepmark (T4): '&gt;99,000'</t>
  </si>
  <si>
    <t xml:space="preserve">Volta + Riot + Nscale + Lambda (four neoclouds)</t>
  </si>
  <si>
    <t xml:space="preserve">L-138 · estimated · T4</t>
  </si>
  <si>
    <t xml:space="preserve">Yes</t>
  </si>
  <si>
    <t xml:space="preserve">C07 + C08 + C05 + C06</t>
  </si>
  <si>
    <t xml:space="preserve">youngresearch (T4): '517,000'</t>
  </si>
  <si>
    <t xml:space="preserve">not reproducible from ledger rows</t>
  </si>
  <si>
    <t xml:space="preserve">No: CUT</t>
  </si>
  <si>
    <t xml:space="preserve">Register (Jun-12): '80B+ across 6 partners'</t>
  </si>
  <si>
    <t xml:space="preserve">pre-dates Riot, Volta, Nscale, Lambda</t>
  </si>
  <si>
    <t xml:space="preserve">L-138 · recalled · T4</t>
  </si>
  <si>
    <t xml:space="preserve">Superseded: CUT</t>
  </si>
  <si>
    <t xml:space="preserve">The Information (May-5): Google leg '~200,000 over five years' [VERIFY]</t>
  </si>
  <si>
    <t xml:space="preserve">Google Cloud commitment only (5 GW from 2027); '&gt;40%' of Google's backlog; not in any other tally</t>
  </si>
  <si>
    <t xml:space="preserve">L-155 · estimated · T3 [VERIFY]; L-153, L-154 · T1 silent</t>
  </si>
  <si>
    <t xml:space="preserve">Page not opened (503); if true it alone roughly doubles every published 2026 tally (C-14 addendum)</t>
  </si>
  <si>
    <t xml:space="preserve">v5 ledger stack: documented-$ (8 contracts)</t>
  </si>
  <si>
    <t xml:space="preserve">items 1, 4-10 of E6</t>
  </si>
  <si>
    <t xml:space="preserve">mixed T1-T3</t>
  </si>
  <si>
    <t xml:space="preserve">Print the components; never a single total without this scope line</t>
  </si>
  <si>
    <t xml:space="preserve">SUMIFS scope DOC</t>
  </si>
  <si>
    <t xml:space="preserve">v5 ledger stack: documented-$ + TPU SPV lease</t>
  </si>
  <si>
    <t xml:space="preserve">adds the 34,500 lessor-debt lease (L-044)</t>
  </si>
  <si>
    <t xml:space="preserve">T3 (SPV)</t>
  </si>
  <si>
    <t xml:space="preserve">as above</t>
  </si>
  <si>
    <t xml:space="preserve">DOC + SPV</t>
  </si>
  <si>
    <t xml:space="preserve">v5 ledger stack: reported-$ incl. the Google leg [VERIFY]</t>
  </si>
  <si>
    <t xml:space="preserve">documented-$ + 200,000 reported; never inside documented-$</t>
  </si>
  <si>
    <t xml:space="preserve">own scope row only</t>
  </si>
  <si>
    <t xml:space="preserve">DOC + REPORTED</t>
  </si>
  <si>
    <t xml:space="preserve">OpenAI spend plan (Feb) 665,000 / (May) 600,000 / (Jul) 750,000</t>
  </si>
  <si>
    <t xml:space="preserve">P&amp;L consumption 2026-2030 (three vintages; May and Jul in columns D-E of row 56)</t>
  </si>
  <si>
    <t xml:space="preserve">2026-02-21 / 05-05 / 07-22</t>
  </si>
  <si>
    <t xml:space="preserve">L-082 T3 / L-078 T2 / L-062 T2</t>
  </si>
  <si>
    <t xml:space="preserve">Same object, different vintages and definitions; never compared with the obligation stack</t>
  </si>
  <si>
    <t xml:space="preserve">01_Data LB07b_feb / LB07b_may / LB07b</t>
  </si>
  <si>
    <t xml:space="preserve">   May vintage (sworn) / Jul vintage</t>
  </si>
  <si>
    <t xml:space="preserve">compute spending through 2030</t>
  </si>
  <si>
    <t xml:space="preserve">L-078 · confirmed · T2; L-062 · estimated · T2</t>
  </si>
  <si>
    <t xml:space="preserve">+25% vs May in 11 weeks</t>
  </si>
  <si>
    <t xml:space="preserve">OpenAI obligation stack 1,150,000 (register) vs reconstructed documented + recalled</t>
  </si>
  <si>
    <t xml:space="preserve">contracts through ~2035 across vendors: 480,400 documented-$ + 690,000 recalled-$ (59% CNV)</t>
  </si>
  <si>
    <t xml:space="preserve">L-062 notes · recalled · T4</t>
  </si>
  <si>
    <t xml:space="preserve">Reconciles within 2% of the 1,150,000 canonical tally (register value in D)</t>
  </si>
  <si>
    <t xml:space="preserve">DOC_O + REC_O</t>
  </si>
  <si>
    <t xml:space="preserve">reconstructed vs canonical</t>
  </si>
  <si>
    <t xml:space="preserve">OpenAI headline 1,400,000 (Altman) and 2026 spend 50,000</t>
  </si>
  <si>
    <t xml:space="preserve">includes optional and aspirational capacity; 2026 spend = first-year slice (LB07a in D)</t>
  </si>
  <si>
    <t xml:space="preserve">L-062 T2 relay; L-078 T2</t>
  </si>
  <si>
    <t xml:space="preserve">Never mixed with a spend plan or the obligation stack</t>
  </si>
  <si>
    <t xml:space="preserve">T_headline; LB07a</t>
  </si>
  <si>
    <t xml:space="preserve">Rule: a spend plan (2026-2030 consumption) is never compared with an obligation stack (through 2035 contracts) or with a headline. The comparable pair is burn plan vs spend plan (both consumption).</t>
  </si>
  <si>
    <t xml:space="preserve">ANNUALIZED PRICED COMMITMENT RUN BY YEAR (Exhibit E3, layers L1-L2; A60:K75; SUMIFS over the schedule by company, layer and 'RUN' flag)</t>
  </si>
  <si>
    <t xml:space="preserve">Anthropic L1 (TPU SPV lease)</t>
  </si>
  <si>
    <t xml:space="preserve">priced contracts only (scope DOC/SPV/PROXY, flag RUN)</t>
  </si>
  <si>
    <t xml:space="preserve">Anthropic L2 (cloud, neocloud, site)</t>
  </si>
  <si>
    <t xml:space="preserve">Anthropic priced run, L1 + L2</t>
  </si>
  <si>
    <t xml:space="preserve">   check vs spec (28,158 / 47,730 / 53,355 / 44,605 / 38,355)</t>
  </si>
  <si>
    <t xml:space="preserve">OpenAI L1 (Cerebras)</t>
  </si>
  <si>
    <t xml:space="preserve">OpenAI L2 (Oracle, AWS, CoreWeave, Azure proxy)</t>
  </si>
  <si>
    <t xml:space="preserve">OpenAI priced run, L1 + L2</t>
  </si>
  <si>
    <t xml:space="preserve">   check vs spec (2027: 110,083)</t>
  </si>
  <si>
    <t xml:space="preserve">Anthropic Google leg, REPORTED branch (40,000 per year 2027-2031, L-155) [VERIFY]</t>
  </si>
  <si>
    <t xml:space="preserve">T3 [VERIFY]; scope REPORTED; never documented-$</t>
  </si>
  <si>
    <t xml:space="preserve">Anthropic Google leg, PROXY branch (unpriced GW x SW_TPU_RATE x 1,000)</t>
  </si>
  <si>
    <t xml:space="preserve">GW: 2026 0 (Ironwood inside the SPV); 2027 = 5 contracted; 2028+ = SW_GW_2028</t>
  </si>
  <si>
    <t xml:space="preserve">AMD proxy (2 GW from 2027 at SW_TPU_RATE; AJ)</t>
  </si>
  <si>
    <t xml:space="preserve">L-043 (GW T1); rate AJ = SW_TPU_RATE</t>
  </si>
  <si>
    <t xml:space="preserve">Anthropic 2028 stack, reported branch (priced + Google leg reported; check 93,355)</t>
  </si>
  <si>
    <t xml:space="preserve">Google leg in use (SW_GOOGLE_VALUE)</t>
  </si>
  <si>
    <t xml:space="preserve">Cross-check: 2026 priced run = L2 24,708 (AWS 10,000 + Azure 6,000 + SpaceX 7,875 + Volta 833) + L1 SPV 3,450 (cost-stack section 2)</t>
  </si>
  <si>
    <t xml:space="preserve">ENVELOPE VS COMMITMENTS, ANTHROPIC (Exhibit E10 chart data; A80:K98): plan envelope = revenue x (1 - plan GM) + training; priced run; Google leg (switch); AMD proxy; gaps (negative = plan does not cover commitments)</t>
  </si>
  <si>
    <t xml:space="preserve">Plan envelope, LOW (2026: FY at 100,000 x (1 - 60% GM) + 7,000; 2027: 140,000 x (1 - 63%) + 14,000; 2028: 190,000 x (1 - 77%) + 22,000)</t>
  </si>
  <si>
    <t xml:space="preserve">L-035 / AJ / L-036 revenue; L-119 GM (T4); L-125 training (T4)</t>
  </si>
  <si>
    <t xml:space="preserve">Plan envelope, HIGH (2026: FY at 120,000 x (1 - 44%) + 7,000; 2027: 150,000 x 37% + 14,000; 2028: 200,000 x 23% + 22,000)</t>
  </si>
  <si>
    <t xml:space="preserve">Scenario envelope, LIVE (03_Costs: COGS L4 + training L3 at SW_SCEN)</t>
  </si>
  <si>
    <t xml:space="preserve">03_Costs row 20</t>
  </si>
  <si>
    <t xml:space="preserve">Priced run (L1 + L2, row 64)</t>
  </si>
  <si>
    <t xml:space="preserve">Google leg in use (SW_GOOGLE_VALUE; row 74)</t>
  </si>
  <si>
    <t xml:space="preserve">AMD proxy (row 72)</t>
  </si>
  <si>
    <t xml:space="preserve">Gap BEFORE AMD, plan low = envelope low - priced - Google leg</t>
  </si>
  <si>
    <t xml:space="preserve">negative = the plan does not cover the commitments</t>
  </si>
  <si>
    <t xml:space="preserve">Gap BEFORE AMD, plan high = envelope high - priced - Google leg</t>
  </si>
  <si>
    <t xml:space="preserve">Gap AFTER AMD, plan low</t>
  </si>
  <si>
    <t xml:space="preserve">Gap AFTER AMD, plan high</t>
  </si>
  <si>
    <t xml:space="preserve">Gap, scenario envelope (live) BEFORE AMD</t>
  </si>
  <si>
    <t xml:space="preserve">Gap, scenario envelope (live) AFTER AMD</t>
  </si>
  <si>
    <t xml:space="preserve">Unpriced Google GW by year (2026 0; 2027 contracted 5; 2028+ SW_GW_2028)</t>
  </si>
  <si>
    <t xml:space="preserve">L-073, L-049; SW_GW_2028</t>
  </si>
  <si>
    <t xml:space="preserve">Consistency cell: reported 200,000 / 5 yr / 5 GW = $M per MW-yr (fits ~5 GW); at 16 GW; vs the SPV chips-only rate</t>
  </si>
  <si>
    <t xml:space="preserve">8.0 at 5 GW is close to the 9.3 proxy; 2.5 at 16 GW is below chips-only 6.9, so the reported figure fits ~5 GW and Broadcom's line of sight is additional capacity</t>
  </si>
  <si>
    <t xml:space="preserve">E10 BRANCH GRID at AF97:AP102 (computed from the 01_Data branch values, independent of the switches): 2027 and 2028 gaps before AMD; report language: reported '$25-28B/yr', proxy 5 GW '$30-50B/yr', proxy 15 GW '$125-175B/yr'</t>
  </si>
  <si>
    <t xml:space="preserve">E10 BRANCH GRID (see section header at A96)</t>
  </si>
  <si>
    <t xml:space="preserve">Branch</t>
  </si>
  <si>
    <t xml:space="preserve">Google leg 2027</t>
  </si>
  <si>
    <t xml:space="preserve">Gap 2027 low</t>
  </si>
  <si>
    <t xml:space="preserve">Gap 2027 high</t>
  </si>
  <si>
    <t xml:space="preserve">Gap 2028 low</t>
  </si>
  <si>
    <t xml:space="preserve">Gap 2028 high</t>
  </si>
  <si>
    <t xml:space="preserve">Gap 2028 midpoint</t>
  </si>
  <si>
    <t xml:space="preserve">Check 2027 low / 2028 low or mid</t>
  </si>
  <si>
    <t xml:space="preserve">Check 2028 low / mid</t>
  </si>
  <si>
    <t xml:space="preserve">Check 2027 high</t>
  </si>
  <si>
    <t xml:space="preserve">Check 2028 high</t>
  </si>
  <si>
    <t xml:space="preserve">Branch grid printed at AF97:AP102 (five branches); the row-98 cells below link its first row.</t>
  </si>
  <si>
    <t xml:space="preserve">reported ~200,000 over five years = 40,000 per year (Base) [VERIFY]</t>
  </si>
  <si>
    <t xml:space="preserve">T3 [VERIFY] (L-155); filings silent (L-153, L-154, L-156)</t>
  </si>
  <si>
    <t xml:space="preserve">CONTRACT SCHEDULE (A100:AD127): ID · company · counterparty · layer · start · end · term · total · annual value · GW/MW · cancellability · flag · backstop · tier · row · scope · in priced run · first-year factor · month indices · annual values by year · cancellable $ · note</t>
  </si>
  <si>
    <t xml:space="preserve">proxy, contracted 5 GW at 9.3 per MW-yr</t>
  </si>
  <si>
    <t xml:space="preserve">T3 derived (L-044, L-136, L-134)</t>
  </si>
  <si>
    <t xml:space="preserve">Company</t>
  </si>
  <si>
    <t xml:space="preserve">Counterparty</t>
  </si>
  <si>
    <t xml:space="preserve">Start</t>
  </si>
  <si>
    <t xml:space="preserve">End</t>
  </si>
  <si>
    <t xml:space="preserve">Term (yrs)</t>
  </si>
  <si>
    <t xml:space="preserve">Total ($M)</t>
  </si>
  <si>
    <t xml:space="preserve">Annual value ($M)</t>
  </si>
  <si>
    <t xml:space="preserve">GW / MW</t>
  </si>
  <si>
    <t xml:space="preserve">Cancellability (text)</t>
  </si>
  <si>
    <t xml:space="preserve">Cancel flag</t>
  </si>
  <si>
    <t xml:space="preserve">Backstop (text)</t>
  </si>
  <si>
    <t xml:space="preserve">Scope (DOC / SPV / REPORTED / UNPRICED / RECALLED / PROXY / INFLOW / OVERLAP)</t>
  </si>
  <si>
    <t xml:space="preserve">In priced run</t>
  </si>
  <si>
    <t xml:space="preserve">First-year factor</t>
  </si>
  <si>
    <t xml:space="preserve">Start idx</t>
  </si>
  <si>
    <t xml:space="preserve">End idx</t>
  </si>
  <si>
    <t xml:space="preserve">Cancellable $</t>
  </si>
  <si>
    <t xml:space="preserve">proxy, contracted 5 GW at 12.5 per MW-yr</t>
  </si>
  <si>
    <t xml:space="preserve">T3 derived</t>
  </si>
  <si>
    <t xml:space="preserve">C01</t>
  </si>
  <si>
    <t xml:space="preserve">AWS</t>
  </si>
  <si>
    <t xml:space="preserve">up to 5 GW; ~1 GW Trainium by end-2026</t>
  </si>
  <si>
    <t xml:space="preserve">take-or-pay status not disclosed; treat as contracted</t>
  </si>
  <si>
    <t xml:space="preserve">NONE-DISCLOSED</t>
  </si>
  <si>
    <t xml:space="preserve">Amazon is investor and supplier; equity 13,000 invested, up to 20,000 more on milestones (inflow)</t>
  </si>
  <si>
    <t xml:space="preserve">RUN</t>
  </si>
  <si>
    <t xml:space="preserve">straight-line 10,000 per year 2026-2035</t>
  </si>
  <si>
    <t xml:space="preserve">proxy, 15 GW incl. Broadcom's 2028 line of sight at 9.3</t>
  </si>
  <si>
    <t xml:space="preserve">T1 GW (L-049), T3 rate</t>
  </si>
  <si>
    <t xml:space="preserve">C02</t>
  </si>
  <si>
    <t xml:space="preserve">Azure</t>
  </si>
  <si>
    <t xml:space="preserve">up to 1 GW</t>
  </si>
  <si>
    <t xml:space="preserve">Microsoft equity up to 5,000 (funded; 3,200 gain at MSFT)</t>
  </si>
  <si>
    <t xml:space="preserve">term not stated; AJ 5 yrs from 2026</t>
  </si>
  <si>
    <t xml:space="preserve">proxy, 15 GW at 12.5</t>
  </si>
  <si>
    <t xml:space="preserve">C03</t>
  </si>
  <si>
    <t xml:space="preserve">SpaceX COLOSSUS / COLOSSUS II</t>
  </si>
  <si>
    <t xml:space="preserve">MW not stated</t>
  </si>
  <si>
    <t xml:space="preserve">entire contract terminable by either party on 90 days' notice: contracted at any moment = 3 months</t>
  </si>
  <si>
    <t xml:space="preserve">FULL 90-day</t>
  </si>
  <si>
    <t xml:space="preserve">SpaceX bought ~2,000 of gas turbines for its DCs</t>
  </si>
  <si>
    <t xml:space="preserve">2026 = 7 months x 0.9 ramp; 2027-2028 = 15,000; 2029 = 5 months</t>
  </si>
  <si>
    <t xml:space="preserve">C04</t>
  </si>
  <si>
    <t xml:space="preserve">Fluidstack</t>
  </si>
  <si>
    <t xml:space="preserve">site MW not disclosed</t>
  </si>
  <si>
    <t xml:space="preserve">spend commitment, not a customer contract; phasing beyond 2026 undisclosed (L-168: 'throughout 2026')</t>
  </si>
  <si>
    <t xml:space="preserve">Google conditional support on project debt (L-045)</t>
  </si>
  <si>
    <t xml:space="preserve">EXCL</t>
  </si>
  <si>
    <t xml:space="preserve">phasing HOLE: excluded from the annual priced run</t>
  </si>
  <si>
    <t xml:space="preserve">C05</t>
  </si>
  <si>
    <t xml:space="preserve">Nscale</t>
  </si>
  <si>
    <t xml:space="preserve">~460 MW Vera Rubin</t>
  </si>
  <si>
    <t xml:space="preserve">terms not published [VERIFY]; 460 MW is T3/T4</t>
  </si>
  <si>
    <t xml:space="preserve">capacity from late-2027: 2027 = 25% year</t>
  </si>
  <si>
    <t xml:space="preserve">C06</t>
  </si>
  <si>
    <t xml:space="preserve">Lambda (Beacon Point)</t>
  </si>
  <si>
    <t xml:space="preserve">~350 MW; landlord lease 15 yr / 704 MW / 19,600 base-term (L-167)</t>
  </si>
  <si>
    <t xml:space="preserve">Anthropic-Lambda term HOLE (AJ 6 yrs, flagged); landlord lease 15 yr</t>
  </si>
  <si>
    <t xml:space="preserve">Nvidia holds the datacenter lease (Bloomberg); Hut 8 landlord; tenant Nvidia per FT relay</t>
  </si>
  <si>
    <t xml:space="preserve">C07</t>
  </si>
  <si>
    <t xml:space="preserve">Volta (Tydal, Norway)</t>
  </si>
  <si>
    <t xml:space="preserve">133 MW</t>
  </si>
  <si>
    <t xml:space="preserve">H2-2026 start</t>
  </si>
  <si>
    <t xml:space="preserve">C08</t>
  </si>
  <si>
    <t xml:space="preserve">Riot Platforms (Rockdale)</t>
  </si>
  <si>
    <t xml:space="preserve">191 MW powered shell</t>
  </si>
  <si>
    <t xml:space="preserve">two 5-yr extensions to 16,100: 7,000 optional</t>
  </si>
  <si>
    <t xml:space="preserve">OPTION</t>
  </si>
  <si>
    <t xml:space="preserve">start date AJ (see 00_Assumptions RIOTSTART note)</t>
  </si>
  <si>
    <t xml:space="preserve">C09</t>
  </si>
  <si>
    <t xml:space="preserve">TPU lease SPV ('AI XPV Platform')</t>
  </si>
  <si>
    <t xml:space="preserve">&gt;1 GW TPU systems</t>
  </si>
  <si>
    <t xml:space="preserve">lease presumed non-cancellable (debt-serviced); PB deleted it from Total Raised (C-01)</t>
  </si>
  <si>
    <t xml:space="preserve">Broadcom and Google absorb part of the losses if Anthropic or Fluidstack stops paying; tranches T+1pt / 5.75% / 8.5%</t>
  </si>
  <si>
    <t xml:space="preserve">principal only; coupons add interest</t>
  </si>
  <si>
    <t xml:space="preserve">C10a</t>
  </si>
  <si>
    <t xml:space="preserve">Google Cloud (REPORTED value) [VERIFY]</t>
  </si>
  <si>
    <t xml:space="preserve">5 GW over five years</t>
  </si>
  <si>
    <t xml:space="preserve">take-or-pay undisclosed; Alphabet 10-Q, Google release, Broadcom 10-Q silent on $ (L-153, L-154, L-156)</t>
  </si>
  <si>
    <t xml:space="preserve">REPORTED</t>
  </si>
  <si>
    <t xml:space="preserve">[VERIFY] The Information via Reuters, page not opened; enters ONLY the Google-leg switch and the reported-$ line, never documented-$</t>
  </si>
  <si>
    <t xml:space="preserve">C10b</t>
  </si>
  <si>
    <t xml:space="preserve">Google TPU gigawatts (unpriced proxy)</t>
  </si>
  <si>
    <t xml:space="preserve">5 GW contracted 2027 (L-073, L-049); +10 GW 2028 line of sight (L-049); 1 GW Ironwood 2026 inside the SPV</t>
  </si>
  <si>
    <t xml:space="preserve">GW only; $ HOLE; proxy = GW x SW_TPU_RATE x 1,000 in the envelope block</t>
  </si>
  <si>
    <t xml:space="preserve">Google / Broadcom</t>
  </si>
  <si>
    <t xml:space="preserve">L-073, L-049</t>
  </si>
  <si>
    <t xml:space="preserve">proxy computed in A80:K98</t>
  </si>
  <si>
    <t xml:space="preserve">C11</t>
  </si>
  <si>
    <t xml:space="preserve">AMD (MI450 Helios)</t>
  </si>
  <si>
    <t xml:space="preserve">up to 2 GW from H1-2027</t>
  </si>
  <si>
    <t xml:space="preserve">$ HOLE; equity 5,000 contingent (inflow block); purchases on milestones</t>
  </si>
  <si>
    <t xml:space="preserve">MILESTONE</t>
  </si>
  <si>
    <t xml:space="preserve">AMD leases DC sites itself (9,500 over up to 16 yrs; guarantees 4,100)</t>
  </si>
  <si>
    <t xml:space="preserve">proxy 2 GW x SW_TPU_RATE in the envelope block (AJ)</t>
  </si>
  <si>
    <t xml:space="preserve">C12</t>
  </si>
  <si>
    <t xml:space="preserve">Oracle</t>
  </si>
  <si>
    <t xml:space="preserve">~4.5 GW</t>
  </si>
  <si>
    <t xml:space="preserve">cancellability unknown; Oracle books 20,000-25,000 of customer prepayments in FY27 capex</t>
  </si>
  <si>
    <t xml:space="preserve">Oracle raises ~40,000 debt+equity in FY27 to fund it</t>
  </si>
  <si>
    <t xml:space="preserve">T2 (press; Oracle discloses only RPO 638,000, L-056 T1)</t>
  </si>
  <si>
    <t xml:space="preserve">L-064, L-056</t>
  </si>
  <si>
    <t xml:space="preserve">60,000 per year 2027-2031</t>
  </si>
  <si>
    <t xml:space="preserve">C13</t>
  </si>
  <si>
    <t xml:space="preserve">~2 GW Trainium</t>
  </si>
  <si>
    <t xml:space="preserve">'up to' language: the 100,000 expansion may be a ceiling</t>
  </si>
  <si>
    <t xml:space="preserve">38,000 + up to 100,000 over eight years</t>
  </si>
  <si>
    <t xml:space="preserve">C14</t>
  </si>
  <si>
    <t xml:space="preserve">CoreWeave</t>
  </si>
  <si>
    <t xml:space="preserve">'committed to pay up to'; T1 tranche 6,500 through 2031-05-31</t>
  </si>
  <si>
    <t xml:space="preserve">T1 (6,500) / T4 (22,400)</t>
  </si>
  <si>
    <t xml:space="preserve">22,400 / 6 straight-line to 2031</t>
  </si>
  <si>
    <t xml:space="preserve">C15</t>
  </si>
  <si>
    <t xml:space="preserve">Cerebras</t>
  </si>
  <si>
    <t xml:space="preserve">750 MW in tranches 2026-2028; option +1.25 GW</t>
  </si>
  <si>
    <t xml:space="preserve">option +1.25 GW by end-2030: optional; warrant to OpenAI vests on milestones</t>
  </si>
  <si>
    <t xml:space="preserve">n/a; OpenAI advanced Cerebras a 1,000 working-capital loan (use of cash)</t>
  </si>
  <si>
    <t xml:space="preserve">20,000 over 4 yrs, AJ phasing</t>
  </si>
  <si>
    <t xml:space="preserve">C16a</t>
  </si>
  <si>
    <t xml:space="preserve">Microsoft Azure (register 250,000, could-not-verify)</t>
  </si>
  <si>
    <t xml:space="preserve">10-K silent; primaries 403; recalled-$ scope only (CNV)</t>
  </si>
  <si>
    <t xml:space="preserve">Microsoft holds equity; recap gain 6,500; funding commitments 13,000 / 11,900 funded (L-157)</t>
  </si>
  <si>
    <t xml:space="preserve">T4 (CNV)</t>
  </si>
  <si>
    <t xml:space="preserve">L-121, L-054, L-157</t>
  </si>
  <si>
    <t xml:space="preserve">RECALLED</t>
  </si>
  <si>
    <t xml:space="preserve">CNV: never a fact; tally scope only</t>
  </si>
  <si>
    <t xml:space="preserve">C16b</t>
  </si>
  <si>
    <t xml:space="preserve">Microsoft Azure priced proxy (LB08 FY2026 run held flat)</t>
  </si>
  <si>
    <t xml:space="preserve">proxy, not a contract value: FY2026 revenue at Microsoft from OpenAI arrangements incl. revenue share</t>
  </si>
  <si>
    <t xml:space="preserve">revenue share through 2030 at the same % subject to a cap (L-051; cap 38,000 L-052 T3)</t>
  </si>
  <si>
    <t xml:space="preserve">T1 (anchor)</t>
  </si>
  <si>
    <t xml:space="preserve">L-054, L-051, L-052</t>
  </si>
  <si>
    <t xml:space="preserve">PROXY</t>
  </si>
  <si>
    <t xml:space="preserve">in the priced run as the Azure proxy; NOT in documented-$</t>
  </si>
  <si>
    <t xml:space="preserve">C17</t>
  </si>
  <si>
    <t xml:space="preserve">SB Energy PORTS-Pike (Ohio)</t>
  </si>
  <si>
    <t xml:space="preserve">~8.0 GW-IT; 17 leases, 20-yr</t>
  </si>
  <si>
    <t xml:space="preserve">nothing payable until ready-for-service (2028); 'OpenAI is not an investment-grade tenant'</t>
  </si>
  <si>
    <t xml:space="preserve">Nvidia residual-value guaranties 105,000 on the initial ~4.25 GW-IT; option on 3.78 GW-IT</t>
  </si>
  <si>
    <t xml:space="preserve">C18</t>
  </si>
  <si>
    <t xml:space="preserve">SB Energy Milam County (Texas)</t>
  </si>
  <si>
    <t xml:space="preserve">~753 MW; 15-yr</t>
  </si>
  <si>
    <t xml:space="preserve">rent undisclosed; SB Energy booked a 2,573 warrant FV charge</t>
  </si>
  <si>
    <t xml:space="preserve">SoftBank-affiliated landlord; OpenAI warrants 3,991,809 at $0.01</t>
  </si>
  <si>
    <t xml:space="preserve">rent HOLE</t>
  </si>
  <si>
    <t xml:space="preserve">C19</t>
  </si>
  <si>
    <t xml:space="preserve">AMD (6 GW; register 90,000 could-not-verify)</t>
  </si>
  <si>
    <t xml:space="preserve">up to 6 GW; first GW on MI450</t>
  </si>
  <si>
    <t xml:space="preserve">milestone-based purchases: effectively optional; warrant 160M shares at $0.01</t>
  </si>
  <si>
    <t xml:space="preserve">AMD credit support to neoclouds (Core Scientific)</t>
  </si>
  <si>
    <t xml:space="preserve">CNV $</t>
  </si>
  <si>
    <t xml:space="preserve">C20</t>
  </si>
  <si>
    <t xml:space="preserve">Broadcom (Jalapeno; register 350,000 could-not-verify)</t>
  </si>
  <si>
    <t xml:space="preserve">1.3 GW 2027; &gt;5 GW 2028</t>
  </si>
  <si>
    <t xml:space="preserve">Broadcom supply secured through FY2028 for six XPU customers</t>
  </si>
  <si>
    <t xml:space="preserve">L-050, L-122</t>
  </si>
  <si>
    <t xml:space="preserve">C21</t>
  </si>
  <si>
    <t xml:space="preserve">Nvidia (LOI retired; equity 30,000 inflow; RVG 105,000 backstop)</t>
  </si>
  <si>
    <t xml:space="preserve">10 GW LOI retired</t>
  </si>
  <si>
    <t xml:space="preserve">RVG is Nvidia's contingent liability, not OpenAI's</t>
  </si>
  <si>
    <t xml:space="preserve">see C17</t>
  </si>
  <si>
    <t xml:space="preserve">financing, not cost</t>
  </si>
  <si>
    <t xml:space="preserve">C22</t>
  </si>
  <si>
    <t xml:space="preserve">Stargate US sites</t>
  </si>
  <si>
    <t xml:space="preserve">&gt;9 GW planned; Abilene 0.3 GW operational</t>
  </si>
  <si>
    <t xml:space="preserve">overlaps Oracle and SB Energy rows: excluded from sums</t>
  </si>
  <si>
    <t xml:space="preserve">excluded</t>
  </si>
  <si>
    <t xml:space="preserve">End of schedule. Year values: annual value x months active in the year / 12 x first-year ramp factor; month index = year x 12 + month; rows without dates carry 0 (linked to the 01_Data zero, A21a).</t>
  </si>
  <si>
    <t xml:space="preserve">10_Financing: cost-of-capital ladder (F01-F10), spread arithmetic, backstop register (Exhibit E11; A5:H25; cost-stack section 6).</t>
  </si>
  <si>
    <t xml:space="preserve">FINANCING LADDER: who holds the risk</t>
  </si>
  <si>
    <t xml:space="preserve">F#</t>
  </si>
  <si>
    <t xml:space="preserve">Instrument / structure</t>
  </si>
  <si>
    <t xml:space="preserve">Lab</t>
  </si>
  <si>
    <t xml:space="preserve">Rate or terms</t>
  </si>
  <si>
    <t xml:space="preserve">Risk holder</t>
  </si>
  <si>
    <t xml:space="preserve">Row · tier</t>
  </si>
  <si>
    <t xml:space="preserve">F01</t>
  </si>
  <si>
    <t xml:space="preserve">TPU lease SPV, tranches A1 / A2 / B (five-year lease)</t>
  </si>
  <si>
    <t xml:space="preserve">Apollo-led lenders; Broadcom and Google absorb losses if Anthropic or Fluidstack stops paying</t>
  </si>
  <si>
    <t xml:space="preserve">L-044 · T3; L-106 · T1</t>
  </si>
  <si>
    <t xml:space="preserve">30,000 Broadcom-supported + 4,500 unsupported</t>
  </si>
  <si>
    <t xml:space="preserve">F02</t>
  </si>
  <si>
    <t xml:space="preserve">Project-company debt, five TPU site companies (1.43 GW)</t>
  </si>
  <si>
    <t xml:space="preserve">Google conditional support</t>
  </si>
  <si>
    <t xml:space="preserve">Project lenders; Google</t>
  </si>
  <si>
    <t xml:space="preserve">L-045 · T3</t>
  </si>
  <si>
    <t xml:space="preserve">off-balance-sheet</t>
  </si>
  <si>
    <t xml:space="preserve">F03</t>
  </si>
  <si>
    <t xml:space="preserve">Nvidia holds the Lambda datacenter lease</t>
  </si>
  <si>
    <t xml:space="preserve">undisclosed</t>
  </si>
  <si>
    <t xml:space="preserve">Nvidia (lease), Hut 8 (developer)</t>
  </si>
  <si>
    <t xml:space="preserve">L-137 · T2</t>
  </si>
  <si>
    <t xml:space="preserve">the Anthropic-Lambda term is undisclosed</t>
  </si>
  <si>
    <t xml:space="preserve">F04</t>
  </si>
  <si>
    <t xml:space="preserve">Nvidia residual-value guaranties, PORTS</t>
  </si>
  <si>
    <t xml:space="preserve">Nvidia</t>
  </si>
  <si>
    <t xml:space="preserve">L-061 · T1</t>
  </si>
  <si>
    <t xml:space="preserve">OpenAI 'not an investment-grade tenant'</t>
  </si>
  <si>
    <t xml:space="preserve">F05</t>
  </si>
  <si>
    <t xml:space="preserve">Warrants for capacity: AMD (160M sh at $0.01), SB Energy (3.99M sh at $0.01), Cerebras (33.4M Class N)</t>
  </si>
  <si>
    <t xml:space="preserve">vest on purchase / milestone / market-cap targets</t>
  </si>
  <si>
    <t xml:space="preserve">Vendors dilute their own holders; SB Energy booked a 2,573 warrant FV charge in H1-2026</t>
  </si>
  <si>
    <t xml:space="preserve">L-060, L-061, L-149 · T1; L-147 · T1</t>
  </si>
  <si>
    <t xml:space="preserve">value = SB Energy charge</t>
  </si>
  <si>
    <t xml:space="preserve">F06</t>
  </si>
  <si>
    <t xml:space="preserve">Neocloud unsecured notes (2031-2032 coupons)</t>
  </si>
  <si>
    <t xml:space="preserve">Reference</t>
  </si>
  <si>
    <t xml:space="preserve">Bondholders; CoreWeave accumulated deficit 4,000</t>
  </si>
  <si>
    <t xml:space="preserve">L-059 · T1</t>
  </si>
  <si>
    <t xml:space="preserve">unbackstopped benchmark</t>
  </si>
  <si>
    <t xml:space="preserve">F07</t>
  </si>
  <si>
    <t xml:space="preserve">Powered-shell leases: Core Scientific-AMD; Riot</t>
  </si>
  <si>
    <t xml:space="preserve">Landlord</t>
  </si>
  <si>
    <t xml:space="preserve">L-148 · T1; L-136 · T2</t>
  </si>
  <si>
    <t xml:space="preserve">15-yr, 2.5% escalators; 20-yr</t>
  </si>
  <si>
    <t xml:space="preserve">F08</t>
  </si>
  <si>
    <t xml:space="preserve">Full-stack GPU leases: Nscale; Volta</t>
  </si>
  <si>
    <t xml:space="preserve">Neocloud (and its lenders)</t>
  </si>
  <si>
    <t xml:space="preserve">L-134 · T3 derived</t>
  </si>
  <si>
    <t xml:space="preserve">Vera Rubin vintage</t>
  </si>
  <si>
    <t xml:space="preserve">F09</t>
  </si>
  <si>
    <t xml:space="preserve">Hyperscaler own capex: Microsoft CY2026 ~175,000; Meta 125,000-145,000</t>
  </si>
  <si>
    <t xml:space="preserve">DC leases reclassified to operating; useful lives 15 -&gt; 25 yrs; ~two-thirds short-lived GPUs/CPUs</t>
  </si>
  <si>
    <t xml:space="preserve">Hyperscaler shareholders</t>
  </si>
  <si>
    <t xml:space="preserve">L-145 · T1; L-095 · T2</t>
  </si>
  <si>
    <t xml:space="preserve">Meta range in 01_Data</t>
  </si>
  <si>
    <t xml:space="preserve">F10</t>
  </si>
  <si>
    <t xml:space="preserve">Beacon Point (Nueces County, TX) behind the Lambda deal: Hut 8 second 352 MW IT lease, 15-yr; tenant capacity 704 MW; base-term 19,600, 50,200 with renewals</t>
  </si>
  <si>
    <t xml:space="preserve">Anthropic (via Lambda)</t>
  </si>
  <si>
    <t xml:space="preserve">Tenant is Nvidia (Bloomberg; FT relay); Hut 8 landlord</t>
  </si>
  <si>
    <t xml:space="preserve">L-167 · T1; L-137 · T2</t>
  </si>
  <si>
    <t xml:space="preserve">Anthropic-Lambda term undisclosed (AJ 6 yrs on 09_Obligations)</t>
  </si>
  <si>
    <t xml:space="preserve">SPREAD ARITHMETIC: neocloud unsecured 9.00-9.75% (L-059) minus the backstopped SPV A2 5.75% (L-044) = 325-400 bp; on the 34,500 SPV = 1,121-1,380 per year of interest the labs do not pay because vendors carry the tail</t>
  </si>
  <si>
    <t xml:space="preserve">Low</t>
  </si>
  <si>
    <t xml:space="preserve">High</t>
  </si>
  <si>
    <t xml:space="preserve">Check low</t>
  </si>
  <si>
    <t xml:space="preserve">Check high</t>
  </si>
  <si>
    <t xml:space="preserve">Spread (bp)</t>
  </si>
  <si>
    <t xml:space="preserve">bp</t>
  </si>
  <si>
    <t xml:space="preserve">Annual value on the 34,500 SPV ($M)</t>
  </si>
  <si>
    <t xml:space="preserve">BACKSTOP REGISTER</t>
  </si>
  <si>
    <t xml:space="preserve">Backstop</t>
  </si>
  <si>
    <t xml:space="preserve">Holder</t>
  </si>
  <si>
    <t xml:space="preserve">Nvidia residual-value guaranty (PORTS, 4.25 GW-IT)</t>
  </si>
  <si>
    <t xml:space="preserve">nothing payable until ready-for-service</t>
  </si>
  <si>
    <t xml:space="preserve">Nvidia holds the Lambda lease at Beacon Point (landlord base-term value / with renewals in E)</t>
  </si>
  <si>
    <t xml:space="preserve">Nvidia (tenant), Hut 8 (landlord)</t>
  </si>
  <si>
    <t xml:space="preserve">L-137 · T2; L-167 · T1</t>
  </si>
  <si>
    <t xml:space="preserve">Broadcom / Google SPV support (of the 34,500)</t>
  </si>
  <si>
    <t xml:space="preserve">Broadcom, Google</t>
  </si>
  <si>
    <t xml:space="preserve">L-044 · T3</t>
  </si>
  <si>
    <t xml:space="preserve">4,500 unsupported</t>
  </si>
  <si>
    <t xml:space="preserve">Google project-debt support (five TPU site companies)</t>
  </si>
  <si>
    <t xml:space="preserve">Google</t>
  </si>
  <si>
    <t xml:space="preserve">conditional</t>
  </si>
  <si>
    <t xml:space="preserve">AMD DC lease guarantees (max) / new DC leases up to 16 yrs (in E)</t>
  </si>
  <si>
    <t xml:space="preserve">AMD</t>
  </si>
  <si>
    <t xml:space="preserve">L-146 · T1</t>
  </si>
  <si>
    <t xml:space="preserve">SB Energy shareholders</t>
  </si>
  <si>
    <t xml:space="preserve">L-147 · T1</t>
  </si>
  <si>
    <t xml:space="preserve">equity-for-capacity has a real accounting cost at the landlord</t>
  </si>
  <si>
    <t xml:space="preserve">Microsoft recap gain on OpenAI (FY2026)</t>
  </si>
  <si>
    <t xml:space="preserve">Microsoft</t>
  </si>
  <si>
    <t xml:space="preserve">L-054 · T1</t>
  </si>
  <si>
    <t xml:space="preserve">net gains from investments in OpenAI</t>
  </si>
  <si>
    <t xml:space="preserve">Huang statement (the ledger's only evidence on whether the subsidy persists)</t>
  </si>
  <si>
    <t xml:space="preserve">L-075 · T2</t>
  </si>
  <si>
    <t xml:space="preserve">Exhibit E11 spans A5:H29 (ladder A5:H14, spread A16:F19, backstops A21:E29).</t>
  </si>
  <si>
    <t xml:space="preserve">11_AIBQ: CE-1..CE-4 and CI-1..CI-5, old (May-27, L-133) -&gt; new (Sep-9 re-run, aibq-delta.md sections 1-4) with rubric bands, weights, dimension and composite deltas, flags (E14 A5:L40). Ruling 2: no statistical coefficient between AIBQ and valuation is computed, referenced or named anywhere in this workbook.</t>
  </si>
  <si>
    <t xml:space="preserve">Composite deltas use Report weights (CE 0.20, CI 0.15; RQ, GO, MD held at their May-27 values); new composite = canonical old (8.20 / 4.53) + delta. Flags at &gt;= 0.5 sub-score or &gt;= 0.1 composite.</t>
  </si>
  <si>
    <t xml:space="preserve">Sub-score</t>
  </si>
  <si>
    <t xml:space="preserve">Weight</t>
  </si>
  <si>
    <t xml:space="preserve">Old (May-27)</t>
  </si>
  <si>
    <t xml:space="preserve">New (Sep-9)</t>
  </si>
  <si>
    <t xml:space="preserve">Rubric band / basis</t>
  </si>
  <si>
    <t xml:space="preserve">Type</t>
  </si>
  <si>
    <t xml:space="preserve">Delta raw</t>
  </si>
  <si>
    <t xml:space="preserve">Delta dim (weight x delta)</t>
  </si>
  <si>
    <t xml:space="preserve">Flag (&gt;= 0.5)</t>
  </si>
  <si>
    <t xml:space="preserve">Branch note</t>
  </si>
  <si>
    <t xml:space="preserve">Live switch</t>
  </si>
  <si>
    <t xml:space="preserve">ANTHROPIC CAPITAL EFFICIENCY (CE, weight 20%)</t>
  </si>
  <si>
    <t xml:space="preserve">CE-1 Primary efficiency (Efficiency Index; pre-FCF fallback: ARR / equity raised)</t>
  </si>
  <si>
    <t xml:space="preserve">Index 0.55 -&gt; band '&gt;0.50' = 7-8; 9-10 requires '+FCF+', which Ruling 3 keeps unswept; ratio cross-check 0.315x (7-8 band); only the forbidden gross 0.523x reaches 9-10</t>
  </si>
  <si>
    <t xml:space="preserve">L-032, L-007, L-126, L-034</t>
  </si>
  <si>
    <t xml:space="preserve">Method-driven: the prior 10.0 is not reproducible from the rubric without counting a projected non-GAAP adjusted result as TTM FCF+</t>
  </si>
  <si>
    <t xml:space="preserve">Alternative reading (count Q2 adjusted as FCF+): 9.0; weaker because the measure is non-GAAP and excludes SBC (L-152). At 27%: 0.382x, still 7-8</t>
  </si>
  <si>
    <t xml:space="preserve">CE-2 Gross margin quality</t>
  </si>
  <si>
    <t xml:space="preserve">2025 ~40% (3-4); 2026 T4 range 44-60% straddles; Q2 arithmetic implies 31-48% gross / 51-80% net; L-152 ratio implies ~44% gross if compute is all of COGS; scored at the lower edge of 50-65% net; AI-INFRA +1.0 NOT applied</t>
  </si>
  <si>
    <t xml:space="preserve">L-119 (T4), L-034, L-151, L-152, L-033, L-126</t>
  </si>
  <si>
    <t xml:space="preserve">Data-driven, weak tier</t>
  </si>
  <si>
    <t xml:space="preserve">FLAG (T4 input). Alternative: hold 4.0 pending the S-1</t>
  </si>
  <si>
    <t xml:space="preserve">CE-3 Burn trajectory (QoQ): positive adjusted operating income, non-GAAP (L-151, L-152)</t>
  </si>
  <si>
    <t xml:space="preserve">Q1 4,730 -&gt; Q2 11,600 (2.45x) with the adjusted result turning positive and the T4 compute ratio falling 0.71 -&gt; 0.56: 'Improving &gt;50%' = 9-10 on direction</t>
  </si>
  <si>
    <t xml:space="preserve">Confirmed (direction), flagged (measure)</t>
  </si>
  <si>
    <t xml:space="preserve">FLAG (adjusted measure; T3 definition); the GAAP trajectory is unknown</t>
  </si>
  <si>
    <t xml:space="preserve">CE-4 Capital structure health (both facility branches printed)</t>
  </si>
  <si>
    <t xml:space="preserve">Runway &gt;24 months; dilution 17.33%; on-balance-sheet debt 2,500; the 15,000 expansion NOT closed (L-160, house rule); the lease stack (SPV 34,500 / 5 yr, Riot 20-yr, Nscale, Lambda, Volta) is why neither branch returns to 8.0</t>
  </si>
  <si>
    <t xml:space="preserve">L-042, L-160, L-044, L-136, L-135, L-137, L-015</t>
  </si>
  <si>
    <t xml:space="preserve">Data-driven, T3 inputs</t>
  </si>
  <si>
    <t xml:space="preserve">CE dimension = SUMPRODUCT(weights, scores)</t>
  </si>
  <si>
    <t xml:space="preserve">Both branches:</t>
  </si>
  <si>
    <t xml:space="preserve">F = does not close (7.375, default); G = closes (7.30)</t>
  </si>
  <si>
    <t xml:space="preserve">composite impact (x 0.20)</t>
  </si>
  <si>
    <t xml:space="preserve">ANTHROPIC COMPUTE INDEPENDENCE (CI, weight 15%)</t>
  </si>
  <si>
    <t xml:space="preserve">CI-1 Provider diversification</t>
  </si>
  <si>
    <t xml:space="preserve">Nine providers under contract (AWS, Google Cloud, Azure, SpaceX, Nscale, Lambda, Volta, Riot, Fluidstack): 'Four+, well-balanced' = 7-8; balance unverified, so 7.0</t>
  </si>
  <si>
    <t xml:space="preserve">L-072, L-073, L-074, L-046, L-135, L-136, L-137, L-048, L-076</t>
  </si>
  <si>
    <t xml:space="preserve">Data-driven, T1/T2</t>
  </si>
  <si>
    <t xml:space="preserve">FLAG (balance unverified)</t>
  </si>
  <si>
    <t xml:space="preserve">CI-2 Infrastructure ownership</t>
  </si>
  <si>
    <t xml:space="preserve">Fluidstack DC build (T1) + Riot powered shell + TPU systems leased from an SPV: between 3-4 and 5-6; no custom ASIC of its own</t>
  </si>
  <si>
    <t xml:space="preserve">L-076, L-136, L-044, L-132</t>
  </si>
  <si>
    <t xml:space="preserve">Data-driven, T1/T3</t>
  </si>
  <si>
    <t xml:space="preserve">FLAG (ownership structure of the Fluidstack sites undisclosed)</t>
  </si>
  <si>
    <t xml:space="preserve">CI-3 Energy independence</t>
  </si>
  <si>
    <t xml:space="preserve">No PPA attributable to Anthropic; power procured by partners: 'Energy awareness but no direct contracts' = 3-4; the prior 5.0 has no supporting row</t>
  </si>
  <si>
    <t xml:space="preserve">L-131 (could-not-verify, T3)</t>
  </si>
  <si>
    <t xml:space="preserve">Method / absence-driven</t>
  </si>
  <si>
    <t xml:space="preserve">FLAG (absence of evidence at T3)</t>
  </si>
  <si>
    <t xml:space="preserve">CI-4 Supply-chain resilience</t>
  </si>
  <si>
    <t xml:space="preserve">Four active chip families (Nvidia, Google TPU, Trainium, AMD MI450 from 2027): top of 5-6; not 7-8 because none is Anthropic's own and all are TSMC-fabbed</t>
  </si>
  <si>
    <t xml:space="preserve">L-043, L-049, L-072, L-135</t>
  </si>
  <si>
    <t xml:space="preserve">FLAG (rubric interpretation)</t>
  </si>
  <si>
    <t xml:space="preserve">CI-5 Contractual lock-in</t>
  </si>
  <si>
    <t xml:space="preserve">Non-exclusive throughout; SpaceX 90-day (toward 7-8) offset by a 10-yr AWS minimum and a 20-yr Riot lease (toward 3-4): net unchanged</t>
  </si>
  <si>
    <t xml:space="preserve">L-046, L-072, L-136</t>
  </si>
  <si>
    <t xml:space="preserve">Confirmed</t>
  </si>
  <si>
    <t xml:space="preserve">CI dimension (sub-score base 5.05; canonical 5.8 in K)</t>
  </si>
  <si>
    <t xml:space="preserve">delta vs canonical 5.8:</t>
  </si>
  <si>
    <t xml:space="preserve">composite impact (x 0.15) vs the sub-score base</t>
  </si>
  <si>
    <t xml:space="preserve">OPENAI CAPITAL EFFICIENCY (CE, weight 20%)</t>
  </si>
  <si>
    <t xml:space="preserve">CE-1 Primary efficiency (ratio 0.221x -&gt; 5-6 band; C-16 gross case 0.177x -&gt; 3-4 band = 4.0)</t>
  </si>
  <si>
    <t xml:space="preserve">40,000 / 181,216.5 = 0.221x -&gt; 5-6 (0.2-0.3x); prior 3.0 matched 25,000 / 181,216.5 = 0.138x; Index cross-check 0.50 (borderline 5-6 / 7-8)</t>
  </si>
  <si>
    <t xml:space="preserve">L-065, L-022</t>
  </si>
  <si>
    <t xml:space="preserve">Data-driven, T2</t>
  </si>
  <si>
    <t xml:space="preserve">33% (2025) = 3-4 band; 2026E inference 14,100 on 32,400-45,500 implies an improving GM but no GM datapoint exists</t>
  </si>
  <si>
    <t xml:space="preserve">L-083 (T3), L-066</t>
  </si>
  <si>
    <t xml:space="preserve">Unchanged</t>
  </si>
  <si>
    <t xml:space="preserve">CE-3 Burn trajectory</t>
  </si>
  <si>
    <t xml:space="preserve">Operating loss worsened 32% QoQ (9,300 -&gt; 12,300): 'Worsening 10-50%' = 3-4; confirmed at T2</t>
  </si>
  <si>
    <t xml:space="preserve">CE-4 Capital structure health</t>
  </si>
  <si>
    <t xml:space="preserve">By the letter 7-8 (debt 5,220; runway &gt;24 months; dilution 14.23%); the prior treated the obligation stack as debt-like (480,400 documented-$ = 12x run-rate; 20-yr leases as a non-investment-grade tenant): hold, credit the round: 3.0</t>
  </si>
  <si>
    <t xml:space="preserve">L-020, L-023, L-082, L-061</t>
  </si>
  <si>
    <t xml:space="preserve">Data-driven, interpretive</t>
  </si>
  <si>
    <t xml:space="preserve">FLAG (interpretation: commitments treated as debt-like)</t>
  </si>
  <si>
    <t xml:space="preserve">CE dimension</t>
  </si>
  <si>
    <t xml:space="preserve">gross case (CE-1 = 4.0):</t>
  </si>
  <si>
    <t xml:space="preserve">OPENAI COMPUTE INDEPENDENCE (CI, weight 15%)</t>
  </si>
  <si>
    <t xml:space="preserve">Azure, Oracle, AWS, CoreWeave, Cerebras, SB Energy sites, any-cloud: five-plus; Microsoft ~48% of the 2026 compute plan (24,100 / 50,000), so 'no one &gt;50%' just holds: 5-6, top</t>
  </si>
  <si>
    <t xml:space="preserve">L-051, L-054, L-078, L-058, L-064, L-149</t>
  </si>
  <si>
    <t xml:space="preserve">20-yr leases on 8.0 GW-IT + 15-yr on 753 MW as tenant (T1), self-build plans, custom ASIC with a dated 2027 deployment (T1), dedicated Cerebras capacity (T1): above 3-4, not 7-8 (SB Energy and Oracle own the sites; Nvidia guarantees residual value)</t>
  </si>
  <si>
    <t xml:space="preserve">L-061, L-050, L-149, L-132</t>
  </si>
  <si>
    <t xml:space="preserve">Data-driven, T1</t>
  </si>
  <si>
    <t xml:space="preserve">FLAG: three events (Cerebras May-11; SB Energy Aug-17; Broadcom Sep-2) or a re-baseline</t>
  </si>
  <si>
    <t xml:space="preserve">No OpenAI PPA in the ledger; power sits with Oracle campuses and SB Energy (terms undisclosed): 3-4; upside if the SB Energy leases bundle power</t>
  </si>
  <si>
    <t xml:space="preserve">L-079, L-061</t>
  </si>
  <si>
    <t xml:space="preserve">Nvidia + AMD 6 GW (T1) + Broadcom custom XPU on a dated schedule (T1) + Cerebras wafer-scale (T1): 'Multiple + custom reducing dependency' = 7-8, low end</t>
  </si>
  <si>
    <t xml:space="preserve">L-050, L-060, L-149</t>
  </si>
  <si>
    <t xml:space="preserve">FLAG</t>
  </si>
  <si>
    <t xml:space="preserve">Exclusivity gone (T1) pulls up; minimums (Oracle 300,000; AWS ~138,000; 20-yr leases) with exit costs far above 1,000 pull down: net +0.5</t>
  </si>
  <si>
    <t xml:space="preserve">L-051, L-064, L-061</t>
  </si>
  <si>
    <t xml:space="preserve">Data-driven, offsetting</t>
  </si>
  <si>
    <t xml:space="preserve">CI dimension</t>
  </si>
  <si>
    <t xml:space="preserve">COMPOSITE IMPACT (Report weights; RQ, GO, MD held; deltas applied to the canonical old composites 8.20 / 4.53, L-133)</t>
  </si>
  <si>
    <t xml:space="preserve">Company / branch</t>
  </si>
  <si>
    <t xml:space="preserve">CE delta dim</t>
  </si>
  <si>
    <t xml:space="preserve">CE composite delta (x 0.20)</t>
  </si>
  <si>
    <t xml:space="preserve">CI delta dim</t>
  </si>
  <si>
    <t xml:space="preserve">CI composite delta (x 0.15)</t>
  </si>
  <si>
    <t xml:space="preserve">Total composite delta</t>
  </si>
  <si>
    <t xml:space="preserve">Old composite</t>
  </si>
  <si>
    <t xml:space="preserve">New composite</t>
  </si>
  <si>
    <t xml:space="preserve">Quality tier</t>
  </si>
  <si>
    <t xml:space="preserve">$B per point (06_Valuation)</t>
  </si>
  <si>
    <t xml:space="preserve">Anthropic (sub-score CI base 5.05; SW_15B_FACILITY = Does not close, default)</t>
  </si>
  <si>
    <t xml:space="preserve">Strong (unchanged)</t>
  </si>
  <si>
    <t xml:space="preserve">Anthropic (same, facility closes)</t>
  </si>
  <si>
    <t xml:space="preserve">Strong</t>
  </si>
  <si>
    <t xml:space="preserve">Anthropic (canonical CI base 5.8; default facility branch)</t>
  </si>
  <si>
    <t xml:space="preserve">Anthropic (LIVE: CE-4 follows SW_15B_FACILITY)</t>
  </si>
  <si>
    <t xml:space="preserve">OpenAI (net case)</t>
  </si>
  <si>
    <t xml:space="preserve">Developing (unchanged; &lt;5.0)</t>
  </si>
  <si>
    <t xml:space="preserve">OpenAI (C-16 gross case, CE-1 = 4.0)</t>
  </si>
  <si>
    <t xml:space="preserve">Developing</t>
  </si>
  <si>
    <t xml:space="preserve">OpenAI (LIVE: CE-1 follows SW_OAI_BASIS)</t>
  </si>
  <si>
    <t xml:space="preserve">Efficiency Index (rubric S5): min(growth/100, 1.0) x 0.4 + min(FCF/Rev, 0.30) x 0.3 + GM x 0.3</t>
  </si>
  <si>
    <t xml:space="preserve">CE-1 ratio cross-checks: Anthropic net run-rate / equity (live haircut) and at 27%; OpenAI net / equity; the raw gross ratio is displayed on 05_Cash_Fund as a forbidden basis</t>
  </si>
  <si>
    <t xml:space="preserve">Flags summary: Anthropic CE-1 (-2.0, method), CE-2 (+1.0, T4), CE-3 (0, adjusted measure), CE-4 (-0.5 default / -1.0, T3), CI-1 (+1.0), CI-2 (+1.0), CI-3 (-1.0, absence), CI-4 (+1.0), CE composite (-0.125 default / -0.14); OpenAI CE-1 (+2.0), CE-4 (+0.5, interpretive), CI-2 (+3.0), CI-4 (+1.0), CE composite (+0.175), CI composite (+0.165), total (+0.34: book as a re-baseline).</t>
  </si>
  <si>
    <t xml:space="preserve">Reading: the fall in Anthropic's CE is a method correction (-0.80 from re-applying the rubric to CE-1); the data-driven moves net to +0.175 at the default. Say 'adjusted' every time the Q2 result is named.</t>
  </si>
  <si>
    <t xml:space="preserve">12_Conflicts: frozen-conflict switch register. Column C = live switch value (named range; formula over the selector); column D = selector (blue, 1..n); columns E:H = branch values linked from 01_Data (no number typed twice). Change the selector, never column C.</t>
  </si>
  <si>
    <t xml:space="preserve">Frozen conflicts (both branches live in the text; writer-brief section 4): C-02 residual, C-03, C-05, C-08, C-12 (+addendum), C-13, C-15 (display only), C-16, C-18, C-14 addendum (Google leg), the $15B facility.</t>
  </si>
  <si>
    <t xml:space="preserve">Name (cell C)</t>
  </si>
  <si>
    <t xml:space="preserve">Conflict</t>
  </si>
  <si>
    <t xml:space="preserve">Live value</t>
  </si>
  <si>
    <t xml:space="preserve">Selector</t>
  </si>
  <si>
    <t xml:space="preserve">Branch 1</t>
  </si>
  <si>
    <t xml:space="preserve">Branch 2</t>
  </si>
  <si>
    <t xml:space="preserve">Branch 3</t>
  </si>
  <si>
    <t xml:space="preserve">Branch 4</t>
  </si>
  <si>
    <t xml:space="preserve">Branch labels (1 / 2 / 3 / 4)</t>
  </si>
  <si>
    <t xml:space="preserve">Default</t>
  </si>
  <si>
    <t xml:space="preserve">Cells gated</t>
  </si>
  <si>
    <t xml:space="preserve">C-13 equalization magnitude</t>
  </si>
  <si>
    <t xml:space="preserve">0.3975 (Ruling 5, L-126) / 0.27 (OpenAI CRO memo relay, T4); 0.33 in grid (a) only</t>
  </si>
  <si>
    <t xml:space="preserve">0.3975</t>
  </si>
  <si>
    <t xml:space="preserve">02_Revenue net rows; 05_Cash_Fund CE; 06_Valuation multiples; 11_AIBQ CE-1 ratio; 07_Sensitivity grid (a)</t>
  </si>
  <si>
    <t xml:space="preserve">SW_OAI_BASIS</t>
  </si>
  <si>
    <t xml:space="preserve">C-16 OpenAI run-rate basis</t>
  </si>
  <si>
    <t xml:space="preserve">NET / GROSS (GROSS applies R03 = 20%, T4, flagged)</t>
  </si>
  <si>
    <t xml:space="preserve">02_Revenue OpenAI net row; 06_Valuation; 11_AIBQ CE-1 (5.0 / 4.0)</t>
  </si>
  <si>
    <t xml:space="preserve">SW_IPO_OAI</t>
  </si>
  <si>
    <t xml:space="preserve">C-02 (residual) OpenAI IPO window</t>
  </si>
  <si>
    <t xml:space="preserve">Q4-2026</t>
  </si>
  <si>
    <t xml:space="preserve">Q4-2026 / 2027 ('Sep-2026' is not a branch: retired by L-002 and the 15-day rule)</t>
  </si>
  <si>
    <t xml:space="preserve">08_Output IPO status text; 13_OutsideView milestone row</t>
  </si>
  <si>
    <t xml:space="preserve">SW_A_FY25</t>
  </si>
  <si>
    <t xml:space="preserve">C-03 Anthropic FY2025 recognized revenue</t>
  </si>
  <si>
    <t xml:space="preserve">10,000 (PB field = exit run-rate) / 5,250 (midpoint of the implied 4,500-6,000)</t>
  </si>
  <si>
    <t xml:space="preserve">10,000</t>
  </si>
  <si>
    <t xml:space="preserve">02_Revenue annual recognized 2025; 03_Costs L4 2025; 04_PL 2025</t>
  </si>
  <si>
    <t xml:space="preserve">SW_A_FY24_NI</t>
  </si>
  <si>
    <t xml:space="preserve">C-05 Anthropic FY2024 net loss</t>
  </si>
  <si>
    <t xml:space="preserve">-5,300 (Jul-16 PB vintage) / -8,300 (Sep-9 PB vintage, latest)</t>
  </si>
  <si>
    <t xml:space="preserve">-8,300</t>
  </si>
  <si>
    <t xml:space="preserve">04_PL 2024 net result</t>
  </si>
  <si>
    <t xml:space="preserve">SW_A_2026_LOSS</t>
  </si>
  <si>
    <t xml:space="preserve">C-12 (with addendum) Anthropic 2026 loss / burn</t>
  </si>
  <si>
    <t xml:space="preserve">GAAP -11,000 (Jan plan)</t>
  </si>
  <si>
    <t xml:space="preserve">Adjusted-operating-income trajectory (Q2 print; non-GAAP, definition unpublished, L-151/L-152)</t>
  </si>
  <si>
    <t xml:space="preserve">GAAP -11,000 (Jan-2026 plan, L-120 T4) / adjusted-operating-income trajectory (Q2 print, L-151 T2; L-152)</t>
  </si>
  <si>
    <t xml:space="preserve">Q2 print</t>
  </si>
  <si>
    <t xml:space="preserve">05_Cash_Fund Anthropic 2026 burn block; 04_PL 2026 note row</t>
  </si>
  <si>
    <t xml:space="preserve">SW_A_HC</t>
  </si>
  <si>
    <t xml:space="preserve">C-18 Anthropic headcount</t>
  </si>
  <si>
    <t xml:space="preserve">5,000 (PB, L-008) / 4,020 (Revelio, L-091 T4)</t>
  </si>
  <si>
    <t xml:space="preserve">5,000</t>
  </si>
  <si>
    <t xml:space="preserve">03_Costs L5 comp; 00_Assumptions headcount path</t>
  </si>
  <si>
    <t xml:space="preserve">SW_TPU_RATE</t>
  </si>
  <si>
    <t xml:space="preserve">proxy choice (not a conflict): Google TPU $M per MW-yr</t>
  </si>
  <si>
    <t xml:space="preserve">6.9 (chips only, L-044) / 9.3 (chips + Riot shell, L-044 + L-136) / 12.5 (Volta, L-134) / 16.3 (Nscale, L-134)</t>
  </si>
  <si>
    <t xml:space="preserve">9.3</t>
  </si>
  <si>
    <t xml:space="preserve">09_Obligations unpriced proxy; E10 band; 07_Sensitivity grid (b) proxy panel</t>
  </si>
  <si>
    <t xml:space="preserve">SW_TOTAL_RAISED_VIEW</t>
  </si>
  <si>
    <t xml:space="preserve">C-01 Anthropic total raised (display only)</t>
  </si>
  <si>
    <t xml:space="preserve">On-balance-sheet</t>
  </si>
  <si>
    <t xml:space="preserve">Incl. lease SPV</t>
  </si>
  <si>
    <t xml:space="preserve">On-balance-sheet (126,754 = equity + revolver) / Incl. lease SPV (adds 34,500 lessor debt); CE never changes (Ruling 1)</t>
  </si>
  <si>
    <t xml:space="preserve">05_Cash_Fund capitalization display block only</t>
  </si>
  <si>
    <t xml:space="preserve">SW_15B_FACILITY</t>
  </si>
  <si>
    <t xml:space="preserve">$15B facility (L-042, L-160: not closed as of Sep-9)</t>
  </si>
  <si>
    <t xml:space="preserve">Closes</t>
  </si>
  <si>
    <t xml:space="preserve">Does not close</t>
  </si>
  <si>
    <t xml:space="preserve">Closes / Does not close (house rule: [VERIFY] until closed)</t>
  </si>
  <si>
    <t xml:space="preserve">05_Cash_Fund facilities; 11_AIBQ CE-4 (closes 7.0 / does not close 7.5; neither returns to the prior 8.0 because the lease stack drives the score)</t>
  </si>
  <si>
    <t xml:space="preserve">SW_SSI</t>
  </si>
  <si>
    <t xml:space="preserve">C-08 SSI total raised</t>
  </si>
  <si>
    <t xml:space="preserve">7,000 (PB, L-097) / 8,000 (press)</t>
  </si>
  <si>
    <t xml:space="preserve">7,000</t>
  </si>
  <si>
    <t xml:space="preserve">Workbook B 08_Reference (mirrored)</t>
  </si>
  <si>
    <t xml:space="preserve">SW_GW_2028</t>
  </si>
  <si>
    <t xml:space="preserve">scope choice (not a conflict): unpriced Google GW in 2028</t>
  </si>
  <si>
    <t xml:space="preserve">5 (contracted 2027 tranche only, L-049/L-073) / 15 (plus Broadcom's 10 GW 2028 line of sight, L-049)</t>
  </si>
  <si>
    <t xml:space="preserve">5</t>
  </si>
  <si>
    <t xml:space="preserve">09_Obligations unpriced proxy; E10 band; grid (b)</t>
  </si>
  <si>
    <t xml:space="preserve">SW_GOOGLE_VALUE</t>
  </si>
  <si>
    <t xml:space="preserve">C-14 addendum: Google leg value</t>
  </si>
  <si>
    <t xml:space="preserve">reported</t>
  </si>
  <si>
    <t xml:space="preserve">proxy</t>
  </si>
  <si>
    <t xml:space="preserve">reported (40,000 per year 2027-2031, L-155 T3 [VERIFY]) / proxy (GW x SW_TPU_RATE, GW from SW_GW_2028)</t>
  </si>
  <si>
    <t xml:space="preserve">reported (Base)</t>
  </si>
  <si>
    <t xml:space="preserve">09_Obligations Google leg column and reported-$ total; E10 band; grid (b); never documented-$</t>
  </si>
  <si>
    <t xml:space="preserve">(display) C-15</t>
  </si>
  <si>
    <t xml:space="preserve">Secondary marks (both T4): 1,500,000 implied at $925/share (Prime Unicorn Index) vs 'low-to-mid 800,000' (kucoin); none adopted; the primary mark stays 965,000 (M01). No formula reads this row.</t>
  </si>
  <si>
    <t xml:space="preserve">RESOLVED CONFLICTS (stated as resolved; resolving row in brackets)</t>
  </si>
  <si>
    <t xml:space="preserve">Subject</t>
  </si>
  <si>
    <t xml:space="preserve">Resolution</t>
  </si>
  <si>
    <t xml:space="preserve">C-01</t>
  </si>
  <si>
    <t xml:space="preserve">Anthropic total capital raised</t>
  </si>
  <si>
    <t xml:space="preserve">The 34,500 is lessor/SPV debt with Broadcom and Google support, not Anthropic-issued bonds; PB removed it from Total Raised (161,254 -&gt; 126,754); equity-only 124,254 is unaffected (L-006, L-007, L-044).</t>
  </si>
  <si>
    <t xml:space="preserve">C-04</t>
  </si>
  <si>
    <t xml:space="preserve">FY2025 net income on PB deal records</t>
  </si>
  <si>
    <t xml:space="preserve">An identical -42,000 sits on both companies' FY2025 records: a PB artifact; neither figure is used (L-011, L-026).</t>
  </si>
  <si>
    <t xml:space="preserve">C-06</t>
  </si>
  <si>
    <t xml:space="preserve">PB's 20,000 matches the end-2025 exit run-rate, not recognized revenue; FY2025 = 13,100 (L-025, L-063, L-065).</t>
  </si>
  <si>
    <t xml:space="preserve">C-07</t>
  </si>
  <si>
    <t xml:space="preserve">Anthropic Fast Mode pricing</t>
  </si>
  <si>
    <t xml:space="preserve">Fast Mode is 2x standard pricing on the live pricing page; the Jul-16 '3x cheaper' claim is retired (L-084).</t>
  </si>
  <si>
    <t xml:space="preserve">C-09</t>
  </si>
  <si>
    <t xml:space="preserve">Thinking Machines seed post-money</t>
  </si>
  <si>
    <t xml:space="preserve">Basis gap (PB 10,000 post vs press 12,000); minor; PB carried (L-098).</t>
  </si>
  <si>
    <t xml:space="preserve">C-10</t>
  </si>
  <si>
    <t xml:space="preserve">Reflection AI Series B date</t>
  </si>
  <si>
    <t xml:space="preserve">PB date-field artifact (2026-07-01 vs press Oct-2025); flagged for PB correction (L-099).</t>
  </si>
  <si>
    <t xml:space="preserve">C-11</t>
  </si>
  <si>
    <t xml:space="preserve">Cost per training run</t>
  </si>
  <si>
    <t xml:space="preserve">Basis gap: annual training-compute budgets (L-125) vs single final-run amortized compute (L-115); labelled, never summed.</t>
  </si>
  <si>
    <t xml:space="preserve">C-14</t>
  </si>
  <si>
    <t xml:space="preserve">Anthropic 2026 compute-commitment total</t>
  </si>
  <si>
    <t xml:space="preserve">Scope gap: tallies are different deal lists; components printed with scope on 09_Obligations (L-138); addendum: the Google leg (L-155) sits in its own scope row with [VERIFY].</t>
  </si>
  <si>
    <t xml:space="preserve">C-17</t>
  </si>
  <si>
    <t xml:space="preserve">Series H lead investors</t>
  </si>
  <si>
    <t xml:space="preserve">Minor labelling difference; the company statement governs (L-015, L-038).</t>
  </si>
  <si>
    <t xml:space="preserve">C-19</t>
  </si>
  <si>
    <t xml:space="preserve">Microsoft ownership of OpenAI</t>
  </si>
  <si>
    <t xml:space="preserve">~27% (~135,000) at the Oct-2025 recap is now T2 verbatim (L-159); post-dilution 'decreased' and undisclosed (10-K, L-054); funding commitments 13,000 / 11,900 funded (L-157).</t>
  </si>
  <si>
    <t xml:space="preserve">C-20</t>
  </si>
  <si>
    <t xml:space="preserve">Nvidia-OpenAI '100B / 10 GW' LOI</t>
  </si>
  <si>
    <t xml:space="preserve">Superseded: 30,000 equity invested plus a 105,000 residual-value guaranty; the remaining ~70,000 'probably not in the cards' (L-075, L-061).</t>
  </si>
  <si>
    <t xml:space="preserve">O-15</t>
  </si>
  <si>
    <t xml:space="preserve">Altman title on PB</t>
  </si>
  <si>
    <t xml:space="preserve">PB artifact from an Antimetal Co-CEO biography line; no OpenAI co-CEO structure (L-028, L-070, L-089).</t>
  </si>
  <si>
    <t xml:space="preserve">Six rulings carried: Ruling 1 CE denominators equity-only; Ruling 2 the AIBQ-to-valuation coefficient is embargoed; Ruling 3 adjusted operating income is not FCF (unswept); Ruling 4 PB TTM fields are forward projections, never current; Ruling 5 39.75% equalization with the ~27% branch; Ruling 6 Report weights CE 20 / RQ 25 / CI 15 / GO 20 / MD 20.</t>
  </si>
  <si>
    <t xml:space="preserve">Provenance box: 168 ledger rows; confirmed 97, estimated 51, recalled 6, could-not-verify 14; Gate 1 passed twice (L-161 and L-165 tagged estimated/T3 by rule). The S-1s will replace load-bearing figures 1-6 with audited numbers.</t>
  </si>
  <si>
    <t xml:space="preserve">13_OutsideView: one row per forecast the report makes: reference class, base rate, base-rate source (row or 'analyst judgment'), what is different here, magnitude, direction (Exhibit E16; A5:H30). Sourced base rates: B01 (Bessemer, T3, SaaS caveat), B02 (AWS operating margin, T1); IPO slippage stays analyst judgment (B03).</t>
  </si>
  <si>
    <t xml:space="preserve">Forecast</t>
  </si>
  <si>
    <t xml:space="preserve">Reference class</t>
  </si>
  <si>
    <t xml:space="preserve">Base rate</t>
  </si>
  <si>
    <t xml:space="preserve">Base-rate source (row or 'analyst judgment')</t>
  </si>
  <si>
    <t xml:space="preserve">What is different here</t>
  </si>
  <si>
    <t xml:space="preserve">Magnitude</t>
  </si>
  <si>
    <t xml:space="preserve">Direction</t>
  </si>
  <si>
    <t xml:space="preserve">Anthropic revenue 2027E-2030E (145,000 / 190,000 / Bessemer tails)</t>
  </si>
  <si>
    <t xml:space="preserve">SaaS growth endurance (Bessemer; 200+ BVP portfolio companies)</t>
  </si>
  <si>
    <t xml:space="preserve">L-161 · estimated · T3 (SaaS dataset, not consumption-billed labs)</t>
  </si>
  <si>
    <t xml:space="preserve">Revenue plans beaten 2-4x within months (Jan-2026 plan 18,000 / 55,000 / 102,000 vs 65,000 run-rate by July and 190,000-200,000 for 2028)</t>
  </si>
  <si>
    <t xml:space="preserve">Plan embeds faster decay than the base rate; the bear risk is a regime break, not decay; base rate shapes only the 2029E-2030E tails</t>
  </si>
  <si>
    <t xml:space="preserve">L-120, L-032, L-036, L-161</t>
  </si>
  <si>
    <t xml:space="preserve">OpenAI revenue 2027E-2030E (CAGR 40 / 70 / 100%)</t>
  </si>
  <si>
    <t xml:space="preserve">SaaS growth endurance (Bessemer)</t>
  </si>
  <si>
    <t xml:space="preserve">L-161 · T3; CAGR triple = analyst judgment</t>
  </si>
  <si>
    <t xml:space="preserve">Run-rate doubled end-2025 -&gt; July; +35% QTD (L-069); PB FY2026 projection +38% in eight weeks</t>
  </si>
  <si>
    <t xml:space="preserve">Up vs plan; consumption revenue, not contracted ARR</t>
  </si>
  <si>
    <t xml:space="preserve">L-065, L-069, L-024</t>
  </si>
  <si>
    <t xml:space="preserve">Anthropic gross-margin path (52% 2026E -&gt; 70% Base / 77% plan 2028E)</t>
  </si>
  <si>
    <t xml:space="preserve">Capex-heavy cloud platform OPERATING margin: AWS 2014-2025 (four Amazon 10-Ks)</t>
  </si>
  <si>
    <t xml:space="preserve">L-162 · confirmed · T1 (operating margin, not gross margin)</t>
  </si>
  <si>
    <t xml:space="preserve">The plan asks for 77% GROSS margin by 2028: a different line and a different basis; both labs missed GM plans in every observed case (L-083, L-119)</t>
  </si>
  <si>
    <t xml:space="preserve">25% operating margin in three years; ~30% plateau for six years</t>
  </si>
  <si>
    <t xml:space="preserve">Down vs plan (Base 2028 GM 70%, not 77%)</t>
  </si>
  <si>
    <t xml:space="preserve">L-162, L-119, L-083</t>
  </si>
  <si>
    <t xml:space="preserve">OpenAI gross-margin path (33% 2025 -&gt; AJ COGS % 40% -&gt; 34%)</t>
  </si>
  <si>
    <t xml:space="preserve">Own record: 33% vs the 46% plan (13pp miss); AWS operating-margin path as the platform reference</t>
  </si>
  <si>
    <t xml:space="preserve">L-083 · estimated · T3; L-162 · T1</t>
  </si>
  <si>
    <t xml:space="preserve">Inference 8,400 on 13,100 (64% of revenue) in 2025</t>
  </si>
  <si>
    <t xml:space="preserve">13pp miss</t>
  </si>
  <si>
    <t xml:space="preserve">Down vs plan</t>
  </si>
  <si>
    <t xml:space="preserve">Anthropic training ramp (7,000 -&gt; 14,000 -&gt; 22,000; T4 plan)</t>
  </si>
  <si>
    <t xml:space="preserve">Cost plans revised UP in every observed case in this ledger</t>
  </si>
  <si>
    <t xml:space="preserve">OpenAI compute plan 600,000 (May) -&gt; 750,000 (Jul): +25% in 11 weeks; burn forecast +111,000 (Feb)</t>
  </si>
  <si>
    <t xml:space="preserve">L-078, L-062, L-082 (ledger-supported)</t>
  </si>
  <si>
    <t xml:space="preserve">Bear applies +25% to the plan; Bull -15%</t>
  </si>
  <si>
    <t xml:space="preserve">Up vs plan</t>
  </si>
  <si>
    <t xml:space="preserve">L-125, L-062, L-078</t>
  </si>
  <si>
    <t xml:space="preserve">OpenAI training ramp (25,000 -&gt; 120,000; T4 plan)</t>
  </si>
  <si>
    <t xml:space="preserve">Cost plans revised up (own record)</t>
  </si>
  <si>
    <t xml:space="preserve">L-078, L-062, L-082</t>
  </si>
  <si>
    <t xml:space="preserve">The T4 split (25,000 training + 14,100 inference) does not reconcile to the T2 50,000 total: 10,900 unexplained</t>
  </si>
  <si>
    <t xml:space="preserve">L-125, L-078, L-083</t>
  </si>
  <si>
    <t xml:space="preserve">Anthropic burn / loss path 2026 (C-12: GAAP -11,000 plan vs Q2 positive adjusted operating income)</t>
  </si>
  <si>
    <t xml:space="preserve">Plan-vs-actual: revenue up, cost up, margin down</t>
  </si>
  <si>
    <t xml:space="preserve">Jan-2026 plan superseded within seven months; definitions differ (GAAP incl. SBC vs non-GAAP adjusted)</t>
  </si>
  <si>
    <t xml:space="preserve">L-120, L-151, L-152 (frozen conflict, SW_A_2026_LOSS)</t>
  </si>
  <si>
    <t xml:space="preserve">The Q2 result is a non-GAAP projection whose definition is unpublished</t>
  </si>
  <si>
    <t xml:space="preserve">Better than plan on the adjusted measure; GAAP unknown</t>
  </si>
  <si>
    <t xml:space="preserve">OpenAI burn path (25,000 / 27,000 -&gt; 57,000 / 63,000 -&gt; +39,000 in 2030)</t>
  </si>
  <si>
    <t xml:space="preserve">Burn forecasts raised (+111,000 cumulative, Feb-2026); two vintages within two months</t>
  </si>
  <si>
    <t xml:space="preserve">Feb -&gt; post-April vintages: +8% (2026) / +11% (2027)</t>
  </si>
  <si>
    <t xml:space="preserve">L-082 · estimated · T3; L-142</t>
  </si>
  <si>
    <t xml:space="preserve">H1 operating loss 21,600 incl. SBC (1.74x revenue) vs a 25,000-27,000 burn plan: the bridge is a HOLE (SBC + vendor financing)</t>
  </si>
  <si>
    <t xml:space="preserve">L-082, L-066</t>
  </si>
  <si>
    <t xml:space="preserve">Anthropic IPO window (October 2026 per PB; mid-October reported)</t>
  </si>
  <si>
    <t xml:space="preserve">IPO-window slippage</t>
  </si>
  <si>
    <t xml:space="preserve">No filed-to-priced or withdrawal statistic exists (PB none; Renaissance paywall; SEC counts only): ANALYST JUDGMENT. Colour: median step-up 1.3x at listing (Q2-2026); Cerebras cancel -&gt; refile -&gt; price ~9 months</t>
  </si>
  <si>
    <t xml:space="preserve">analyst judgment (L-163 · could-not-verify; T2 colour)</t>
  </si>
  <si>
    <t xml:space="preserve">No public S-1 on EDGAR by Sep-9 (L-001); the 15-day rule needs a public flip by late September for an October pricing</t>
  </si>
  <si>
    <t xml:space="preserve">Slippage risk</t>
  </si>
  <si>
    <t xml:space="preserve">L-001, L-003, L-039, L-040, L-163</t>
  </si>
  <si>
    <t xml:space="preserve">OpenAI IPO window (SW_IPO_OAI)</t>
  </si>
  <si>
    <t xml:space="preserve">as above: analyst judgment; PB's 'September 2026' retired by L-002 and the 15-day rule</t>
  </si>
  <si>
    <t xml:space="preserve">analyst judgment (L-163); L-002, L-004, L-068</t>
  </si>
  <si>
    <t xml:space="preserve">CFO: 'public company in 2027', possibly sooner</t>
  </si>
  <si>
    <t xml:space="preserve">Slipped (Sep-2026 -&gt; Q4-2026 / 2027)</t>
  </si>
  <si>
    <t xml:space="preserve">L-002, L-004, L-068</t>
  </si>
  <si>
    <t xml:space="preserve">Obligation consumption 2028 (priced 53,355 + Google leg vs the 65,700-68,000 plan envelope)</t>
  </si>
  <si>
    <t xml:space="preserve">Take-or-pay vs consumption contracts; disclosure silence in every filing</t>
  </si>
  <si>
    <t xml:space="preserve">Alphabet 10-Q: zero Anthropic mentions, 811,000 commitments not itemized; Google release no $; Broadcom 10-Q no customer commitment; Microsoft 10-K no %</t>
  </si>
  <si>
    <t xml:space="preserve">L-153, L-154, L-156, L-157 · confirmed · T1 (silence); gap = analyst arithmetic</t>
  </si>
  <si>
    <t xml:space="preserve">One of three things is untrue: the 77% margin path, the 22,000 training budget, or the take-or-pay status of the GW deals; the public S-1 will say which</t>
  </si>
  <si>
    <t xml:space="preserve">Conditional finding, not a verdict</t>
  </si>
  <si>
    <t xml:space="preserve">L-036, L-119, L-125, L-155</t>
  </si>
  <si>
    <t xml:space="preserve">Greenfield capital to milestones (Workbook B: Lean / Full / Vertically integrated)</t>
  </si>
  <si>
    <t xml:space="preserve">Entrants: SSI 7,000 raised, zero revenue; TML 2,000 seed; Reflection 2,155; Mistral 7,492; xAI accumulated deficit 41,311</t>
  </si>
  <si>
    <t xml:space="preserve">2,000-8,000 to a model with little revenue; ~41,000 accumulated deficit for an owned-cluster entrant</t>
  </si>
  <si>
    <t xml:space="preserve">L-097, L-098, L-099, L-100, L-096 · T2 / T1</t>
  </si>
  <si>
    <t xml:space="preserve">Custom-silicon supply booked through 2028 by incumbents (L-144): an entrant buys merchant GPUs or waits</t>
  </si>
  <si>
    <t xml:space="preserve">see B/09_Output reference-class check</t>
  </si>
  <si>
    <t xml:space="preserve">Fenced by the reference class</t>
  </si>
  <si>
    <t xml:space="preserve">L-096-L-102, L-144</t>
  </si>
  <si>
    <t xml:space="preserve">LEDGER-SUPPORTED BASE RATE: revenue plans beaten</t>
  </si>
  <si>
    <t xml:space="preserve">Plan-vs-actual</t>
  </si>
  <si>
    <t xml:space="preserve">Anthropic Jan-2026 plan 18,000 (2026) / 55,000 (2027) / 102,000 (2028) vs 65,000 run-rate by July and 190,000-200,000 (2028) by August</t>
  </si>
  <si>
    <t xml:space="preserve">L-120, L-032, L-036</t>
  </si>
  <si>
    <t xml:space="preserve">2-4x within months</t>
  </si>
  <si>
    <t xml:space="preserve">Up</t>
  </si>
  <si>
    <t xml:space="preserve">L-009, L-024</t>
  </si>
  <si>
    <t xml:space="preserve">LEDGER-SUPPORTED BASE RATE: cost plans raised</t>
  </si>
  <si>
    <t xml:space="preserve">OpenAI compute plan 600,000 -&gt; 750,000; burn +111,000; Anthropic server rentals ~180,000 through 2029 (Jan vintage) already stale</t>
  </si>
  <si>
    <t xml:space="preserve">L-078, L-062, L-082, L-120</t>
  </si>
  <si>
    <t xml:space="preserve">+25% in 11 weeks</t>
  </si>
  <si>
    <t xml:space="preserve">LEDGER-SUPPORTED BASE RATE: margin plans missed</t>
  </si>
  <si>
    <t xml:space="preserve">OpenAI 33% vs 46% plan; Anthropic lowered its GM projection (The Information, Jan-2026)</t>
  </si>
  <si>
    <t xml:space="preserve">L-083, L-119</t>
  </si>
  <si>
    <t xml:space="preserve">13pp (OpenAI)</t>
  </si>
  <si>
    <t xml:space="preserve">Down</t>
  </si>
  <si>
    <t xml:space="preserve">LEDGER-SUPPORTED BASE RATE: milestones slipped</t>
  </si>
  <si>
    <t xml:space="preserve">Milestone slippage</t>
  </si>
  <si>
    <t xml:space="preserve">No public S-1 for either by Sep-9; ChatGPT 1B users seven months late; Abilene 1.2 GW from a 2.1 GW plan</t>
  </si>
  <si>
    <t xml:space="preserve">L-001, L-002, L-004, L-040, L-080, L-079</t>
  </si>
  <si>
    <t xml:space="preserve">Slipped</t>
  </si>
  <si>
    <t xml:space="preserve">LEDGER-SUPPORTED BASE RATE: build-cost inflation</t>
  </si>
  <si>
    <t xml:space="preserve">Datacenter development cost</t>
  </si>
  <si>
    <t xml:space="preserve">L-109 · confirmed · T2</t>
  </si>
  <si>
    <t xml:space="preserve">+21%</t>
  </si>
  <si>
    <t xml:space="preserve">LEDGER-SUPPORTED BASE RATE: GPU residual values</t>
  </si>
  <si>
    <t xml:space="preserve">Hardware residual value</t>
  </si>
  <si>
    <t xml:space="preserve">L-103 · estimated · T4</t>
  </si>
  <si>
    <t xml:space="preserve">33-63% of new</t>
  </si>
  <si>
    <t xml:space="preserve">LEDGER-SUPPORTED BASE RATE: useful-life extension</t>
  </si>
  <si>
    <t xml:space="preserve">Hyperscaler accounting</t>
  </si>
  <si>
    <t xml:space="preserve">L-145 · confirmed · T1</t>
  </si>
  <si>
    <t xml:space="preserve">+10 years (DCs)</t>
  </si>
  <si>
    <t xml:space="preserve">Mixed</t>
  </si>
  <si>
    <t xml:space="preserve">AM-71 ARITHMETIC (why the Bessemer rule shapes only the tails)</t>
  </si>
  <si>
    <t xml:space="preserve">FY2026E (at YE 100,000) / PB FY2025 10,000 - 1 = growth</t>
  </si>
  <si>
    <t xml:space="preserve">x 0.70 endurance = decayed 2027 growth</t>
  </si>
  <si>
    <t xml:space="preserve">Implied 2027 revenue = FY2026E x (1 + decayed growth) vs the 190,000-200,000 2028 plan</t>
  </si>
  <si>
    <t xml:space="preserve">the plan already embeds faster decay than the base rate</t>
  </si>
  <si>
    <t xml:space="preserve">Do not say that the Bessemer or AWS base rates are AI-lab base rates ('SaaS' and 'a capex-heavy cloud platform'); label IPO slippage 'analyst judgment' and cite the Cerebras case (L-163).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</si>
</sst>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General"/>
    <numFmt numFmtId="166" formatCode="\$#,##0;&quot;($&quot;#,##0\);\-"/>
    <numFmt numFmtId="167" formatCode="0.0%"/>
    <numFmt numFmtId="168" formatCode="0.00"/>
    <numFmt numFmtId="169" formatCode="#,##0.00;\(#,##0.00\);\-"/>
    <numFmt numFmtId="170" formatCode="#,##0;\(#,##0\);\-"/>
    <numFmt numFmtId="171" formatCode="0.00%"/>
    <numFmt numFmtId="172" formatCode="yyyy\-mm\-dd"/>
    <numFmt numFmtId="173" formatCode="\$#,##0.0;&quot;($&quot;#,##0.0\);\-"/>
    <numFmt numFmtId="174" formatCode="0.000\x"/>
    <numFmt numFmtId="175" formatCode="#,##0.000;\(#,##0.000\);\-"/>
    <numFmt numFmtId="176" formatCode="#,##0.0;\(#,##0.0\);\-"/>
    <numFmt numFmtId="177" formatCode="0.0\x"/>
    <numFmt numFmtId="178" formatCode="0.00\x"/>
    <numFmt numFmtId="17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sz val="9"/>
      <color rgb="FFFF0000"/>
      <name val="Arial"/>
      <family val="0"/>
      <charset val="1"/>
    </font>
    <font>
      <b val="true"/>
      <sz val="9"/>
      <color rgb="FFFF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2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D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2"/>
    <col collapsed="false" customWidth="true" hidden="false" outlineLevel="0" max="3" min="3" style="1" width="44"/>
    <col collapsed="false" customWidth="true" hidden="false" outlineLevel="0" max="11" min="4" style="1" width="13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D2" s="4" t="n">
        <v>2023</v>
      </c>
      <c r="E2" s="5" t="n">
        <f aca="false">D2+1</f>
        <v>2024</v>
      </c>
      <c r="F2" s="5" t="n">
        <f aca="false">E2+1</f>
        <v>2025</v>
      </c>
      <c r="G2" s="5" t="n">
        <f aca="false">F2+1</f>
        <v>2026</v>
      </c>
      <c r="H2" s="5" t="n">
        <f aca="false">G2+1</f>
        <v>2027</v>
      </c>
      <c r="I2" s="5" t="n">
        <f aca="false">H2+1</f>
        <v>2028</v>
      </c>
      <c r="J2" s="5" t="n">
        <f aca="false">I2+1</f>
        <v>2029</v>
      </c>
      <c r="K2" s="5" t="n">
        <f aca="false">J2+1</f>
        <v>2030</v>
      </c>
    </row>
    <row r="3" customFormat="false" ht="15" hidden="false" customHeight="false" outlineLevel="0" collapsed="false">
      <c r="A3" s="3" t="s">
        <v>2</v>
      </c>
      <c r="D3" s="6" t="str">
        <f aca="false">D2&amp;"A"</f>
        <v>2023A</v>
      </c>
      <c r="E3" s="6" t="str">
        <f aca="false">E2&amp;"A"</f>
        <v>2024A</v>
      </c>
      <c r="F3" s="6" t="str">
        <f aca="false">F2&amp;"A"</f>
        <v>2025A</v>
      </c>
      <c r="G3" s="6" t="str">
        <f aca="false">G2&amp;"E"</f>
        <v>2026E</v>
      </c>
      <c r="H3" s="6" t="str">
        <f aca="false">H2&amp;"E"</f>
        <v>2027E</v>
      </c>
      <c r="I3" s="6" t="str">
        <f aca="false">I2&amp;"E"</f>
        <v>2028E</v>
      </c>
      <c r="J3" s="6" t="str">
        <f aca="false">J2&amp;"E"</f>
        <v>2029E</v>
      </c>
      <c r="K3" s="6" t="str">
        <f aca="false">K2&amp;"E"</f>
        <v>2030E</v>
      </c>
    </row>
    <row r="4" customFormat="false" ht="15" hidden="false" customHeight="false" outlineLevel="0" collapsed="false">
      <c r="B4" s="3" t="s">
        <v>3</v>
      </c>
      <c r="C4" s="4" t="n">
        <v>2</v>
      </c>
      <c r="D4" s="7" t="str">
        <f aca="false">CHOOSE(SW_SCEN,"Bear","Base","Bull")</f>
        <v>Base</v>
      </c>
      <c r="E4" s="2" t="s">
        <v>4</v>
      </c>
    </row>
    <row r="6" customFormat="false" ht="15" hidden="false" customHeight="false" outlineLevel="0" collapsed="false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</row>
    <row r="7" customFormat="false" ht="15" hidden="false" customHeight="false" outlineLevel="0" collapsed="false">
      <c r="A7" s="9" t="s">
        <v>13</v>
      </c>
      <c r="B7" s="2" t="s">
        <v>14</v>
      </c>
      <c r="C7" s="2" t="s">
        <v>15</v>
      </c>
      <c r="D7" s="10" t="n">
        <f aca="false">01_Data!$D$5</f>
        <v>65000</v>
      </c>
      <c r="E7" s="10" t="n">
        <f aca="false">AVERAGE(01_Data!$D$46,01_Data!$D$47)</f>
        <v>110000</v>
      </c>
      <c r="F7" s="10" t="n">
        <f aca="false">01_Data!$D$47</f>
        <v>120000</v>
      </c>
      <c r="G7" s="11" t="n">
        <f aca="false">CHOOSE(SW_SCEN,D7,E7,F7)</f>
        <v>110000</v>
      </c>
      <c r="H7" s="2" t="s">
        <v>16</v>
      </c>
    </row>
    <row r="8" customFormat="false" ht="15" hidden="false" customHeight="false" outlineLevel="0" collapsed="false">
      <c r="A8" s="9" t="s">
        <v>17</v>
      </c>
      <c r="B8" s="2" t="s">
        <v>18</v>
      </c>
      <c r="C8" s="2" t="s">
        <v>19</v>
      </c>
      <c r="D8" s="12" t="n">
        <v>120000</v>
      </c>
      <c r="E8" s="12" t="n">
        <v>145000</v>
      </c>
      <c r="F8" s="12" t="n">
        <v>160000</v>
      </c>
      <c r="G8" s="11" t="n">
        <f aca="false">CHOOSE(SW_SCEN,D8,E8,F8)</f>
        <v>145000</v>
      </c>
      <c r="H8" s="2" t="s">
        <v>20</v>
      </c>
    </row>
    <row r="9" customFormat="false" ht="15" hidden="false" customHeight="false" outlineLevel="0" collapsed="false">
      <c r="A9" s="9" t="s">
        <v>21</v>
      </c>
      <c r="B9" s="2" t="s">
        <v>18</v>
      </c>
      <c r="C9" s="2" t="s">
        <v>22</v>
      </c>
      <c r="D9" s="12" t="n">
        <v>150000</v>
      </c>
      <c r="E9" s="10" t="n">
        <f aca="false">01_Data!$D$31</f>
        <v>190000</v>
      </c>
      <c r="F9" s="12" t="n">
        <v>220000</v>
      </c>
      <c r="G9" s="11" t="n">
        <f aca="false">CHOOSE(SW_SCEN,D9,E9,F9)</f>
        <v>190000</v>
      </c>
    </row>
    <row r="10" customFormat="false" ht="15" hidden="false" customHeight="false" outlineLevel="0" collapsed="false">
      <c r="A10" s="9" t="s">
        <v>23</v>
      </c>
      <c r="B10" s="2" t="s">
        <v>24</v>
      </c>
      <c r="C10" s="2" t="s">
        <v>25</v>
      </c>
      <c r="D10" s="13" t="n">
        <f aca="false">01_Data!$D$384</f>
        <v>0.7</v>
      </c>
      <c r="E10" s="13" t="n">
        <f aca="false">01_Data!$D$384</f>
        <v>0.7</v>
      </c>
      <c r="F10" s="13" t="n">
        <f aca="false">01_Data!$D$385</f>
        <v>0.8</v>
      </c>
      <c r="G10" s="14" t="n">
        <f aca="false">CHOOSE(SW_SCEN,D10,E10,F10)</f>
        <v>0.7</v>
      </c>
    </row>
    <row r="11" customFormat="false" ht="15" hidden="false" customHeight="false" outlineLevel="0" collapsed="false">
      <c r="A11" s="9" t="s">
        <v>26</v>
      </c>
      <c r="B11" s="2" t="s">
        <v>27</v>
      </c>
      <c r="C11" s="2" t="s">
        <v>28</v>
      </c>
      <c r="D11" s="15" t="n">
        <v>1.25</v>
      </c>
      <c r="E11" s="15" t="n">
        <v>1</v>
      </c>
      <c r="F11" s="15" t="n">
        <v>0.85</v>
      </c>
      <c r="G11" s="16" t="n">
        <f aca="false">CHOOSE(SW_SCEN,D11,E11,F11)</f>
        <v>1</v>
      </c>
    </row>
    <row r="12" customFormat="false" ht="15" hidden="false" customHeight="false" outlineLevel="0" collapsed="false">
      <c r="A12" s="9" t="s">
        <v>29</v>
      </c>
      <c r="B12" s="2" t="s">
        <v>14</v>
      </c>
      <c r="C12" s="2" t="s">
        <v>30</v>
      </c>
      <c r="D12" s="12" t="n">
        <v>40000</v>
      </c>
      <c r="E12" s="12" t="n">
        <v>30000</v>
      </c>
      <c r="F12" s="12" t="n">
        <v>25000</v>
      </c>
      <c r="G12" s="11" t="n">
        <f aca="false">CHOOSE(SW_SCEN,D12,E12,F12)</f>
        <v>30000</v>
      </c>
    </row>
    <row r="13" customFormat="false" ht="15" hidden="false" customHeight="false" outlineLevel="0" collapsed="false">
      <c r="A13" s="9" t="s">
        <v>31</v>
      </c>
      <c r="B13" s="2" t="s">
        <v>14</v>
      </c>
      <c r="C13" s="2" t="s">
        <v>32</v>
      </c>
      <c r="D13" s="12" t="n">
        <v>40000</v>
      </c>
      <c r="E13" s="12" t="n">
        <v>30000</v>
      </c>
      <c r="F13" s="12" t="n">
        <v>25000</v>
      </c>
      <c r="G13" s="11" t="n">
        <f aca="false">CHOOSE(SW_SCEN,D13,E13,F13)</f>
        <v>30000</v>
      </c>
    </row>
    <row r="14" customFormat="false" ht="15" hidden="false" customHeight="false" outlineLevel="0" collapsed="false">
      <c r="A14" s="9" t="s">
        <v>33</v>
      </c>
      <c r="B14" s="2" t="s">
        <v>24</v>
      </c>
      <c r="C14" s="2" t="s">
        <v>34</v>
      </c>
      <c r="D14" s="17" t="n">
        <v>0.65</v>
      </c>
      <c r="E14" s="17" t="n">
        <v>0.72</v>
      </c>
      <c r="F14" s="17" t="n">
        <v>0.77</v>
      </c>
      <c r="G14" s="14" t="n">
        <f aca="false">CHOOSE(SW_SCEN,D14,E14,F14)</f>
        <v>0.72</v>
      </c>
    </row>
    <row r="15" customFormat="false" ht="15" hidden="false" customHeight="false" outlineLevel="0" collapsed="false">
      <c r="A15" s="9" t="s">
        <v>35</v>
      </c>
      <c r="B15" s="2" t="s">
        <v>18</v>
      </c>
      <c r="C15" s="2" t="s">
        <v>36</v>
      </c>
      <c r="D15" s="12" t="n">
        <v>3000</v>
      </c>
      <c r="E15" s="12" t="n">
        <v>4000</v>
      </c>
      <c r="F15" s="12" t="n">
        <v>5000</v>
      </c>
      <c r="G15" s="11" t="n">
        <f aca="false">CHOOSE(SW_SCEN,D15,E15,F15)</f>
        <v>4000</v>
      </c>
    </row>
    <row r="16" customFormat="false" ht="15" hidden="false" customHeight="false" outlineLevel="0" collapsed="false">
      <c r="A16" s="9" t="s">
        <v>37</v>
      </c>
      <c r="B16" s="2" t="s">
        <v>14</v>
      </c>
      <c r="C16" s="2" t="s">
        <v>38</v>
      </c>
      <c r="D16" s="18" t="n">
        <v>0.75</v>
      </c>
      <c r="E16" s="18" t="n">
        <v>0.6</v>
      </c>
      <c r="F16" s="18" t="n">
        <v>0.5</v>
      </c>
      <c r="G16" s="19" t="n">
        <f aca="false">CHOOSE(SW_SCEN,D16,E16,F16)</f>
        <v>0.6</v>
      </c>
    </row>
    <row r="17" customFormat="false" ht="15" hidden="false" customHeight="false" outlineLevel="0" collapsed="false">
      <c r="A17" s="9" t="s">
        <v>39</v>
      </c>
      <c r="B17" s="2" t="s">
        <v>24</v>
      </c>
      <c r="C17" s="2" t="s">
        <v>40</v>
      </c>
      <c r="D17" s="17" t="n">
        <v>0.3</v>
      </c>
      <c r="E17" s="17" t="n">
        <v>0.25</v>
      </c>
      <c r="F17" s="17" t="n">
        <v>0.2</v>
      </c>
      <c r="G17" s="14" t="n">
        <f aca="false">CHOOSE(SW_SCEN,D17,E17,F17)</f>
        <v>0.25</v>
      </c>
      <c r="H17" s="2" t="s">
        <v>41</v>
      </c>
    </row>
    <row r="18" customFormat="false" ht="15" hidden="false" customHeight="false" outlineLevel="0" collapsed="false">
      <c r="A18" s="9" t="s">
        <v>42</v>
      </c>
      <c r="B18" s="2" t="s">
        <v>14</v>
      </c>
      <c r="C18" s="2" t="s">
        <v>43</v>
      </c>
      <c r="D18" s="12" t="n">
        <v>1500</v>
      </c>
      <c r="E18" s="12" t="n">
        <v>1000</v>
      </c>
      <c r="F18" s="12" t="n">
        <v>500</v>
      </c>
      <c r="G18" s="11" t="n">
        <f aca="false">CHOOSE(SW_SCEN,D18,E18,F18)</f>
        <v>1000</v>
      </c>
    </row>
    <row r="19" customFormat="false" ht="15" hidden="false" customHeight="false" outlineLevel="0" collapsed="false">
      <c r="A19" s="9" t="s">
        <v>44</v>
      </c>
      <c r="B19" s="2" t="s">
        <v>14</v>
      </c>
      <c r="C19" s="2" t="s">
        <v>45</v>
      </c>
      <c r="D19" s="12" t="n">
        <v>3000</v>
      </c>
      <c r="E19" s="12" t="n">
        <v>2000</v>
      </c>
      <c r="F19" s="12" t="n">
        <v>1000</v>
      </c>
      <c r="G19" s="11" t="n">
        <f aca="false">CHOOSE(SW_SCEN,D19,E19,F19)</f>
        <v>2000</v>
      </c>
    </row>
    <row r="20" customFormat="false" ht="15" hidden="false" customHeight="false" outlineLevel="0" collapsed="false">
      <c r="A20" s="9" t="s">
        <v>46</v>
      </c>
      <c r="B20" s="2" t="s">
        <v>14</v>
      </c>
      <c r="C20" s="2" t="s">
        <v>47</v>
      </c>
      <c r="D20" s="12" t="n">
        <v>115</v>
      </c>
      <c r="E20" s="12" t="n">
        <v>85</v>
      </c>
      <c r="F20" s="12" t="n">
        <v>55</v>
      </c>
      <c r="G20" s="11" t="n">
        <f aca="false">CHOOSE(SW_SCEN,D20,E20,F20)</f>
        <v>85</v>
      </c>
    </row>
    <row r="21" customFormat="false" ht="15" hidden="false" customHeight="false" outlineLevel="0" collapsed="false">
      <c r="A21" s="9" t="s">
        <v>48</v>
      </c>
      <c r="B21" s="2" t="s">
        <v>24</v>
      </c>
      <c r="C21" s="2" t="s">
        <v>40</v>
      </c>
      <c r="D21" s="17" t="n">
        <v>0.6</v>
      </c>
      <c r="E21" s="17" t="n">
        <v>0.5</v>
      </c>
      <c r="F21" s="17" t="n">
        <v>0.4</v>
      </c>
      <c r="G21" s="14" t="n">
        <f aca="false">CHOOSE(SW_SCEN,D21,E21,F21)</f>
        <v>0.5</v>
      </c>
      <c r="H21" s="2" t="s">
        <v>49</v>
      </c>
    </row>
    <row r="22" customFormat="false" ht="15" hidden="false" customHeight="false" outlineLevel="0" collapsed="false">
      <c r="A22" s="9" t="s">
        <v>50</v>
      </c>
      <c r="B22" s="2" t="s">
        <v>51</v>
      </c>
      <c r="C22" s="2" t="s">
        <v>52</v>
      </c>
      <c r="D22" s="20" t="n">
        <v>5</v>
      </c>
      <c r="E22" s="20" t="n">
        <v>5</v>
      </c>
      <c r="F22" s="20" t="n">
        <v>5</v>
      </c>
      <c r="G22" s="21" t="n">
        <f aca="false">CHOOSE(SW_SCEN,D22,E22,F22)</f>
        <v>5</v>
      </c>
    </row>
    <row r="23" customFormat="false" ht="15" hidden="false" customHeight="false" outlineLevel="0" collapsed="false">
      <c r="A23" s="9" t="s">
        <v>53</v>
      </c>
      <c r="B23" s="2" t="s">
        <v>51</v>
      </c>
      <c r="C23" s="2" t="s">
        <v>54</v>
      </c>
      <c r="D23" s="20" t="n">
        <v>6</v>
      </c>
      <c r="E23" s="20" t="n">
        <v>6</v>
      </c>
      <c r="F23" s="20" t="n">
        <v>6</v>
      </c>
      <c r="G23" s="21" t="n">
        <f aca="false">CHOOSE(SW_SCEN,D23,E23,F23)</f>
        <v>6</v>
      </c>
    </row>
    <row r="24" customFormat="false" ht="15" hidden="false" customHeight="false" outlineLevel="0" collapsed="false">
      <c r="A24" s="9" t="s">
        <v>55</v>
      </c>
      <c r="B24" s="2" t="s">
        <v>56</v>
      </c>
      <c r="C24" s="2" t="s">
        <v>57</v>
      </c>
      <c r="D24" s="15" t="n">
        <v>0.9</v>
      </c>
      <c r="E24" s="15" t="n">
        <v>0.9</v>
      </c>
      <c r="F24" s="15" t="n">
        <v>0.9</v>
      </c>
      <c r="G24" s="16" t="n">
        <f aca="false">CHOOSE(SW_SCEN,D24,E24,F24)</f>
        <v>0.9</v>
      </c>
    </row>
    <row r="25" customFormat="false" ht="15" hidden="false" customHeight="false" outlineLevel="0" collapsed="false">
      <c r="A25" s="9" t="s">
        <v>58</v>
      </c>
      <c r="B25" s="2" t="s">
        <v>59</v>
      </c>
      <c r="C25" s="2" t="s">
        <v>60</v>
      </c>
      <c r="D25" s="17" t="n">
        <v>0</v>
      </c>
      <c r="E25" s="17" t="n">
        <v>0.1</v>
      </c>
      <c r="F25" s="17" t="n">
        <v>0.2</v>
      </c>
      <c r="G25" s="14" t="n">
        <f aca="false">CHOOSE(SW_SCEN,D25,E25,F25)</f>
        <v>0.1</v>
      </c>
    </row>
    <row r="26" customFormat="false" ht="15" hidden="false" customHeight="false" outlineLevel="0" collapsed="false">
      <c r="A26" s="9" t="s">
        <v>61</v>
      </c>
      <c r="B26" s="2" t="s">
        <v>24</v>
      </c>
      <c r="C26" s="2" t="s">
        <v>62</v>
      </c>
      <c r="D26" s="17" t="n">
        <v>0.4</v>
      </c>
      <c r="E26" s="17" t="n">
        <v>0.7</v>
      </c>
      <c r="F26" s="17" t="n">
        <v>1</v>
      </c>
      <c r="G26" s="14" t="n">
        <f aca="false">CHOOSE(SW_SCEN,D26,E26,F26)</f>
        <v>0.7</v>
      </c>
    </row>
    <row r="27" customFormat="false" ht="15" hidden="false" customHeight="false" outlineLevel="0" collapsed="false">
      <c r="A27" s="9" t="s">
        <v>63</v>
      </c>
      <c r="B27" s="2" t="s">
        <v>18</v>
      </c>
      <c r="C27" s="2" t="s">
        <v>64</v>
      </c>
      <c r="D27" s="12" t="n">
        <v>900000</v>
      </c>
      <c r="E27" s="10" t="n">
        <f aca="false">01_Data!$D$20</f>
        <v>750000</v>
      </c>
      <c r="F27" s="10" t="n">
        <f aca="false">01_Data!$D$21</f>
        <v>600000</v>
      </c>
      <c r="G27" s="11" t="n">
        <f aca="false">CHOOSE(SW_SCEN,D27,E27,F27)</f>
        <v>750000</v>
      </c>
    </row>
    <row r="28" customFormat="false" ht="15" hidden="false" customHeight="false" outlineLevel="0" collapsed="false">
      <c r="A28" s="9" t="s">
        <v>65</v>
      </c>
      <c r="B28" s="2" t="s">
        <v>24</v>
      </c>
      <c r="C28" s="2" t="s">
        <v>66</v>
      </c>
      <c r="D28" s="17" t="n">
        <v>0.4</v>
      </c>
      <c r="E28" s="17" t="n">
        <v>0.3</v>
      </c>
      <c r="F28" s="17" t="n">
        <v>0.2</v>
      </c>
      <c r="G28" s="14" t="n">
        <f aca="false">CHOOSE(SW_SCEN,D28,E28,F28)</f>
        <v>0.3</v>
      </c>
    </row>
    <row r="29" customFormat="false" ht="15" hidden="false" customHeight="false" outlineLevel="0" collapsed="false">
      <c r="A29" s="9" t="s">
        <v>67</v>
      </c>
      <c r="B29" s="2" t="s">
        <v>14</v>
      </c>
      <c r="C29" s="2" t="s">
        <v>68</v>
      </c>
      <c r="D29" s="12" t="n">
        <v>120000</v>
      </c>
      <c r="E29" s="12" t="n">
        <v>90000</v>
      </c>
      <c r="F29" s="12" t="n">
        <v>60000</v>
      </c>
      <c r="G29" s="11" t="n">
        <f aca="false">CHOOSE(SW_SCEN,D29,E29,F29)</f>
        <v>90000</v>
      </c>
    </row>
    <row r="30" customFormat="false" ht="15" hidden="false" customHeight="false" outlineLevel="0" collapsed="false">
      <c r="A30" s="9" t="s">
        <v>69</v>
      </c>
      <c r="B30" s="2" t="s">
        <v>24</v>
      </c>
      <c r="C30" s="2" t="s">
        <v>70</v>
      </c>
      <c r="D30" s="17" t="n">
        <v>0.5</v>
      </c>
      <c r="E30" s="17" t="n">
        <v>0.4</v>
      </c>
      <c r="F30" s="17" t="n">
        <v>0.3</v>
      </c>
      <c r="G30" s="14" t="n">
        <f aca="false">CHOOSE(SW_SCEN,D30,E30,F30)</f>
        <v>0.4</v>
      </c>
    </row>
    <row r="31" customFormat="false" ht="15" hidden="false" customHeight="false" outlineLevel="0" collapsed="false">
      <c r="A31" s="9" t="s">
        <v>71</v>
      </c>
      <c r="B31" s="2" t="s">
        <v>24</v>
      </c>
      <c r="C31" s="2" t="s">
        <v>72</v>
      </c>
      <c r="D31" s="17" t="n">
        <v>0.02</v>
      </c>
      <c r="E31" s="17" t="n">
        <v>0.02</v>
      </c>
      <c r="F31" s="17" t="n">
        <v>0.02</v>
      </c>
      <c r="G31" s="14" t="n">
        <f aca="false">CHOOSE(SW_SCEN,D31,E31,F31)</f>
        <v>0.02</v>
      </c>
    </row>
    <row r="32" customFormat="false" ht="15" hidden="false" customHeight="false" outlineLevel="0" collapsed="false">
      <c r="A32" s="9" t="s">
        <v>73</v>
      </c>
      <c r="B32" s="2" t="s">
        <v>24</v>
      </c>
      <c r="C32" s="2" t="s">
        <v>74</v>
      </c>
      <c r="D32" s="17" t="n">
        <v>0.2</v>
      </c>
      <c r="E32" s="17" t="n">
        <v>0.2</v>
      </c>
      <c r="F32" s="17" t="n">
        <v>0.2</v>
      </c>
      <c r="G32" s="14" t="n">
        <f aca="false">CHOOSE(SW_SCEN,D32,E32,F32)</f>
        <v>0.2</v>
      </c>
    </row>
    <row r="33" customFormat="false" ht="15" hidden="false" customHeight="false" outlineLevel="0" collapsed="false">
      <c r="A33" s="9" t="s">
        <v>75</v>
      </c>
      <c r="B33" s="2" t="s">
        <v>14</v>
      </c>
      <c r="C33" s="2" t="s">
        <v>76</v>
      </c>
      <c r="D33" s="18" t="n">
        <v>0.8</v>
      </c>
      <c r="E33" s="18" t="n">
        <v>0.7</v>
      </c>
      <c r="F33" s="18" t="n">
        <v>0.6</v>
      </c>
      <c r="G33" s="19" t="n">
        <f aca="false">CHOOSE(SW_SCEN,D33,E33,F33)</f>
        <v>0.7</v>
      </c>
    </row>
    <row r="34" customFormat="false" ht="15" hidden="false" customHeight="false" outlineLevel="0" collapsed="false">
      <c r="A34" s="9" t="s">
        <v>77</v>
      </c>
      <c r="B34" s="2" t="s">
        <v>24</v>
      </c>
      <c r="C34" s="2" t="s">
        <v>78</v>
      </c>
      <c r="D34" s="17" t="n">
        <v>0.25</v>
      </c>
      <c r="E34" s="17" t="n">
        <v>0.2</v>
      </c>
      <c r="F34" s="17" t="n">
        <v>0.15</v>
      </c>
      <c r="G34" s="14" t="n">
        <f aca="false">CHOOSE(SW_SCEN,D34,E34,F34)</f>
        <v>0.2</v>
      </c>
    </row>
    <row r="35" customFormat="false" ht="15" hidden="false" customHeight="false" outlineLevel="0" collapsed="false">
      <c r="A35" s="9" t="s">
        <v>79</v>
      </c>
      <c r="B35" s="2" t="s">
        <v>18</v>
      </c>
      <c r="C35" s="2" t="s">
        <v>80</v>
      </c>
      <c r="D35" s="12" t="n">
        <v>140000</v>
      </c>
      <c r="E35" s="12" t="n">
        <v>140000</v>
      </c>
      <c r="F35" s="12" t="n">
        <v>140000</v>
      </c>
      <c r="G35" s="11" t="n">
        <f aca="false">CHOOSE(SW_SCEN,D35,E35,F35)</f>
        <v>140000</v>
      </c>
    </row>
    <row r="36" customFormat="false" ht="15" hidden="false" customHeight="false" outlineLevel="0" collapsed="false">
      <c r="A36" s="9" t="s">
        <v>81</v>
      </c>
      <c r="B36" s="2" t="s">
        <v>18</v>
      </c>
      <c r="C36" s="2" t="s">
        <v>82</v>
      </c>
      <c r="D36" s="12" t="n">
        <v>150000</v>
      </c>
      <c r="E36" s="12" t="n">
        <v>150000</v>
      </c>
      <c r="F36" s="12" t="n">
        <v>150000</v>
      </c>
      <c r="G36" s="11" t="n">
        <f aca="false">CHOOSE(SW_SCEN,D36,E36,F36)</f>
        <v>150000</v>
      </c>
    </row>
    <row r="37" customFormat="false" ht="15" hidden="false" customHeight="false" outlineLevel="0" collapsed="false">
      <c r="A37" s="9" t="s">
        <v>83</v>
      </c>
      <c r="B37" s="2" t="s">
        <v>24</v>
      </c>
      <c r="C37" s="2" t="s">
        <v>84</v>
      </c>
      <c r="D37" s="22" t="n">
        <v>0.33</v>
      </c>
      <c r="E37" s="22" t="n">
        <v>0.33</v>
      </c>
      <c r="F37" s="22" t="n">
        <v>0.33</v>
      </c>
      <c r="G37" s="23" t="n">
        <f aca="false">CHOOSE(SW_SCEN,D37,E37,F37)</f>
        <v>0.33</v>
      </c>
    </row>
    <row r="38" customFormat="false" ht="15" hidden="false" customHeight="false" outlineLevel="0" collapsed="false">
      <c r="A38" s="9" t="s">
        <v>85</v>
      </c>
      <c r="B38" s="2" t="s">
        <v>51</v>
      </c>
      <c r="C38" s="2" t="s">
        <v>86</v>
      </c>
      <c r="D38" s="20" t="n">
        <v>4</v>
      </c>
      <c r="E38" s="20" t="n">
        <v>4</v>
      </c>
      <c r="F38" s="20" t="n">
        <v>4</v>
      </c>
      <c r="G38" s="21" t="n">
        <f aca="false">CHOOSE(SW_SCEN,D38,E38,F38)</f>
        <v>4</v>
      </c>
    </row>
    <row r="40" customFormat="false" ht="15" hidden="false" customHeight="false" outlineLevel="0" collapsed="false">
      <c r="A40" s="24" t="s">
        <v>87</v>
      </c>
      <c r="B40" s="25"/>
      <c r="C40" s="25"/>
      <c r="D40" s="25"/>
      <c r="E40" s="25"/>
      <c r="F40" s="25"/>
      <c r="G40" s="25"/>
      <c r="H40" s="25"/>
    </row>
    <row r="41" customFormat="false" ht="15" hidden="false" customHeight="false" outlineLevel="0" collapsed="false">
      <c r="A41" s="8" t="s">
        <v>88</v>
      </c>
      <c r="B41" s="8" t="s">
        <v>89</v>
      </c>
      <c r="C41" s="8" t="s">
        <v>90</v>
      </c>
      <c r="D41" s="8" t="s">
        <v>91</v>
      </c>
      <c r="E41" s="8" t="s">
        <v>6</v>
      </c>
      <c r="F41" s="8" t="s">
        <v>12</v>
      </c>
    </row>
    <row r="42" customFormat="false" ht="48" hidden="false" customHeight="true" outlineLevel="0" collapsed="false">
      <c r="A42" s="3" t="s">
        <v>92</v>
      </c>
      <c r="B42" s="9" t="s">
        <v>93</v>
      </c>
      <c r="C42" s="26" t="s">
        <v>94</v>
      </c>
      <c r="D42" s="26" t="s">
        <v>95</v>
      </c>
      <c r="E42" s="9" t="s">
        <v>96</v>
      </c>
      <c r="F42" s="2" t="s">
        <v>97</v>
      </c>
    </row>
    <row r="43" customFormat="false" ht="48" hidden="false" customHeight="true" outlineLevel="0" collapsed="false">
      <c r="A43" s="3" t="s">
        <v>98</v>
      </c>
      <c r="B43" s="9" t="s">
        <v>99</v>
      </c>
      <c r="C43" s="26" t="s">
        <v>100</v>
      </c>
      <c r="D43" s="26" t="s">
        <v>101</v>
      </c>
      <c r="E43" s="9" t="s">
        <v>102</v>
      </c>
      <c r="F43" s="2" t="s">
        <v>97</v>
      </c>
    </row>
    <row r="44" customFormat="false" ht="48" hidden="false" customHeight="true" outlineLevel="0" collapsed="false">
      <c r="A44" s="3" t="s">
        <v>103</v>
      </c>
      <c r="B44" s="9" t="s">
        <v>104</v>
      </c>
      <c r="C44" s="26" t="s">
        <v>105</v>
      </c>
      <c r="D44" s="26" t="s">
        <v>106</v>
      </c>
      <c r="E44" s="9" t="s">
        <v>107</v>
      </c>
      <c r="F44" s="2" t="s">
        <v>108</v>
      </c>
    </row>
    <row r="45" customFormat="false" ht="48" hidden="false" customHeight="true" outlineLevel="0" collapsed="false">
      <c r="A45" s="3" t="s">
        <v>109</v>
      </c>
      <c r="B45" s="9" t="s">
        <v>110</v>
      </c>
      <c r="C45" s="26" t="s">
        <v>111</v>
      </c>
      <c r="D45" s="26" t="s">
        <v>112</v>
      </c>
      <c r="E45" s="9" t="s">
        <v>113</v>
      </c>
      <c r="F45" s="2" t="s">
        <v>108</v>
      </c>
    </row>
    <row r="46" customFormat="false" ht="48" hidden="false" customHeight="true" outlineLevel="0" collapsed="false">
      <c r="A46" s="3" t="s">
        <v>114</v>
      </c>
      <c r="B46" s="9" t="s">
        <v>115</v>
      </c>
      <c r="C46" s="26" t="s">
        <v>116</v>
      </c>
      <c r="D46" s="26" t="s">
        <v>117</v>
      </c>
      <c r="E46" s="9" t="s">
        <v>107</v>
      </c>
      <c r="F46" s="2" t="s">
        <v>108</v>
      </c>
    </row>
    <row r="48" customFormat="false" ht="15" hidden="false" customHeight="false" outlineLevel="0" collapsed="false">
      <c r="A48" s="27" t="s">
        <v>118</v>
      </c>
    </row>
    <row r="51" customFormat="false" ht="15" hidden="false" customHeight="false" outlineLevel="0" collapsed="false">
      <c r="A51" s="27" t="s">
        <v>119</v>
      </c>
    </row>
    <row r="54" customFormat="false" ht="15" hidden="false" customHeight="false" outlineLevel="0" collapsed="false">
      <c r="A54" s="27" t="s">
        <v>120</v>
      </c>
    </row>
    <row r="57" customFormat="false" ht="15" hidden="false" customHeight="false" outlineLevel="0" collapsed="false">
      <c r="A57" s="27" t="s">
        <v>121</v>
      </c>
    </row>
    <row r="60" customFormat="false" ht="15" hidden="false" customHeight="false" outlineLevel="0" collapsed="false">
      <c r="A60" s="2" t="s">
        <v>122</v>
      </c>
    </row>
    <row r="62" customFormat="false" ht="15" hidden="false" customHeight="false" outlineLevel="0" collapsed="false">
      <c r="A62" s="24" t="s">
        <v>123</v>
      </c>
      <c r="B62" s="25"/>
      <c r="C62" s="25"/>
      <c r="D62" s="25"/>
      <c r="E62" s="25"/>
      <c r="F62" s="25"/>
      <c r="G62" s="25"/>
      <c r="H62" s="25"/>
    </row>
    <row r="63" customFormat="false" ht="15" hidden="false" customHeight="false" outlineLevel="0" collapsed="false">
      <c r="A63" s="8" t="s">
        <v>124</v>
      </c>
      <c r="B63" s="8" t="s">
        <v>6</v>
      </c>
      <c r="C63" s="8" t="s">
        <v>125</v>
      </c>
      <c r="D63" s="8" t="s">
        <v>8</v>
      </c>
      <c r="E63" s="8" t="s">
        <v>9</v>
      </c>
      <c r="F63" s="8" t="s">
        <v>10</v>
      </c>
      <c r="G63" s="8" t="s">
        <v>126</v>
      </c>
      <c r="H63" s="8" t="s">
        <v>12</v>
      </c>
    </row>
    <row r="64" customFormat="false" ht="15" hidden="false" customHeight="false" outlineLevel="0" collapsed="false">
      <c r="A64" s="9" t="s">
        <v>127</v>
      </c>
      <c r="B64" s="2" t="s">
        <v>128</v>
      </c>
      <c r="C64" s="2" t="s">
        <v>129</v>
      </c>
      <c r="D64" s="28" t="n">
        <v>46023</v>
      </c>
      <c r="E64" s="28" t="n">
        <v>46023</v>
      </c>
      <c r="F64" s="28" t="n">
        <v>46023</v>
      </c>
      <c r="G64" s="29" t="n">
        <f aca="false">CHOOSE(SW_SCEN,D64,E64,F64)</f>
        <v>46023</v>
      </c>
    </row>
    <row r="65" customFormat="false" ht="15" hidden="false" customHeight="false" outlineLevel="0" collapsed="false">
      <c r="A65" s="9" t="s">
        <v>130</v>
      </c>
      <c r="B65" s="2" t="s">
        <v>128</v>
      </c>
      <c r="C65" s="2" t="s">
        <v>131</v>
      </c>
      <c r="D65" s="28" t="n">
        <v>46023</v>
      </c>
      <c r="E65" s="28" t="n">
        <v>46023</v>
      </c>
      <c r="F65" s="28" t="n">
        <v>46023</v>
      </c>
      <c r="G65" s="29" t="n">
        <f aca="false">CHOOSE(SW_SCEN,D65,E65,F65)</f>
        <v>46023</v>
      </c>
    </row>
    <row r="66" customFormat="false" ht="15" hidden="false" customHeight="false" outlineLevel="0" collapsed="false">
      <c r="A66" s="9" t="s">
        <v>132</v>
      </c>
      <c r="B66" s="2" t="s">
        <v>128</v>
      </c>
      <c r="C66" s="2" t="s">
        <v>133</v>
      </c>
      <c r="D66" s="28" t="n">
        <v>46174</v>
      </c>
      <c r="E66" s="28" t="n">
        <v>46174</v>
      </c>
      <c r="F66" s="28" t="n">
        <v>46174</v>
      </c>
      <c r="G66" s="29" t="n">
        <f aca="false">CHOOSE(SW_SCEN,D66,E66,F66)</f>
        <v>46174</v>
      </c>
    </row>
    <row r="67" customFormat="false" ht="15" hidden="false" customHeight="false" outlineLevel="0" collapsed="false">
      <c r="A67" s="9" t="s">
        <v>134</v>
      </c>
      <c r="B67" s="2" t="s">
        <v>128</v>
      </c>
      <c r="C67" s="2" t="s">
        <v>135</v>
      </c>
      <c r="D67" s="28" t="n">
        <v>46661</v>
      </c>
      <c r="E67" s="28" t="n">
        <v>46661</v>
      </c>
      <c r="F67" s="28" t="n">
        <v>46661</v>
      </c>
      <c r="G67" s="29" t="n">
        <f aca="false">CHOOSE(SW_SCEN,D67,E67,F67)</f>
        <v>46661</v>
      </c>
    </row>
    <row r="68" customFormat="false" ht="15" hidden="false" customHeight="false" outlineLevel="0" collapsed="false">
      <c r="A68" s="9" t="s">
        <v>136</v>
      </c>
      <c r="B68" s="2" t="s">
        <v>128</v>
      </c>
      <c r="C68" s="2" t="s">
        <v>137</v>
      </c>
      <c r="D68" s="28" t="n">
        <v>46388</v>
      </c>
      <c r="E68" s="28" t="n">
        <v>46388</v>
      </c>
      <c r="F68" s="28" t="n">
        <v>46388</v>
      </c>
      <c r="G68" s="29" t="n">
        <f aca="false">CHOOSE(SW_SCEN,D68,E68,F68)</f>
        <v>46388</v>
      </c>
    </row>
    <row r="69" customFormat="false" ht="15" hidden="false" customHeight="false" outlineLevel="0" collapsed="false">
      <c r="A69" s="9" t="s">
        <v>138</v>
      </c>
      <c r="B69" s="2" t="s">
        <v>128</v>
      </c>
      <c r="C69" s="2" t="s">
        <v>139</v>
      </c>
      <c r="D69" s="28" t="n">
        <v>46204</v>
      </c>
      <c r="E69" s="28" t="n">
        <v>46204</v>
      </c>
      <c r="F69" s="28" t="n">
        <v>46204</v>
      </c>
      <c r="G69" s="29" t="n">
        <f aca="false">CHOOSE(SW_SCEN,D69,E69,F69)</f>
        <v>46204</v>
      </c>
    </row>
    <row r="70" customFormat="false" ht="15" hidden="false" customHeight="false" outlineLevel="0" collapsed="false">
      <c r="A70" s="9" t="s">
        <v>140</v>
      </c>
      <c r="B70" s="2" t="s">
        <v>128</v>
      </c>
      <c r="C70" s="2" t="s">
        <v>141</v>
      </c>
      <c r="D70" s="28" t="n">
        <v>46388</v>
      </c>
      <c r="E70" s="28" t="n">
        <v>46388</v>
      </c>
      <c r="F70" s="28" t="n">
        <v>46388</v>
      </c>
      <c r="G70" s="29" t="n">
        <f aca="false">CHOOSE(SW_SCEN,D70,E70,F70)</f>
        <v>46388</v>
      </c>
    </row>
    <row r="71" customFormat="false" ht="15" hidden="false" customHeight="false" outlineLevel="0" collapsed="false">
      <c r="A71" s="9" t="s">
        <v>142</v>
      </c>
      <c r="B71" s="2" t="s">
        <v>128</v>
      </c>
      <c r="C71" s="2" t="s">
        <v>143</v>
      </c>
      <c r="D71" s="28" t="n">
        <v>46204</v>
      </c>
      <c r="E71" s="28" t="n">
        <v>46204</v>
      </c>
      <c r="F71" s="28" t="n">
        <v>46204</v>
      </c>
      <c r="G71" s="29" t="n">
        <f aca="false">CHOOSE(SW_SCEN,D71,E71,F71)</f>
        <v>46204</v>
      </c>
    </row>
    <row r="72" customFormat="false" ht="15" hidden="false" customHeight="false" outlineLevel="0" collapsed="false">
      <c r="A72" s="9" t="s">
        <v>144</v>
      </c>
      <c r="B72" s="2" t="s">
        <v>128</v>
      </c>
      <c r="C72" s="2" t="s">
        <v>145</v>
      </c>
      <c r="D72" s="28" t="n">
        <v>46388</v>
      </c>
      <c r="E72" s="28" t="n">
        <v>46388</v>
      </c>
      <c r="F72" s="28" t="n">
        <v>46388</v>
      </c>
      <c r="G72" s="29" t="n">
        <f aca="false">CHOOSE(SW_SCEN,D72,E72,F72)</f>
        <v>46388</v>
      </c>
    </row>
    <row r="73" customFormat="false" ht="15" hidden="false" customHeight="false" outlineLevel="0" collapsed="false">
      <c r="A73" s="9" t="s">
        <v>146</v>
      </c>
      <c r="B73" s="2" t="s">
        <v>128</v>
      </c>
      <c r="C73" s="2" t="s">
        <v>147</v>
      </c>
      <c r="D73" s="28" t="n">
        <v>46388</v>
      </c>
      <c r="E73" s="28" t="n">
        <v>46388</v>
      </c>
      <c r="F73" s="28" t="n">
        <v>46388</v>
      </c>
      <c r="G73" s="29" t="n">
        <f aca="false">CHOOSE(SW_SCEN,D73,E73,F73)</f>
        <v>46388</v>
      </c>
    </row>
    <row r="74" customFormat="false" ht="15" hidden="false" customHeight="false" outlineLevel="0" collapsed="false">
      <c r="A74" s="9" t="s">
        <v>148</v>
      </c>
      <c r="B74" s="2" t="s">
        <v>128</v>
      </c>
      <c r="C74" s="2" t="s">
        <v>149</v>
      </c>
      <c r="D74" s="28" t="n">
        <v>46388</v>
      </c>
      <c r="E74" s="28" t="n">
        <v>46388</v>
      </c>
      <c r="F74" s="28" t="n">
        <v>46388</v>
      </c>
      <c r="G74" s="29" t="n">
        <f aca="false">CHOOSE(SW_SCEN,D74,E74,F74)</f>
        <v>46388</v>
      </c>
    </row>
    <row r="75" customFormat="false" ht="15" hidden="false" customHeight="false" outlineLevel="0" collapsed="false">
      <c r="A75" s="9" t="s">
        <v>150</v>
      </c>
      <c r="B75" s="2" t="s">
        <v>128</v>
      </c>
      <c r="C75" s="2" t="s">
        <v>149</v>
      </c>
      <c r="D75" s="28" t="n">
        <v>46023</v>
      </c>
      <c r="E75" s="28" t="n">
        <v>46023</v>
      </c>
      <c r="F75" s="28" t="n">
        <v>46023</v>
      </c>
      <c r="G75" s="29" t="n">
        <f aca="false">CHOOSE(SW_SCEN,D75,E75,F75)</f>
        <v>46023</v>
      </c>
    </row>
    <row r="76" customFormat="false" ht="15" hidden="false" customHeight="false" outlineLevel="0" collapsed="false">
      <c r="A76" s="9" t="s">
        <v>151</v>
      </c>
      <c r="B76" s="2" t="s">
        <v>128</v>
      </c>
      <c r="C76" s="2" t="s">
        <v>152</v>
      </c>
      <c r="D76" s="28" t="n">
        <v>46023</v>
      </c>
      <c r="E76" s="28" t="n">
        <v>46023</v>
      </c>
      <c r="F76" s="28" t="n">
        <v>46023</v>
      </c>
      <c r="G76" s="29" t="n">
        <f aca="false">CHOOSE(SW_SCEN,D76,E76,F76)</f>
        <v>46023</v>
      </c>
    </row>
    <row r="77" customFormat="false" ht="15" hidden="false" customHeight="false" outlineLevel="0" collapsed="false">
      <c r="A77" s="9" t="s">
        <v>153</v>
      </c>
      <c r="B77" s="2" t="s">
        <v>128</v>
      </c>
      <c r="C77" s="2" t="s">
        <v>154</v>
      </c>
      <c r="D77" s="28" t="n">
        <v>46023</v>
      </c>
      <c r="E77" s="28" t="n">
        <v>46023</v>
      </c>
      <c r="F77" s="28" t="n">
        <v>46023</v>
      </c>
      <c r="G77" s="29" t="n">
        <f aca="false">CHOOSE(SW_SCEN,D77,E77,F77)</f>
        <v>46023</v>
      </c>
    </row>
    <row r="78" customFormat="false" ht="15" hidden="false" customHeight="false" outlineLevel="0" collapsed="false">
      <c r="A78" s="9" t="s">
        <v>155</v>
      </c>
      <c r="B78" s="2" t="s">
        <v>128</v>
      </c>
      <c r="C78" s="2" t="s">
        <v>156</v>
      </c>
      <c r="D78" s="28" t="n">
        <v>46023</v>
      </c>
      <c r="E78" s="28" t="n">
        <v>46023</v>
      </c>
      <c r="F78" s="28" t="n">
        <v>46023</v>
      </c>
      <c r="G78" s="29" t="n">
        <f aca="false">CHOOSE(SW_SCEN,D78,E78,F78)</f>
        <v>46023</v>
      </c>
    </row>
    <row r="79" customFormat="false" ht="15" hidden="false" customHeight="false" outlineLevel="0" collapsed="false">
      <c r="A79" s="9" t="s">
        <v>157</v>
      </c>
      <c r="B79" s="2" t="s">
        <v>128</v>
      </c>
      <c r="C79" s="2" t="s">
        <v>158</v>
      </c>
      <c r="D79" s="28" t="n">
        <v>46753</v>
      </c>
      <c r="E79" s="28" t="n">
        <v>46753</v>
      </c>
      <c r="F79" s="28" t="n">
        <v>46753</v>
      </c>
      <c r="G79" s="29" t="n">
        <f aca="false">CHOOSE(SW_SCEN,D79,E79,F79)</f>
        <v>46753</v>
      </c>
    </row>
    <row r="80" customFormat="false" ht="15" hidden="false" customHeight="false" outlineLevel="0" collapsed="false">
      <c r="A80" s="9" t="s">
        <v>159</v>
      </c>
      <c r="B80" s="2" t="s">
        <v>51</v>
      </c>
      <c r="C80" s="2" t="s">
        <v>160</v>
      </c>
      <c r="D80" s="20" t="n">
        <v>5</v>
      </c>
      <c r="E80" s="20" t="n">
        <v>5</v>
      </c>
      <c r="F80" s="20" t="n">
        <v>5</v>
      </c>
      <c r="G80" s="21" t="n">
        <f aca="false">CHOOSE(SW_SCEN,D80,E80,F80)</f>
        <v>5</v>
      </c>
    </row>
    <row r="81" customFormat="false" ht="15" hidden="false" customHeight="false" outlineLevel="0" collapsed="false">
      <c r="A81" s="9" t="s">
        <v>161</v>
      </c>
      <c r="B81" s="2" t="s">
        <v>51</v>
      </c>
      <c r="C81" s="2" t="s">
        <v>162</v>
      </c>
      <c r="D81" s="20" t="n">
        <v>6</v>
      </c>
      <c r="E81" s="20" t="n">
        <v>6</v>
      </c>
      <c r="F81" s="20" t="n">
        <v>6</v>
      </c>
      <c r="G81" s="21" t="n">
        <f aca="false">CHOOSE(SW_SCEN,D81,E81,F81)</f>
        <v>6</v>
      </c>
    </row>
    <row r="84" customFormat="false" ht="15" hidden="false" customHeight="false" outlineLevel="0" collapsed="false">
      <c r="A84" s="24" t="s">
        <v>163</v>
      </c>
      <c r="B84" s="25"/>
      <c r="C84" s="25"/>
      <c r="D84" s="25"/>
      <c r="E84" s="25"/>
      <c r="F84" s="25"/>
      <c r="G84" s="25"/>
      <c r="H84" s="25"/>
    </row>
    <row r="85" customFormat="false" ht="15" hidden="false" customHeight="false" outlineLevel="0" collapsed="false">
      <c r="A85" s="8" t="s">
        <v>124</v>
      </c>
      <c r="B85" s="8" t="s">
        <v>6</v>
      </c>
      <c r="C85" s="8" t="s">
        <v>125</v>
      </c>
      <c r="D85" s="8" t="s">
        <v>164</v>
      </c>
      <c r="E85" s="8" t="s">
        <v>165</v>
      </c>
      <c r="F85" s="8" t="s">
        <v>166</v>
      </c>
      <c r="G85" s="8" t="s">
        <v>167</v>
      </c>
      <c r="H85" s="8" t="s">
        <v>12</v>
      </c>
    </row>
    <row r="86" customFormat="false" ht="15" hidden="false" customHeight="false" outlineLevel="0" collapsed="false">
      <c r="A86" s="9" t="s">
        <v>168</v>
      </c>
      <c r="B86" s="2" t="s">
        <v>24</v>
      </c>
      <c r="C86" s="2" t="s">
        <v>169</v>
      </c>
      <c r="D86" s="17" t="n">
        <v>0.15</v>
      </c>
      <c r="E86" s="17" t="n">
        <v>0.22</v>
      </c>
      <c r="F86" s="17" t="n">
        <v>0.28</v>
      </c>
      <c r="G86" s="17" t="n">
        <v>0.35</v>
      </c>
      <c r="H86" s="30" t="n">
        <f aca="false">SUM(D86:G86)</f>
        <v>1</v>
      </c>
      <c r="I86" s="2" t="s">
        <v>170</v>
      </c>
    </row>
    <row r="87" customFormat="false" ht="15" hidden="false" customHeight="false" outlineLevel="0" collapsed="false">
      <c r="A87" s="9" t="s">
        <v>171</v>
      </c>
      <c r="B87" s="2" t="s">
        <v>18</v>
      </c>
      <c r="C87" s="2" t="s">
        <v>172</v>
      </c>
      <c r="D87" s="31" t="n">
        <f aca="false">00_Assumptions!$D$9</f>
        <v>150000</v>
      </c>
      <c r="E87" s="32" t="n">
        <f aca="false">AVERAGE(D87,F87)</f>
        <v>175000</v>
      </c>
      <c r="F87" s="31" t="n">
        <f aca="false">01_Data!$D$32</f>
        <v>200000</v>
      </c>
    </row>
    <row r="88" customFormat="false" ht="15" hidden="false" customHeight="false" outlineLevel="0" collapsed="false">
      <c r="A88" s="9" t="s">
        <v>173</v>
      </c>
      <c r="B88" s="2" t="s">
        <v>24</v>
      </c>
      <c r="C88" s="2" t="s">
        <v>172</v>
      </c>
    </row>
    <row r="89" customFormat="false" ht="15" hidden="false" customHeight="false" outlineLevel="0" collapsed="false">
      <c r="A89" s="9" t="s">
        <v>174</v>
      </c>
      <c r="B89" s="2" t="s">
        <v>18</v>
      </c>
      <c r="C89" s="2" t="s">
        <v>175</v>
      </c>
      <c r="D89" s="31" t="n">
        <f aca="false">01_Data!$D$68</f>
        <v>22000</v>
      </c>
      <c r="E89" s="31" t="n">
        <f aca="false">00_Assumptions!$E$12</f>
        <v>30000</v>
      </c>
    </row>
    <row r="90" customFormat="false" ht="15" hidden="false" customHeight="false" outlineLevel="0" collapsed="false">
      <c r="A90" s="2" t="s">
        <v>176</v>
      </c>
      <c r="D90" s="33" t="n">
        <v>12</v>
      </c>
      <c r="E90" s="33" t="n">
        <v>1000</v>
      </c>
      <c r="F90" s="33" t="n">
        <v>4</v>
      </c>
      <c r="G90" s="33" t="n">
        <v>1000</v>
      </c>
      <c r="H90" s="33" t="n">
        <v>5</v>
      </c>
      <c r="I90" s="33" t="n">
        <v>10000</v>
      </c>
      <c r="J90" s="33" t="n">
        <v>1000</v>
      </c>
      <c r="K90" s="2" t="s">
        <v>177</v>
      </c>
    </row>
    <row r="91" customFormat="false" ht="15" hidden="false" customHeight="false" outlineLevel="0" collapsed="false">
      <c r="A91" s="2" t="s">
        <v>178</v>
      </c>
    </row>
    <row r="93" customFormat="false" ht="15" hidden="false" customHeight="false" outlineLevel="0" collapsed="false">
      <c r="A93" s="24" t="s">
        <v>179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customFormat="false" ht="15" hidden="false" customHeight="false" outlineLevel="0" collapsed="false">
      <c r="A94" s="34" t="s">
        <v>180</v>
      </c>
      <c r="D94" s="35" t="str">
        <f aca="false">00_Assumptions!$D$3</f>
        <v>2023A</v>
      </c>
      <c r="E94" s="35" t="str">
        <f aca="false">00_Assumptions!$E$3</f>
        <v>2024A</v>
      </c>
      <c r="F94" s="35" t="str">
        <f aca="false">00_Assumptions!$F$3</f>
        <v>2025A</v>
      </c>
      <c r="G94" s="35" t="str">
        <f aca="false">00_Assumptions!$G$3</f>
        <v>2026E</v>
      </c>
      <c r="H94" s="35" t="str">
        <f aca="false">00_Assumptions!$H$3</f>
        <v>2027E</v>
      </c>
      <c r="I94" s="35" t="str">
        <f aca="false">00_Assumptions!$I$3</f>
        <v>2028E</v>
      </c>
      <c r="J94" s="35" t="str">
        <f aca="false">00_Assumptions!$J$3</f>
        <v>2029E</v>
      </c>
      <c r="K94" s="35" t="str">
        <f aca="false">00_Assumptions!$K$3</f>
        <v>2030E</v>
      </c>
    </row>
    <row r="95" customFormat="false" ht="15" hidden="false" customHeight="false" outlineLevel="0" collapsed="false">
      <c r="A95" s="3" t="s">
        <v>181</v>
      </c>
      <c r="B95" s="2" t="s">
        <v>24</v>
      </c>
      <c r="C95" s="2" t="s">
        <v>182</v>
      </c>
      <c r="G95" s="14" t="n">
        <f aca="false">CHOOSE(SW_SCEN,G96,G97,G98)</f>
        <v>0.52</v>
      </c>
      <c r="H95" s="14" t="n">
        <f aca="false">CHOOSE(SW_SCEN,H96,H97,H98)</f>
        <v>0.63</v>
      </c>
      <c r="I95" s="14" t="n">
        <f aca="false">CHOOSE(SW_SCEN,I96,I97,I98)</f>
        <v>0.7</v>
      </c>
      <c r="J95" s="14" t="n">
        <f aca="false">CHOOSE(SW_SCEN,J96,J97,J98)</f>
        <v>0.72</v>
      </c>
      <c r="K95" s="14" t="n">
        <f aca="false">CHOOSE(SW_SCEN,K96,K97,K98)</f>
        <v>0.72</v>
      </c>
    </row>
    <row r="96" customFormat="false" ht="15" hidden="false" customHeight="false" outlineLevel="0" collapsed="false">
      <c r="A96" s="2" t="s">
        <v>183</v>
      </c>
      <c r="G96" s="17" t="n">
        <v>0.44</v>
      </c>
      <c r="H96" s="17" t="n">
        <v>0.55</v>
      </c>
      <c r="I96" s="17" t="n">
        <v>0.6</v>
      </c>
      <c r="J96" s="13" t="n">
        <f aca="false">00_Assumptions!$D$14</f>
        <v>0.65</v>
      </c>
      <c r="K96" s="13" t="n">
        <f aca="false">00_Assumptions!$D$14</f>
        <v>0.65</v>
      </c>
    </row>
    <row r="97" customFormat="false" ht="15" hidden="false" customHeight="false" outlineLevel="0" collapsed="false">
      <c r="A97" s="2" t="s">
        <v>184</v>
      </c>
      <c r="G97" s="17" t="n">
        <v>0.52</v>
      </c>
      <c r="H97" s="13" t="n">
        <f aca="false">01_Data!$D$64</f>
        <v>0.63</v>
      </c>
      <c r="I97" s="17" t="n">
        <v>0.7</v>
      </c>
      <c r="J97" s="13" t="n">
        <f aca="false">00_Assumptions!$E$14</f>
        <v>0.72</v>
      </c>
      <c r="K97" s="13" t="n">
        <f aca="false">00_Assumptions!$E$14</f>
        <v>0.72</v>
      </c>
    </row>
    <row r="98" customFormat="false" ht="15" hidden="false" customHeight="false" outlineLevel="0" collapsed="false">
      <c r="A98" s="2" t="s">
        <v>185</v>
      </c>
      <c r="G98" s="17" t="n">
        <v>0.6</v>
      </c>
      <c r="H98" s="13" t="n">
        <f aca="false">01_Data!$D$64</f>
        <v>0.63</v>
      </c>
      <c r="I98" s="13" t="n">
        <f aca="false">01_Data!$D$65</f>
        <v>0.77</v>
      </c>
      <c r="J98" s="13" t="n">
        <f aca="false">00_Assumptions!$F$14</f>
        <v>0.77</v>
      </c>
      <c r="K98" s="13" t="n">
        <f aca="false">00_Assumptions!$F$14</f>
        <v>0.77</v>
      </c>
    </row>
    <row r="100" customFormat="false" ht="15" hidden="false" customHeight="false" outlineLevel="0" collapsed="false">
      <c r="A100" s="3" t="s">
        <v>186</v>
      </c>
      <c r="B100" s="2" t="s">
        <v>14</v>
      </c>
      <c r="C100" s="2" t="s">
        <v>187</v>
      </c>
      <c r="G100" s="11" t="n">
        <f aca="false">CHOOSE(SW_SCEN,G101,G102,G103)</f>
        <v>7000</v>
      </c>
      <c r="H100" s="11" t="n">
        <f aca="false">CHOOSE(SW_SCEN,H101,H102,H103)</f>
        <v>14000</v>
      </c>
      <c r="I100" s="11" t="n">
        <f aca="false">CHOOSE(SW_SCEN,I101,I102,I103)</f>
        <v>22000</v>
      </c>
      <c r="J100" s="11" t="n">
        <f aca="false">CHOOSE(SW_SCEN,J101,J102,J103)</f>
        <v>30000</v>
      </c>
      <c r="K100" s="11" t="n">
        <f aca="false">CHOOSE(SW_SCEN,K101,K102,K103)</f>
        <v>30000</v>
      </c>
    </row>
    <row r="101" customFormat="false" ht="15" hidden="false" customHeight="false" outlineLevel="0" collapsed="false">
      <c r="A101" s="2" t="s">
        <v>183</v>
      </c>
      <c r="G101" s="10" t="n">
        <f aca="false">01_Data!$D$66*00_Assumptions!$D$11</f>
        <v>8750</v>
      </c>
      <c r="H101" s="10" t="n">
        <f aca="false">01_Data!$D$67*00_Assumptions!$D$11</f>
        <v>17500</v>
      </c>
      <c r="I101" s="10" t="n">
        <f aca="false">01_Data!$D$68*00_Assumptions!$D$11</f>
        <v>27500</v>
      </c>
      <c r="J101" s="10" t="n">
        <f aca="false">00_Assumptions!$D$12</f>
        <v>40000</v>
      </c>
      <c r="K101" s="10" t="n">
        <f aca="false">00_Assumptions!$D$13</f>
        <v>40000</v>
      </c>
    </row>
    <row r="102" customFormat="false" ht="15" hidden="false" customHeight="false" outlineLevel="0" collapsed="false">
      <c r="A102" s="2" t="s">
        <v>184</v>
      </c>
      <c r="G102" s="10" t="n">
        <f aca="false">01_Data!$D$66*00_Assumptions!$E$11</f>
        <v>7000</v>
      </c>
      <c r="H102" s="10" t="n">
        <f aca="false">01_Data!$D$67*00_Assumptions!$E$11</f>
        <v>14000</v>
      </c>
      <c r="I102" s="10" t="n">
        <f aca="false">01_Data!$D$68*00_Assumptions!$E$11</f>
        <v>22000</v>
      </c>
      <c r="J102" s="10" t="n">
        <f aca="false">00_Assumptions!$E$12</f>
        <v>30000</v>
      </c>
      <c r="K102" s="10" t="n">
        <f aca="false">00_Assumptions!$E$13</f>
        <v>30000</v>
      </c>
    </row>
    <row r="103" customFormat="false" ht="15" hidden="false" customHeight="false" outlineLevel="0" collapsed="false">
      <c r="A103" s="2" t="s">
        <v>185</v>
      </c>
      <c r="G103" s="10" t="n">
        <f aca="false">01_Data!$D$66*00_Assumptions!$F$11</f>
        <v>5950</v>
      </c>
      <c r="H103" s="10" t="n">
        <f aca="false">01_Data!$D$67*00_Assumptions!$F$11</f>
        <v>11900</v>
      </c>
      <c r="I103" s="10" t="n">
        <f aca="false">01_Data!$D$68*00_Assumptions!$F$11</f>
        <v>18700</v>
      </c>
      <c r="J103" s="10" t="n">
        <f aca="false">00_Assumptions!$F$12</f>
        <v>25000</v>
      </c>
      <c r="K103" s="10" t="n">
        <f aca="false">00_Assumptions!$F$13</f>
        <v>25000</v>
      </c>
    </row>
    <row r="105" customFormat="false" ht="15" hidden="false" customHeight="false" outlineLevel="0" collapsed="false">
      <c r="A105" s="3" t="s">
        <v>188</v>
      </c>
      <c r="B105" s="2" t="s">
        <v>24</v>
      </c>
      <c r="C105" s="2" t="s">
        <v>189</v>
      </c>
      <c r="H105" s="14" t="n">
        <f aca="false">CHOOSE(SW_SCEN,H106,H107,H108)</f>
        <v>0.4</v>
      </c>
      <c r="I105" s="14" t="n">
        <f aca="false">CHOOSE(SW_SCEN,I106,I107,I108)</f>
        <v>0.38</v>
      </c>
      <c r="J105" s="14" t="n">
        <f aca="false">CHOOSE(SW_SCEN,J106,J107,J108)</f>
        <v>0.36</v>
      </c>
      <c r="K105" s="14" t="n">
        <f aca="false">CHOOSE(SW_SCEN,K106,K107,K108)</f>
        <v>0.34</v>
      </c>
    </row>
    <row r="106" customFormat="false" ht="15" hidden="false" customHeight="false" outlineLevel="0" collapsed="false">
      <c r="A106" s="2" t="s">
        <v>183</v>
      </c>
      <c r="H106" s="13" t="n">
        <f aca="false">00_Assumptions!$D$30</f>
        <v>0.5</v>
      </c>
      <c r="I106" s="13" t="n">
        <f aca="false">H106-00_Assumptions!$D$31</f>
        <v>0.48</v>
      </c>
      <c r="J106" s="13" t="n">
        <f aca="false">I106-00_Assumptions!$D$31</f>
        <v>0.46</v>
      </c>
      <c r="K106" s="13" t="n">
        <f aca="false">J106-00_Assumptions!$D$31</f>
        <v>0.44</v>
      </c>
    </row>
    <row r="107" customFormat="false" ht="15" hidden="false" customHeight="false" outlineLevel="0" collapsed="false">
      <c r="A107" s="2" t="s">
        <v>184</v>
      </c>
      <c r="H107" s="13" t="n">
        <f aca="false">00_Assumptions!$E$30</f>
        <v>0.4</v>
      </c>
      <c r="I107" s="13" t="n">
        <f aca="false">H107-00_Assumptions!$E$31</f>
        <v>0.38</v>
      </c>
      <c r="J107" s="13" t="n">
        <f aca="false">I107-00_Assumptions!$E$31</f>
        <v>0.36</v>
      </c>
      <c r="K107" s="13" t="n">
        <f aca="false">J107-00_Assumptions!$E$31</f>
        <v>0.34</v>
      </c>
    </row>
    <row r="108" customFormat="false" ht="15" hidden="false" customHeight="false" outlineLevel="0" collapsed="false">
      <c r="A108" s="2" t="s">
        <v>185</v>
      </c>
      <c r="H108" s="13" t="n">
        <f aca="false">00_Assumptions!$F$30</f>
        <v>0.3</v>
      </c>
      <c r="I108" s="13" t="n">
        <f aca="false">H108-00_Assumptions!$F$31</f>
        <v>0.28</v>
      </c>
      <c r="J108" s="13" t="n">
        <f aca="false">I108-00_Assumptions!$F$31</f>
        <v>0.26</v>
      </c>
      <c r="K108" s="13" t="n">
        <f aca="false">J108-00_Assumptions!$F$31</f>
        <v>0.24</v>
      </c>
    </row>
    <row r="110" customFormat="false" ht="15" hidden="false" customHeight="false" outlineLevel="0" collapsed="false">
      <c r="A110" s="3" t="s">
        <v>190</v>
      </c>
      <c r="B110" s="2" t="s">
        <v>14</v>
      </c>
      <c r="C110" s="2" t="s">
        <v>191</v>
      </c>
      <c r="G110" s="11" t="n">
        <f aca="false">CHOOSE(SW_SCEN,G111,G112,G113)</f>
        <v>25000</v>
      </c>
      <c r="H110" s="11" t="n">
        <f aca="false">CHOOSE(SW_SCEN,H111,H112,H113)</f>
        <v>60000</v>
      </c>
      <c r="I110" s="11" t="n">
        <f aca="false">CHOOSE(SW_SCEN,I111,I112,I113)</f>
        <v>112000</v>
      </c>
      <c r="J110" s="11" t="n">
        <f aca="false">CHOOSE(SW_SCEN,J111,J112,J113)</f>
        <v>120000</v>
      </c>
      <c r="K110" s="11" t="n">
        <f aca="false">CHOOSE(SW_SCEN,K111,K112,K113)</f>
        <v>90000</v>
      </c>
    </row>
    <row r="111" customFormat="false" ht="15" hidden="false" customHeight="false" outlineLevel="0" collapsed="false">
      <c r="A111" s="2" t="s">
        <v>183</v>
      </c>
      <c r="G111" s="10" t="n">
        <f aca="false">01_Data!$D$161</f>
        <v>25000</v>
      </c>
      <c r="H111" s="10" t="n">
        <f aca="false">01_Data!$D$162</f>
        <v>60000</v>
      </c>
      <c r="I111" s="10" t="n">
        <f aca="false">01_Data!$D$163</f>
        <v>112000</v>
      </c>
      <c r="J111" s="10" t="n">
        <f aca="false">01_Data!$D$164</f>
        <v>120000</v>
      </c>
      <c r="K111" s="10" t="n">
        <f aca="false">00_Assumptions!$D$29</f>
        <v>120000</v>
      </c>
    </row>
    <row r="112" customFormat="false" ht="15" hidden="false" customHeight="false" outlineLevel="0" collapsed="false">
      <c r="A112" s="2" t="s">
        <v>184</v>
      </c>
      <c r="G112" s="10" t="n">
        <f aca="false">01_Data!$D$161</f>
        <v>25000</v>
      </c>
      <c r="H112" s="10" t="n">
        <f aca="false">01_Data!$D$162</f>
        <v>60000</v>
      </c>
      <c r="I112" s="10" t="n">
        <f aca="false">01_Data!$D$163</f>
        <v>112000</v>
      </c>
      <c r="J112" s="10" t="n">
        <f aca="false">01_Data!$D$164</f>
        <v>120000</v>
      </c>
      <c r="K112" s="10" t="n">
        <f aca="false">00_Assumptions!$E$29</f>
        <v>90000</v>
      </c>
    </row>
    <row r="113" customFormat="false" ht="15" hidden="false" customHeight="false" outlineLevel="0" collapsed="false">
      <c r="A113" s="2" t="s">
        <v>185</v>
      </c>
      <c r="G113" s="10" t="n">
        <f aca="false">01_Data!$D$161</f>
        <v>25000</v>
      </c>
      <c r="H113" s="10" t="n">
        <f aca="false">01_Data!$D$162</f>
        <v>60000</v>
      </c>
      <c r="I113" s="10" t="n">
        <f aca="false">01_Data!$D$163</f>
        <v>112000</v>
      </c>
      <c r="J113" s="10" t="n">
        <f aca="false">01_Data!$D$164</f>
        <v>120000</v>
      </c>
      <c r="K113" s="10" t="n">
        <f aca="false">00_Assumptions!$F$29</f>
        <v>60000</v>
      </c>
    </row>
    <row r="115" customFormat="false" ht="15" hidden="false" customHeight="false" outlineLevel="0" collapsed="false">
      <c r="A115" s="3" t="s">
        <v>192</v>
      </c>
      <c r="B115" s="2" t="s">
        <v>193</v>
      </c>
      <c r="C115" s="2" t="s">
        <v>194</v>
      </c>
      <c r="G115" s="21" t="n">
        <f aca="false">CHOOSE(SW_SCEN,G116,G117,G118)</f>
        <v>5000</v>
      </c>
      <c r="H115" s="21" t="n">
        <f aca="false">CHOOSE(SW_SCEN,H116,H117,H118)</f>
        <v>6250</v>
      </c>
      <c r="I115" s="21" t="n">
        <f aca="false">CHOOSE(SW_SCEN,I116,I117,I118)</f>
        <v>7812.5</v>
      </c>
      <c r="J115" s="21" t="n">
        <f aca="false">CHOOSE(SW_SCEN,J116,J117,J118)</f>
        <v>9765.625</v>
      </c>
      <c r="K115" s="21" t="n">
        <f aca="false">CHOOSE(SW_SCEN,K116,K117,K118)</f>
        <v>12207.03125</v>
      </c>
    </row>
    <row r="116" customFormat="false" ht="15" hidden="false" customHeight="false" outlineLevel="0" collapsed="false">
      <c r="A116" s="2" t="s">
        <v>183</v>
      </c>
      <c r="G116" s="36" t="n">
        <f aca="false">SW_A_HC</f>
        <v>5000</v>
      </c>
      <c r="H116" s="36" t="n">
        <f aca="false">G116*(1+00_Assumptions!$D$17)</f>
        <v>6500</v>
      </c>
      <c r="I116" s="36" t="n">
        <f aca="false">H116*(1+00_Assumptions!$D$17)</f>
        <v>8450</v>
      </c>
      <c r="J116" s="36" t="n">
        <f aca="false">I116*(1+00_Assumptions!$D$17)</f>
        <v>10985</v>
      </c>
      <c r="K116" s="36" t="n">
        <f aca="false">J116*(1+00_Assumptions!$D$17)</f>
        <v>14280.5</v>
      </c>
    </row>
    <row r="117" customFormat="false" ht="15" hidden="false" customHeight="false" outlineLevel="0" collapsed="false">
      <c r="A117" s="2" t="s">
        <v>184</v>
      </c>
      <c r="G117" s="36" t="n">
        <f aca="false">SW_A_HC</f>
        <v>5000</v>
      </c>
      <c r="H117" s="36" t="n">
        <f aca="false">G117*(1+00_Assumptions!$E$17)</f>
        <v>6250</v>
      </c>
      <c r="I117" s="36" t="n">
        <f aca="false">H117*(1+00_Assumptions!$E$17)</f>
        <v>7812.5</v>
      </c>
      <c r="J117" s="36" t="n">
        <f aca="false">I117*(1+00_Assumptions!$E$17)</f>
        <v>9765.625</v>
      </c>
      <c r="K117" s="36" t="n">
        <f aca="false">J117*(1+00_Assumptions!$E$17)</f>
        <v>12207.03125</v>
      </c>
    </row>
    <row r="118" customFormat="false" ht="15" hidden="false" customHeight="false" outlineLevel="0" collapsed="false">
      <c r="A118" s="2" t="s">
        <v>185</v>
      </c>
      <c r="G118" s="36" t="n">
        <f aca="false">SW_A_HC</f>
        <v>5000</v>
      </c>
      <c r="H118" s="36" t="n">
        <f aca="false">G118*(1+00_Assumptions!$F$17)</f>
        <v>6000</v>
      </c>
      <c r="I118" s="36" t="n">
        <f aca="false">H118*(1+00_Assumptions!$F$17)</f>
        <v>7200</v>
      </c>
      <c r="J118" s="36" t="n">
        <f aca="false">I118*(1+00_Assumptions!$F$17)</f>
        <v>8640</v>
      </c>
      <c r="K118" s="36" t="n">
        <f aca="false">J118*(1+00_Assumptions!$F$17)</f>
        <v>10368</v>
      </c>
    </row>
    <row r="120" customFormat="false" ht="15" hidden="false" customHeight="false" outlineLevel="0" collapsed="false">
      <c r="A120" s="3" t="s">
        <v>195</v>
      </c>
      <c r="B120" s="2" t="s">
        <v>193</v>
      </c>
      <c r="C120" s="2" t="s">
        <v>196</v>
      </c>
      <c r="G120" s="21" t="n">
        <f aca="false">CHOOSE(SW_SCEN,G121,G122,G123)</f>
        <v>6250</v>
      </c>
      <c r="H120" s="21" t="n">
        <f aca="false">CHOOSE(SW_SCEN,H121,H122,H123)</f>
        <v>9600</v>
      </c>
      <c r="I120" s="21" t="n">
        <f aca="false">CHOOSE(SW_SCEN,I121,I122,I123)</f>
        <v>11520</v>
      </c>
      <c r="J120" s="21" t="n">
        <f aca="false">CHOOSE(SW_SCEN,J121,J122,J123)</f>
        <v>13824</v>
      </c>
      <c r="K120" s="21" t="n">
        <f aca="false">CHOOSE(SW_SCEN,K121,K122,K123)</f>
        <v>16588.8</v>
      </c>
    </row>
    <row r="121" customFormat="false" ht="15" hidden="false" customHeight="false" outlineLevel="0" collapsed="false">
      <c r="A121" s="2" t="s">
        <v>183</v>
      </c>
      <c r="G121" s="36" t="n">
        <f aca="false">AVERAGE(01_Data!$D$169,01_Data!$D$170)</f>
        <v>6250</v>
      </c>
      <c r="H121" s="36" t="n">
        <f aca="false">01_Data!$D$170*(1+00_Assumptions!$D$32)</f>
        <v>9600</v>
      </c>
      <c r="I121" s="36" t="n">
        <f aca="false">H121*(1+00_Assumptions!$D$32)</f>
        <v>11520</v>
      </c>
      <c r="J121" s="36" t="n">
        <f aca="false">I121*(1+00_Assumptions!$D$32)</f>
        <v>13824</v>
      </c>
      <c r="K121" s="36" t="n">
        <f aca="false">J121*(1+00_Assumptions!$D$32)</f>
        <v>16588.8</v>
      </c>
    </row>
    <row r="122" customFormat="false" ht="15" hidden="false" customHeight="false" outlineLevel="0" collapsed="false">
      <c r="A122" s="2" t="s">
        <v>184</v>
      </c>
      <c r="G122" s="36" t="n">
        <f aca="false">AVERAGE(01_Data!$D$169,01_Data!$D$170)</f>
        <v>6250</v>
      </c>
      <c r="H122" s="36" t="n">
        <f aca="false">01_Data!$D$170*(1+00_Assumptions!$E$32)</f>
        <v>9600</v>
      </c>
      <c r="I122" s="36" t="n">
        <f aca="false">H122*(1+00_Assumptions!$E$32)</f>
        <v>11520</v>
      </c>
      <c r="J122" s="36" t="n">
        <f aca="false">I122*(1+00_Assumptions!$E$32)</f>
        <v>13824</v>
      </c>
      <c r="K122" s="36" t="n">
        <f aca="false">J122*(1+00_Assumptions!$E$32)</f>
        <v>16588.8</v>
      </c>
    </row>
    <row r="123" customFormat="false" ht="15" hidden="false" customHeight="false" outlineLevel="0" collapsed="false">
      <c r="A123" s="2" t="s">
        <v>185</v>
      </c>
      <c r="G123" s="36" t="n">
        <f aca="false">AVERAGE(01_Data!$D$169,01_Data!$D$170)</f>
        <v>6250</v>
      </c>
      <c r="H123" s="36" t="n">
        <f aca="false">01_Data!$D$170*(1+00_Assumptions!$F$32)</f>
        <v>9600</v>
      </c>
      <c r="I123" s="36" t="n">
        <f aca="false">H123*(1+00_Assumptions!$F$32)</f>
        <v>11520</v>
      </c>
      <c r="J123" s="36" t="n">
        <f aca="false">I123*(1+00_Assumptions!$F$32)</f>
        <v>13824</v>
      </c>
      <c r="K123" s="36" t="n">
        <f aca="false">J123*(1+00_Assumptions!$F$32)</f>
        <v>16588.8</v>
      </c>
    </row>
    <row r="125" customFormat="false" ht="15" hidden="false" customHeight="false" outlineLevel="0" collapsed="false">
      <c r="A125" s="2" t="s">
        <v>197</v>
      </c>
    </row>
    <row r="126" customFormat="false" ht="15" hidden="false" customHeight="false" outlineLevel="0" collapsed="false">
      <c r="A126" s="2" t="s">
        <v>198</v>
      </c>
    </row>
    <row r="127" customFormat="false" ht="15" hidden="false" customHeight="false" outlineLevel="0" collapsed="false">
      <c r="A127" s="2" t="s">
        <v>199</v>
      </c>
    </row>
    <row r="130" customFormat="false" ht="15" hidden="false" customHeight="false" outlineLevel="0" collapsed="false">
      <c r="A130" s="24" t="s">
        <v>200</v>
      </c>
      <c r="B130" s="25"/>
      <c r="C130" s="25"/>
      <c r="D130" s="25"/>
      <c r="E130" s="25"/>
      <c r="F130" s="25"/>
      <c r="G130" s="25"/>
      <c r="H130" s="25"/>
    </row>
    <row r="131" customFormat="false" ht="15" hidden="false" customHeight="false" outlineLevel="0" collapsed="false">
      <c r="A131" s="8" t="s">
        <v>201</v>
      </c>
      <c r="B131" s="8" t="s">
        <v>6</v>
      </c>
      <c r="C131" s="8" t="s">
        <v>125</v>
      </c>
      <c r="D131" s="8" t="s">
        <v>202</v>
      </c>
      <c r="E131" s="8" t="s">
        <v>203</v>
      </c>
      <c r="F131" s="8"/>
      <c r="G131" s="8"/>
      <c r="H131" s="8" t="s">
        <v>204</v>
      </c>
    </row>
    <row r="132" customFormat="false" ht="15" hidden="false" customHeight="false" outlineLevel="0" collapsed="false">
      <c r="A132" s="9" t="s">
        <v>205</v>
      </c>
      <c r="B132" s="2" t="s">
        <v>206</v>
      </c>
      <c r="C132" s="2" t="s">
        <v>207</v>
      </c>
      <c r="D132" s="33" t="n">
        <v>126754</v>
      </c>
      <c r="E132" s="33" t="n">
        <v>0.05</v>
      </c>
    </row>
    <row r="133" customFormat="false" ht="15" hidden="false" customHeight="false" outlineLevel="0" collapsed="false">
      <c r="A133" s="9" t="s">
        <v>208</v>
      </c>
      <c r="B133" s="2" t="s">
        <v>206</v>
      </c>
      <c r="C133" s="2" t="s">
        <v>207</v>
      </c>
      <c r="D133" s="33" t="n">
        <v>186436.5</v>
      </c>
      <c r="E133" s="33" t="n">
        <v>0.05</v>
      </c>
    </row>
    <row r="134" customFormat="false" ht="15" hidden="false" customHeight="false" outlineLevel="0" collapsed="false">
      <c r="A134" s="9" t="s">
        <v>209</v>
      </c>
      <c r="B134" s="2" t="s">
        <v>206</v>
      </c>
      <c r="C134" s="2" t="s">
        <v>207</v>
      </c>
      <c r="D134" s="33" t="n">
        <v>39162</v>
      </c>
      <c r="E134" s="33" t="n">
        <v>0.5</v>
      </c>
    </row>
    <row r="135" customFormat="false" ht="15" hidden="false" customHeight="false" outlineLevel="0" collapsed="false">
      <c r="A135" s="9" t="s">
        <v>210</v>
      </c>
      <c r="B135" s="2" t="s">
        <v>206</v>
      </c>
      <c r="C135" s="2" t="s">
        <v>207</v>
      </c>
      <c r="D135" s="33" t="n">
        <v>14.8</v>
      </c>
      <c r="E135" s="33" t="n">
        <v>0.05</v>
      </c>
    </row>
    <row r="136" customFormat="false" ht="15" hidden="false" customHeight="false" outlineLevel="0" collapsed="false">
      <c r="A136" s="9" t="s">
        <v>211</v>
      </c>
      <c r="B136" s="2" t="s">
        <v>206</v>
      </c>
      <c r="C136" s="2" t="s">
        <v>207</v>
      </c>
      <c r="D136" s="33" t="n">
        <v>24.6</v>
      </c>
      <c r="E136" s="33" t="n">
        <v>0.05</v>
      </c>
    </row>
    <row r="137" customFormat="false" ht="15" hidden="false" customHeight="false" outlineLevel="0" collapsed="false">
      <c r="A137" s="9" t="s">
        <v>212</v>
      </c>
      <c r="B137" s="2" t="s">
        <v>206</v>
      </c>
      <c r="C137" s="2" t="s">
        <v>207</v>
      </c>
      <c r="D137" s="33" t="n">
        <v>20.3</v>
      </c>
      <c r="E137" s="33" t="n">
        <v>0.05</v>
      </c>
    </row>
    <row r="138" customFormat="false" ht="15" hidden="false" customHeight="false" outlineLevel="0" collapsed="false">
      <c r="A138" s="9" t="s">
        <v>213</v>
      </c>
      <c r="B138" s="2" t="s">
        <v>206</v>
      </c>
      <c r="C138" s="2" t="s">
        <v>207</v>
      </c>
      <c r="D138" s="33" t="n">
        <v>21.3</v>
      </c>
      <c r="E138" s="33" t="n">
        <v>0.05</v>
      </c>
    </row>
    <row r="139" customFormat="false" ht="15" hidden="false" customHeight="false" outlineLevel="0" collapsed="false">
      <c r="A139" s="9" t="s">
        <v>214</v>
      </c>
      <c r="B139" s="2" t="s">
        <v>206</v>
      </c>
      <c r="C139" s="2" t="s">
        <v>207</v>
      </c>
      <c r="D139" s="33" t="n">
        <v>26.6</v>
      </c>
      <c r="E139" s="33" t="n">
        <v>0.05</v>
      </c>
    </row>
    <row r="140" customFormat="false" ht="15" hidden="false" customHeight="false" outlineLevel="0" collapsed="false">
      <c r="A140" s="9" t="s">
        <v>215</v>
      </c>
      <c r="B140" s="2" t="s">
        <v>206</v>
      </c>
      <c r="C140" s="2" t="s">
        <v>207</v>
      </c>
      <c r="D140" s="33" t="n">
        <v>0.315</v>
      </c>
      <c r="E140" s="33" t="n">
        <v>0.0005</v>
      </c>
    </row>
    <row r="141" customFormat="false" ht="15" hidden="false" customHeight="false" outlineLevel="0" collapsed="false">
      <c r="A141" s="9" t="s">
        <v>216</v>
      </c>
      <c r="B141" s="2" t="s">
        <v>206</v>
      </c>
      <c r="C141" s="2" t="s">
        <v>207</v>
      </c>
      <c r="D141" s="33" t="n">
        <v>0.382</v>
      </c>
      <c r="E141" s="33" t="n">
        <v>0.0005</v>
      </c>
    </row>
    <row r="142" customFormat="false" ht="15" hidden="false" customHeight="false" outlineLevel="0" collapsed="false">
      <c r="A142" s="9" t="s">
        <v>217</v>
      </c>
      <c r="B142" s="2" t="s">
        <v>206</v>
      </c>
      <c r="C142" s="2" t="s">
        <v>207</v>
      </c>
      <c r="D142" s="33" t="n">
        <v>0.523</v>
      </c>
      <c r="E142" s="33" t="n">
        <v>0.0005</v>
      </c>
    </row>
    <row r="143" customFormat="false" ht="15" hidden="false" customHeight="false" outlineLevel="0" collapsed="false">
      <c r="A143" s="9" t="s">
        <v>218</v>
      </c>
      <c r="B143" s="2" t="s">
        <v>206</v>
      </c>
      <c r="C143" s="2" t="s">
        <v>207</v>
      </c>
      <c r="D143" s="33" t="n">
        <v>0.221</v>
      </c>
      <c r="E143" s="33" t="n">
        <v>0.0005</v>
      </c>
    </row>
    <row r="144" customFormat="false" ht="15" hidden="false" customHeight="false" outlineLevel="0" collapsed="false">
      <c r="A144" s="9" t="s">
        <v>219</v>
      </c>
      <c r="B144" s="2" t="s">
        <v>206</v>
      </c>
      <c r="C144" s="2" t="s">
        <v>207</v>
      </c>
      <c r="D144" s="33" t="n">
        <v>1.43</v>
      </c>
      <c r="E144" s="33" t="n">
        <v>0.005</v>
      </c>
    </row>
    <row r="145" customFormat="false" ht="15" hidden="false" customHeight="false" outlineLevel="0" collapsed="false">
      <c r="A145" s="9" t="s">
        <v>220</v>
      </c>
      <c r="B145" s="2" t="s">
        <v>206</v>
      </c>
      <c r="C145" s="2" t="s">
        <v>207</v>
      </c>
      <c r="D145" s="33" t="n">
        <v>1.73</v>
      </c>
      <c r="E145" s="33" t="n">
        <v>0.005</v>
      </c>
    </row>
    <row r="146" customFormat="false" ht="15" hidden="false" customHeight="false" outlineLevel="0" collapsed="false">
      <c r="A146" s="9" t="s">
        <v>221</v>
      </c>
      <c r="B146" s="2" t="s">
        <v>206</v>
      </c>
      <c r="C146" s="2" t="s">
        <v>207</v>
      </c>
      <c r="D146" s="33" t="n">
        <v>2.37</v>
      </c>
      <c r="E146" s="33" t="n">
        <v>0.005</v>
      </c>
    </row>
    <row r="147" customFormat="false" ht="15" hidden="false" customHeight="false" outlineLevel="0" collapsed="false">
      <c r="A147" s="9" t="s">
        <v>222</v>
      </c>
      <c r="B147" s="2" t="s">
        <v>206</v>
      </c>
      <c r="C147" s="2" t="s">
        <v>207</v>
      </c>
      <c r="D147" s="33" t="n">
        <v>57580</v>
      </c>
      <c r="E147" s="33" t="n">
        <v>0.5</v>
      </c>
    </row>
    <row r="148" customFormat="false" ht="15" hidden="false" customHeight="false" outlineLevel="0" collapsed="false">
      <c r="A148" s="9" t="s">
        <v>223</v>
      </c>
      <c r="B148" s="2" t="s">
        <v>206</v>
      </c>
      <c r="C148" s="2" t="s">
        <v>207</v>
      </c>
      <c r="D148" s="33" t="n">
        <v>62580</v>
      </c>
      <c r="E148" s="33" t="n">
        <v>0.5</v>
      </c>
    </row>
    <row r="149" customFormat="false" ht="15" hidden="false" customHeight="false" outlineLevel="0" collapsed="false">
      <c r="A149" s="9" t="s">
        <v>224</v>
      </c>
      <c r="B149" s="2" t="s">
        <v>206</v>
      </c>
      <c r="C149" s="2" t="s">
        <v>207</v>
      </c>
      <c r="D149" s="33" t="n">
        <v>48830</v>
      </c>
      <c r="E149" s="33" t="n">
        <v>0.5</v>
      </c>
    </row>
    <row r="150" customFormat="false" ht="15" hidden="false" customHeight="false" outlineLevel="0" collapsed="false">
      <c r="A150" s="9" t="s">
        <v>225</v>
      </c>
      <c r="B150" s="2" t="s">
        <v>206</v>
      </c>
      <c r="C150" s="2" t="s">
        <v>207</v>
      </c>
      <c r="D150" s="33" t="n">
        <v>16330</v>
      </c>
      <c r="E150" s="33" t="n">
        <v>0.5</v>
      </c>
    </row>
    <row r="151" customFormat="false" ht="15" hidden="false" customHeight="false" outlineLevel="0" collapsed="false">
      <c r="A151" s="9" t="s">
        <v>226</v>
      </c>
      <c r="B151" s="2" t="s">
        <v>206</v>
      </c>
      <c r="C151" s="2" t="s">
        <v>207</v>
      </c>
      <c r="D151" s="33" t="n">
        <v>2.45</v>
      </c>
      <c r="E151" s="33" t="n">
        <v>0.005</v>
      </c>
    </row>
    <row r="152" customFormat="false" ht="15" hidden="false" customHeight="false" outlineLevel="0" collapsed="false">
      <c r="A152" s="9" t="s">
        <v>227</v>
      </c>
      <c r="B152" s="2" t="s">
        <v>206</v>
      </c>
      <c r="C152" s="2" t="s">
        <v>207</v>
      </c>
      <c r="D152" s="33" t="n">
        <v>32400</v>
      </c>
      <c r="E152" s="33" t="n">
        <v>0.5</v>
      </c>
    </row>
    <row r="153" customFormat="false" ht="15" hidden="false" customHeight="false" outlineLevel="0" collapsed="false">
      <c r="A153" s="9" t="s">
        <v>228</v>
      </c>
      <c r="B153" s="2" t="s">
        <v>206</v>
      </c>
      <c r="C153" s="2" t="s">
        <v>207</v>
      </c>
      <c r="D153" s="33" t="n">
        <v>38119</v>
      </c>
      <c r="E153" s="33" t="n">
        <v>0.5</v>
      </c>
    </row>
    <row r="154" customFormat="false" ht="15" hidden="false" customHeight="false" outlineLevel="0" collapsed="false">
      <c r="A154" s="9" t="s">
        <v>229</v>
      </c>
      <c r="B154" s="2" t="s">
        <v>206</v>
      </c>
      <c r="C154" s="2" t="s">
        <v>207</v>
      </c>
      <c r="D154" s="33" t="n">
        <v>45500</v>
      </c>
      <c r="E154" s="33" t="n">
        <v>0.5</v>
      </c>
    </row>
    <row r="155" customFormat="false" ht="15" hidden="false" customHeight="false" outlineLevel="0" collapsed="false">
      <c r="A155" s="9" t="s">
        <v>230</v>
      </c>
      <c r="B155" s="2" t="s">
        <v>206</v>
      </c>
      <c r="C155" s="2" t="s">
        <v>207</v>
      </c>
      <c r="D155" s="33" t="n">
        <v>324100</v>
      </c>
      <c r="E155" s="33" t="n">
        <v>0.5</v>
      </c>
    </row>
    <row r="156" customFormat="false" ht="15" hidden="false" customHeight="false" outlineLevel="0" collapsed="false">
      <c r="A156" s="9" t="s">
        <v>231</v>
      </c>
      <c r="B156" s="2" t="s">
        <v>206</v>
      </c>
      <c r="C156" s="2" t="s">
        <v>207</v>
      </c>
      <c r="D156" s="33" t="n">
        <v>358600</v>
      </c>
      <c r="E156" s="33" t="n">
        <v>0.5</v>
      </c>
    </row>
    <row r="157" customFormat="false" ht="15" hidden="false" customHeight="false" outlineLevel="0" collapsed="false">
      <c r="A157" s="9" t="s">
        <v>232</v>
      </c>
      <c r="B157" s="2" t="s">
        <v>206</v>
      </c>
      <c r="C157" s="2" t="s">
        <v>207</v>
      </c>
      <c r="D157" s="33" t="n">
        <v>524100</v>
      </c>
      <c r="E157" s="33" t="n">
        <v>0.5</v>
      </c>
    </row>
    <row r="158" customFormat="false" ht="15" hidden="false" customHeight="false" outlineLevel="0" collapsed="false">
      <c r="A158" s="9" t="s">
        <v>233</v>
      </c>
      <c r="B158" s="2" t="s">
        <v>206</v>
      </c>
      <c r="C158" s="2" t="s">
        <v>207</v>
      </c>
      <c r="D158" s="33" t="n">
        <v>480400</v>
      </c>
      <c r="E158" s="33" t="n">
        <v>0.5</v>
      </c>
    </row>
    <row r="159" customFormat="false" ht="15" hidden="false" customHeight="false" outlineLevel="0" collapsed="false">
      <c r="A159" s="9" t="s">
        <v>234</v>
      </c>
      <c r="B159" s="2" t="s">
        <v>206</v>
      </c>
      <c r="C159" s="2" t="s">
        <v>207</v>
      </c>
      <c r="D159" s="33" t="n">
        <v>690000</v>
      </c>
      <c r="E159" s="33" t="n">
        <v>0.5</v>
      </c>
    </row>
    <row r="160" customFormat="false" ht="15" hidden="false" customHeight="false" outlineLevel="0" collapsed="false">
      <c r="A160" s="9" t="s">
        <v>235</v>
      </c>
      <c r="B160" s="2" t="s">
        <v>206</v>
      </c>
      <c r="C160" s="2" t="s">
        <v>207</v>
      </c>
      <c r="D160" s="33" t="n">
        <v>175000</v>
      </c>
      <c r="E160" s="33" t="n">
        <v>0.5</v>
      </c>
    </row>
    <row r="161" customFormat="false" ht="15" hidden="false" customHeight="false" outlineLevel="0" collapsed="false">
      <c r="A161" s="9" t="s">
        <v>236</v>
      </c>
      <c r="B161" s="2" t="s">
        <v>206</v>
      </c>
      <c r="C161" s="2" t="s">
        <v>207</v>
      </c>
      <c r="D161" s="33" t="n">
        <v>99100</v>
      </c>
      <c r="E161" s="33" t="n">
        <v>0.5</v>
      </c>
    </row>
    <row r="162" customFormat="false" ht="15" hidden="false" customHeight="false" outlineLevel="0" collapsed="false">
      <c r="A162" s="9" t="s">
        <v>237</v>
      </c>
      <c r="B162" s="2" t="s">
        <v>206</v>
      </c>
      <c r="C162" s="2" t="s">
        <v>207</v>
      </c>
      <c r="D162" s="33" t="n">
        <v>61250</v>
      </c>
      <c r="E162" s="33" t="n">
        <v>0.5</v>
      </c>
    </row>
    <row r="163" customFormat="false" ht="15" hidden="false" customHeight="false" outlineLevel="0" collapsed="false">
      <c r="A163" s="9" t="s">
        <v>238</v>
      </c>
      <c r="B163" s="2" t="s">
        <v>206</v>
      </c>
      <c r="C163" s="2" t="s">
        <v>207</v>
      </c>
      <c r="D163" s="33" t="n">
        <v>48000</v>
      </c>
      <c r="E163" s="33" t="n">
        <v>500</v>
      </c>
    </row>
    <row r="164" customFormat="false" ht="15" hidden="false" customHeight="false" outlineLevel="0" collapsed="false">
      <c r="A164" s="9" t="s">
        <v>239</v>
      </c>
      <c r="B164" s="2" t="s">
        <v>206</v>
      </c>
      <c r="C164" s="2" t="s">
        <v>207</v>
      </c>
      <c r="D164" s="33" t="n">
        <v>28158</v>
      </c>
      <c r="E164" s="33" t="n">
        <v>0.5</v>
      </c>
    </row>
    <row r="165" customFormat="false" ht="15" hidden="false" customHeight="false" outlineLevel="0" collapsed="false">
      <c r="A165" s="9" t="s">
        <v>240</v>
      </c>
      <c r="B165" s="2" t="s">
        <v>206</v>
      </c>
      <c r="C165" s="2" t="s">
        <v>207</v>
      </c>
      <c r="D165" s="33" t="n">
        <v>47730</v>
      </c>
      <c r="E165" s="33" t="n">
        <v>0.5</v>
      </c>
    </row>
    <row r="166" customFormat="false" ht="15" hidden="false" customHeight="false" outlineLevel="0" collapsed="false">
      <c r="A166" s="9" t="s">
        <v>241</v>
      </c>
      <c r="B166" s="2" t="s">
        <v>206</v>
      </c>
      <c r="C166" s="2" t="s">
        <v>207</v>
      </c>
      <c r="D166" s="33" t="n">
        <v>53355</v>
      </c>
      <c r="E166" s="33" t="n">
        <v>0.5</v>
      </c>
    </row>
    <row r="167" customFormat="false" ht="15" hidden="false" customHeight="false" outlineLevel="0" collapsed="false">
      <c r="A167" s="9" t="s">
        <v>242</v>
      </c>
      <c r="B167" s="2" t="s">
        <v>206</v>
      </c>
      <c r="C167" s="2" t="s">
        <v>207</v>
      </c>
      <c r="D167" s="33" t="n">
        <v>44605</v>
      </c>
      <c r="E167" s="33" t="n">
        <v>0.5</v>
      </c>
    </row>
    <row r="168" customFormat="false" ht="15" hidden="false" customHeight="false" outlineLevel="0" collapsed="false">
      <c r="A168" s="9" t="s">
        <v>243</v>
      </c>
      <c r="B168" s="2" t="s">
        <v>206</v>
      </c>
      <c r="C168" s="2" t="s">
        <v>207</v>
      </c>
      <c r="D168" s="33" t="n">
        <v>38355</v>
      </c>
      <c r="E168" s="33" t="n">
        <v>0.5</v>
      </c>
    </row>
    <row r="169" customFormat="false" ht="15" hidden="false" customHeight="false" outlineLevel="0" collapsed="false">
      <c r="A169" s="9" t="s">
        <v>244</v>
      </c>
      <c r="B169" s="2" t="s">
        <v>206</v>
      </c>
      <c r="C169" s="2" t="s">
        <v>207</v>
      </c>
      <c r="D169" s="33" t="n">
        <v>110083</v>
      </c>
      <c r="E169" s="33" t="n">
        <v>0.5</v>
      </c>
    </row>
    <row r="170" customFormat="false" ht="15" hidden="false" customHeight="false" outlineLevel="0" collapsed="false">
      <c r="A170" s="9" t="s">
        <v>245</v>
      </c>
      <c r="B170" s="2" t="s">
        <v>206</v>
      </c>
      <c r="C170" s="2" t="s">
        <v>207</v>
      </c>
      <c r="D170" s="33" t="n">
        <v>93355</v>
      </c>
      <c r="E170" s="33" t="n">
        <v>0.5</v>
      </c>
    </row>
    <row r="171" customFormat="false" ht="15" hidden="false" customHeight="false" outlineLevel="0" collapsed="false">
      <c r="A171" s="9" t="s">
        <v>246</v>
      </c>
      <c r="B171" s="2" t="s">
        <v>206</v>
      </c>
      <c r="C171" s="2" t="s">
        <v>207</v>
      </c>
      <c r="D171" s="33" t="n">
        <v>65700</v>
      </c>
      <c r="E171" s="33" t="n">
        <v>0.5</v>
      </c>
    </row>
    <row r="172" customFormat="false" ht="15" hidden="false" customHeight="false" outlineLevel="0" collapsed="false">
      <c r="A172" s="9" t="s">
        <v>247</v>
      </c>
      <c r="B172" s="2" t="s">
        <v>206</v>
      </c>
      <c r="C172" s="2" t="s">
        <v>207</v>
      </c>
      <c r="D172" s="33" t="n">
        <v>68000</v>
      </c>
      <c r="E172" s="33" t="n">
        <v>0.5</v>
      </c>
    </row>
    <row r="173" customFormat="false" ht="15" hidden="false" customHeight="false" outlineLevel="0" collapsed="false">
      <c r="A173" s="9" t="s">
        <v>248</v>
      </c>
      <c r="B173" s="2" t="s">
        <v>206</v>
      </c>
      <c r="C173" s="2" t="s">
        <v>207</v>
      </c>
      <c r="D173" s="33" t="n">
        <v>65800</v>
      </c>
      <c r="E173" s="33" t="n">
        <v>0.5</v>
      </c>
    </row>
    <row r="174" customFormat="false" ht="15" hidden="false" customHeight="false" outlineLevel="0" collapsed="false">
      <c r="A174" s="9" t="s">
        <v>249</v>
      </c>
      <c r="B174" s="2" t="s">
        <v>206</v>
      </c>
      <c r="C174" s="2" t="s">
        <v>207</v>
      </c>
      <c r="D174" s="33" t="n">
        <v>69500</v>
      </c>
      <c r="E174" s="33" t="n">
        <v>0.5</v>
      </c>
    </row>
    <row r="175" customFormat="false" ht="15" hidden="false" customHeight="false" outlineLevel="0" collapsed="false">
      <c r="A175" s="9" t="s">
        <v>250</v>
      </c>
      <c r="B175" s="2" t="s">
        <v>206</v>
      </c>
      <c r="C175" s="2" t="s">
        <v>207</v>
      </c>
      <c r="D175" s="33" t="n">
        <v>-27655</v>
      </c>
      <c r="E175" s="33" t="n">
        <v>0.5</v>
      </c>
    </row>
    <row r="176" customFormat="false" ht="15" hidden="false" customHeight="false" outlineLevel="0" collapsed="false">
      <c r="A176" s="9" t="s">
        <v>251</v>
      </c>
      <c r="B176" s="2" t="s">
        <v>206</v>
      </c>
      <c r="C176" s="2" t="s">
        <v>207</v>
      </c>
      <c r="D176" s="33" t="n">
        <v>-25355</v>
      </c>
      <c r="E176" s="33" t="n">
        <v>0.5</v>
      </c>
    </row>
    <row r="177" customFormat="false" ht="15" hidden="false" customHeight="false" outlineLevel="0" collapsed="false">
      <c r="A177" s="9" t="s">
        <v>252</v>
      </c>
      <c r="B177" s="2" t="s">
        <v>206</v>
      </c>
      <c r="C177" s="2" t="s">
        <v>207</v>
      </c>
      <c r="D177" s="33" t="n">
        <v>-21930</v>
      </c>
      <c r="E177" s="33" t="n">
        <v>0.5</v>
      </c>
    </row>
    <row r="178" customFormat="false" ht="15" hidden="false" customHeight="false" outlineLevel="0" collapsed="false">
      <c r="A178" s="9" t="s">
        <v>253</v>
      </c>
      <c r="B178" s="2" t="s">
        <v>206</v>
      </c>
      <c r="C178" s="2" t="s">
        <v>207</v>
      </c>
      <c r="D178" s="33" t="n">
        <v>-18230</v>
      </c>
      <c r="E178" s="33" t="n">
        <v>0.5</v>
      </c>
    </row>
    <row r="179" customFormat="false" ht="15" hidden="false" customHeight="false" outlineLevel="0" collapsed="false">
      <c r="A179" s="9" t="s">
        <v>254</v>
      </c>
      <c r="B179" s="2" t="s">
        <v>206</v>
      </c>
      <c r="C179" s="2" t="s">
        <v>207</v>
      </c>
      <c r="D179" s="33" t="n">
        <v>-33000</v>
      </c>
      <c r="E179" s="33" t="n">
        <v>1500</v>
      </c>
    </row>
    <row r="180" customFormat="false" ht="15" hidden="false" customHeight="false" outlineLevel="0" collapsed="false">
      <c r="A180" s="9" t="s">
        <v>255</v>
      </c>
      <c r="B180" s="2" t="s">
        <v>206</v>
      </c>
      <c r="C180" s="2" t="s">
        <v>207</v>
      </c>
      <c r="D180" s="33" t="n">
        <v>-126000</v>
      </c>
      <c r="E180" s="33" t="n">
        <v>1500</v>
      </c>
    </row>
    <row r="181" customFormat="false" ht="15" hidden="false" customHeight="false" outlineLevel="0" collapsed="false">
      <c r="A181" s="9" t="s">
        <v>256</v>
      </c>
      <c r="B181" s="2" t="s">
        <v>206</v>
      </c>
      <c r="C181" s="2" t="s">
        <v>207</v>
      </c>
      <c r="D181" s="33" t="n">
        <v>-49000</v>
      </c>
      <c r="E181" s="33" t="n">
        <v>1500</v>
      </c>
    </row>
    <row r="182" customFormat="false" ht="15" hidden="false" customHeight="false" outlineLevel="0" collapsed="false">
      <c r="A182" s="9" t="s">
        <v>257</v>
      </c>
      <c r="B182" s="2" t="s">
        <v>206</v>
      </c>
      <c r="C182" s="2" t="s">
        <v>207</v>
      </c>
      <c r="D182" s="33" t="n">
        <v>-174000</v>
      </c>
      <c r="E182" s="33" t="n">
        <v>1500</v>
      </c>
    </row>
    <row r="183" customFormat="false" ht="15" hidden="false" customHeight="false" outlineLevel="0" collapsed="false">
      <c r="A183" s="9" t="s">
        <v>258</v>
      </c>
      <c r="B183" s="2" t="s">
        <v>206</v>
      </c>
      <c r="C183" s="2" t="s">
        <v>207</v>
      </c>
      <c r="D183" s="33" t="n">
        <v>-25355</v>
      </c>
      <c r="E183" s="33" t="n">
        <v>0.5</v>
      </c>
    </row>
    <row r="184" customFormat="false" ht="15" hidden="false" customHeight="false" outlineLevel="0" collapsed="false">
      <c r="A184" s="9" t="s">
        <v>259</v>
      </c>
      <c r="B184" s="2" t="s">
        <v>206</v>
      </c>
      <c r="C184" s="2" t="s">
        <v>207</v>
      </c>
      <c r="D184" s="33" t="n">
        <v>10900</v>
      </c>
      <c r="E184" s="33" t="n">
        <v>0.5</v>
      </c>
    </row>
    <row r="185" customFormat="false" ht="15" hidden="false" customHeight="false" outlineLevel="0" collapsed="false">
      <c r="A185" s="9" t="s">
        <v>260</v>
      </c>
      <c r="B185" s="2" t="s">
        <v>206</v>
      </c>
      <c r="C185" s="2" t="s">
        <v>207</v>
      </c>
      <c r="D185" s="33" t="n">
        <v>0.31</v>
      </c>
      <c r="E185" s="33" t="n">
        <v>0.005</v>
      </c>
    </row>
    <row r="186" customFormat="false" ht="15" hidden="false" customHeight="false" outlineLevel="0" collapsed="false">
      <c r="A186" s="9" t="s">
        <v>261</v>
      </c>
      <c r="B186" s="2" t="s">
        <v>206</v>
      </c>
      <c r="C186" s="2" t="s">
        <v>207</v>
      </c>
      <c r="D186" s="33" t="n">
        <v>0.51</v>
      </c>
      <c r="E186" s="33" t="n">
        <v>0.005</v>
      </c>
    </row>
    <row r="187" customFormat="false" ht="15" hidden="false" customHeight="false" outlineLevel="0" collapsed="false">
      <c r="A187" s="9" t="s">
        <v>262</v>
      </c>
      <c r="B187" s="2" t="s">
        <v>206</v>
      </c>
      <c r="C187" s="2" t="s">
        <v>207</v>
      </c>
      <c r="D187" s="33" t="n">
        <v>7.375</v>
      </c>
      <c r="E187" s="33" t="n">
        <v>0.0005</v>
      </c>
    </row>
    <row r="188" customFormat="false" ht="15" hidden="false" customHeight="false" outlineLevel="0" collapsed="false">
      <c r="A188" s="9" t="s">
        <v>263</v>
      </c>
      <c r="B188" s="2" t="s">
        <v>206</v>
      </c>
      <c r="C188" s="2" t="s">
        <v>207</v>
      </c>
      <c r="D188" s="33" t="n">
        <v>7.3</v>
      </c>
      <c r="E188" s="33" t="n">
        <v>0.0005</v>
      </c>
    </row>
    <row r="189" customFormat="false" ht="15" hidden="false" customHeight="false" outlineLevel="0" collapsed="false">
      <c r="A189" s="9" t="s">
        <v>264</v>
      </c>
      <c r="B189" s="2" t="s">
        <v>206</v>
      </c>
      <c r="C189" s="2" t="s">
        <v>207</v>
      </c>
      <c r="D189" s="33" t="n">
        <v>5.55</v>
      </c>
      <c r="E189" s="33" t="n">
        <v>0.0005</v>
      </c>
    </row>
    <row r="190" customFormat="false" ht="15" hidden="false" customHeight="false" outlineLevel="0" collapsed="false">
      <c r="A190" s="9" t="s">
        <v>265</v>
      </c>
      <c r="B190" s="2" t="s">
        <v>206</v>
      </c>
      <c r="C190" s="2" t="s">
        <v>207</v>
      </c>
      <c r="D190" s="33" t="n">
        <v>3.925</v>
      </c>
      <c r="E190" s="33" t="n">
        <v>0.0005</v>
      </c>
    </row>
    <row r="191" customFormat="false" ht="15" hidden="false" customHeight="false" outlineLevel="0" collapsed="false">
      <c r="A191" s="9" t="s">
        <v>266</v>
      </c>
      <c r="B191" s="2" t="s">
        <v>206</v>
      </c>
      <c r="C191" s="2" t="s">
        <v>207</v>
      </c>
      <c r="D191" s="33" t="n">
        <v>5.6</v>
      </c>
      <c r="E191" s="33" t="n">
        <v>0.0005</v>
      </c>
    </row>
    <row r="192" customFormat="false" ht="15" hidden="false" customHeight="false" outlineLevel="0" collapsed="false">
      <c r="A192" s="9" t="s">
        <v>267</v>
      </c>
      <c r="B192" s="2" t="s">
        <v>206</v>
      </c>
      <c r="C192" s="2" t="s">
        <v>207</v>
      </c>
      <c r="D192" s="33" t="n">
        <v>8.15</v>
      </c>
      <c r="E192" s="33" t="n">
        <v>0.005</v>
      </c>
    </row>
    <row r="193" customFormat="false" ht="15" hidden="false" customHeight="false" outlineLevel="0" collapsed="false">
      <c r="A193" s="9" t="s">
        <v>268</v>
      </c>
      <c r="B193" s="2" t="s">
        <v>206</v>
      </c>
      <c r="C193" s="2" t="s">
        <v>207</v>
      </c>
      <c r="D193" s="33" t="n">
        <v>8.13</v>
      </c>
      <c r="E193" s="33" t="n">
        <v>0.006</v>
      </c>
    </row>
    <row r="194" customFormat="false" ht="15" hidden="false" customHeight="false" outlineLevel="0" collapsed="false">
      <c r="A194" s="9" t="s">
        <v>269</v>
      </c>
      <c r="B194" s="2" t="s">
        <v>206</v>
      </c>
      <c r="C194" s="2" t="s">
        <v>207</v>
      </c>
      <c r="D194" s="33" t="n">
        <v>8.04</v>
      </c>
      <c r="E194" s="33" t="n">
        <v>0.005</v>
      </c>
    </row>
    <row r="195" customFormat="false" ht="15" hidden="false" customHeight="false" outlineLevel="0" collapsed="false">
      <c r="A195" s="9" t="s">
        <v>270</v>
      </c>
      <c r="B195" s="2" t="s">
        <v>206</v>
      </c>
      <c r="C195" s="2" t="s">
        <v>207</v>
      </c>
      <c r="D195" s="33" t="n">
        <v>4.87</v>
      </c>
      <c r="E195" s="33" t="n">
        <v>0.005</v>
      </c>
    </row>
    <row r="196" customFormat="false" ht="15" hidden="false" customHeight="false" outlineLevel="0" collapsed="false">
      <c r="A196" s="9" t="s">
        <v>271</v>
      </c>
      <c r="B196" s="2" t="s">
        <v>206</v>
      </c>
      <c r="C196" s="2" t="s">
        <v>207</v>
      </c>
      <c r="D196" s="33" t="n">
        <v>4.79</v>
      </c>
      <c r="E196" s="33" t="n">
        <v>0.005</v>
      </c>
    </row>
    <row r="197" customFormat="false" ht="15" hidden="false" customHeight="false" outlineLevel="0" collapsed="false">
      <c r="A197" s="9" t="s">
        <v>272</v>
      </c>
      <c r="B197" s="2" t="s">
        <v>206</v>
      </c>
      <c r="C197" s="2" t="s">
        <v>207</v>
      </c>
      <c r="D197" s="33" t="n">
        <v>0.55</v>
      </c>
      <c r="E197" s="33" t="n">
        <v>0.005</v>
      </c>
    </row>
    <row r="198" customFormat="false" ht="15" hidden="false" customHeight="false" outlineLevel="0" collapsed="false">
      <c r="A198" s="9" t="s">
        <v>273</v>
      </c>
      <c r="B198" s="2" t="s">
        <v>206</v>
      </c>
      <c r="C198" s="2" t="s">
        <v>207</v>
      </c>
      <c r="D198" s="33" t="n">
        <v>0.5</v>
      </c>
      <c r="E198" s="33" t="n">
        <v>0.005</v>
      </c>
    </row>
    <row r="199" customFormat="false" ht="15" hidden="false" customHeight="false" outlineLevel="0" collapsed="false">
      <c r="A199" s="9" t="s">
        <v>274</v>
      </c>
      <c r="B199" s="2" t="s">
        <v>206</v>
      </c>
      <c r="C199" s="2" t="s">
        <v>207</v>
      </c>
      <c r="D199" s="33" t="n">
        <v>118</v>
      </c>
      <c r="E199" s="33" t="n">
        <v>0.5</v>
      </c>
    </row>
    <row r="200" customFormat="false" ht="15" hidden="false" customHeight="false" outlineLevel="0" collapsed="false">
      <c r="A200" s="9" t="s">
        <v>275</v>
      </c>
      <c r="B200" s="2" t="s">
        <v>206</v>
      </c>
      <c r="C200" s="2" t="s">
        <v>207</v>
      </c>
      <c r="D200" s="33" t="n">
        <v>175</v>
      </c>
      <c r="E200" s="33" t="n">
        <v>0.5</v>
      </c>
    </row>
    <row r="201" customFormat="false" ht="15" hidden="false" customHeight="false" outlineLevel="0" collapsed="false">
      <c r="A201" s="9" t="s">
        <v>276</v>
      </c>
      <c r="B201" s="2" t="s">
        <v>206</v>
      </c>
      <c r="C201" s="2" t="s">
        <v>207</v>
      </c>
      <c r="D201" s="33" t="n">
        <v>119</v>
      </c>
      <c r="E201" s="33" t="n">
        <v>0.5</v>
      </c>
    </row>
    <row r="202" customFormat="false" ht="15" hidden="false" customHeight="false" outlineLevel="0" collapsed="false">
      <c r="A202" s="9" t="s">
        <v>277</v>
      </c>
      <c r="B202" s="2" t="s">
        <v>206</v>
      </c>
      <c r="C202" s="2" t="s">
        <v>207</v>
      </c>
      <c r="D202" s="33" t="n">
        <v>1.48</v>
      </c>
      <c r="E202" s="33" t="n">
        <v>0.005</v>
      </c>
    </row>
    <row r="203" customFormat="false" ht="15" hidden="false" customHeight="false" outlineLevel="0" collapsed="false">
      <c r="A203" s="9" t="s">
        <v>278</v>
      </c>
      <c r="B203" s="2" t="s">
        <v>206</v>
      </c>
      <c r="C203" s="2" t="s">
        <v>207</v>
      </c>
      <c r="D203" s="33" t="n">
        <v>1.47</v>
      </c>
      <c r="E203" s="33" t="n">
        <v>0.005</v>
      </c>
    </row>
    <row r="204" customFormat="false" ht="15" hidden="false" customHeight="false" outlineLevel="0" collapsed="false">
      <c r="A204" s="9" t="s">
        <v>279</v>
      </c>
      <c r="B204" s="2" t="s">
        <v>206</v>
      </c>
      <c r="C204" s="2" t="s">
        <v>207</v>
      </c>
      <c r="D204" s="33" t="n">
        <v>1.6</v>
      </c>
      <c r="E204" s="33" t="n">
        <v>0.005</v>
      </c>
    </row>
    <row r="205" customFormat="false" ht="15" hidden="false" customHeight="false" outlineLevel="0" collapsed="false">
      <c r="A205" s="9" t="s">
        <v>280</v>
      </c>
      <c r="B205" s="2" t="s">
        <v>206</v>
      </c>
      <c r="C205" s="2" t="s">
        <v>207</v>
      </c>
      <c r="D205" s="33" t="n">
        <v>188</v>
      </c>
      <c r="E205" s="33" t="n">
        <v>0.5</v>
      </c>
    </row>
    <row r="206" customFormat="false" ht="15" hidden="false" customHeight="false" outlineLevel="0" collapsed="false">
      <c r="A206" s="9" t="s">
        <v>281</v>
      </c>
      <c r="B206" s="2" t="s">
        <v>206</v>
      </c>
      <c r="C206" s="2" t="s">
        <v>207</v>
      </c>
      <c r="D206" s="33" t="n">
        <v>57</v>
      </c>
      <c r="E206" s="33" t="n">
        <v>0.5</v>
      </c>
    </row>
    <row r="207" customFormat="false" ht="15" hidden="false" customHeight="false" outlineLevel="0" collapsed="false">
      <c r="A207" s="9" t="s">
        <v>282</v>
      </c>
      <c r="B207" s="2" t="s">
        <v>206</v>
      </c>
      <c r="C207" s="2" t="s">
        <v>207</v>
      </c>
      <c r="D207" s="33" t="n">
        <v>176250</v>
      </c>
      <c r="E207" s="33" t="n">
        <v>0.5</v>
      </c>
    </row>
    <row r="208" customFormat="false" ht="15" hidden="false" customHeight="false" outlineLevel="0" collapsed="false">
      <c r="A208" s="9" t="s">
        <v>283</v>
      </c>
      <c r="B208" s="2" t="s">
        <v>206</v>
      </c>
      <c r="C208" s="2" t="s">
        <v>207</v>
      </c>
      <c r="D208" s="33" t="n">
        <v>197841</v>
      </c>
      <c r="E208" s="33" t="n">
        <v>0.5</v>
      </c>
    </row>
    <row r="209" customFormat="false" ht="15" hidden="false" customHeight="false" outlineLevel="0" collapsed="false">
      <c r="A209" s="9" t="s">
        <v>284</v>
      </c>
      <c r="B209" s="2" t="s">
        <v>206</v>
      </c>
      <c r="C209" s="2" t="s">
        <v>207</v>
      </c>
      <c r="D209" s="33" t="n">
        <v>231276</v>
      </c>
      <c r="E209" s="33" t="n">
        <v>0.5</v>
      </c>
    </row>
    <row r="210" customFormat="false" ht="15" hidden="false" customHeight="false" outlineLevel="0" collapsed="false">
      <c r="A210" s="9" t="s">
        <v>285</v>
      </c>
      <c r="B210" s="2" t="s">
        <v>206</v>
      </c>
      <c r="C210" s="2" t="s">
        <v>207</v>
      </c>
      <c r="D210" s="33" t="n">
        <v>266446</v>
      </c>
      <c r="E210" s="33" t="n">
        <v>0.5</v>
      </c>
    </row>
    <row r="211" customFormat="false" ht="15" hidden="false" customHeight="false" outlineLevel="0" collapsed="false">
      <c r="A211" s="9" t="s">
        <v>286</v>
      </c>
      <c r="B211" s="2" t="s">
        <v>206</v>
      </c>
      <c r="C211" s="2" t="s">
        <v>207</v>
      </c>
      <c r="D211" s="33" t="n">
        <v>286000</v>
      </c>
      <c r="E211" s="33" t="n">
        <v>0.5</v>
      </c>
    </row>
    <row r="212" customFormat="false" ht="15" hidden="false" customHeight="false" outlineLevel="0" collapsed="false">
      <c r="A212" s="9" t="s">
        <v>287</v>
      </c>
      <c r="B212" s="2" t="s">
        <v>206</v>
      </c>
      <c r="C212" s="2" t="s">
        <v>207</v>
      </c>
      <c r="D212" s="33" t="n">
        <v>354640</v>
      </c>
      <c r="E212" s="33" t="n">
        <v>0.5</v>
      </c>
    </row>
    <row r="213" customFormat="false" ht="15" hidden="false" customHeight="false" outlineLevel="0" collapsed="false">
      <c r="A213" s="9" t="s">
        <v>288</v>
      </c>
      <c r="B213" s="2" t="s">
        <v>206</v>
      </c>
      <c r="C213" s="2" t="s">
        <v>207</v>
      </c>
      <c r="D213" s="33" t="n">
        <v>325</v>
      </c>
      <c r="E213" s="33" t="n">
        <v>0.5</v>
      </c>
    </row>
    <row r="214" customFormat="false" ht="15" hidden="false" customHeight="false" outlineLevel="0" collapsed="false">
      <c r="A214" s="9" t="s">
        <v>289</v>
      </c>
      <c r="B214" s="2" t="s">
        <v>206</v>
      </c>
      <c r="C214" s="2" t="s">
        <v>207</v>
      </c>
      <c r="D214" s="33" t="n">
        <v>400</v>
      </c>
      <c r="E214" s="33" t="n">
        <v>0.5</v>
      </c>
    </row>
    <row r="215" customFormat="false" ht="15" hidden="false" customHeight="false" outlineLevel="0" collapsed="false">
      <c r="A215" s="9" t="s">
        <v>290</v>
      </c>
      <c r="B215" s="2" t="s">
        <v>206</v>
      </c>
      <c r="C215" s="2" t="s">
        <v>207</v>
      </c>
      <c r="D215" s="33" t="n">
        <v>1121</v>
      </c>
      <c r="E215" s="33" t="n">
        <v>0.5</v>
      </c>
    </row>
    <row r="216" customFormat="false" ht="15" hidden="false" customHeight="false" outlineLevel="0" collapsed="false">
      <c r="A216" s="9" t="s">
        <v>291</v>
      </c>
      <c r="B216" s="2" t="s">
        <v>206</v>
      </c>
      <c r="C216" s="2" t="s">
        <v>207</v>
      </c>
      <c r="D216" s="33" t="n">
        <v>1380</v>
      </c>
      <c r="E216" s="33" t="n">
        <v>0.5</v>
      </c>
    </row>
    <row r="217" customFormat="false" ht="15" hidden="false" customHeight="false" outlineLevel="0" collapsed="false">
      <c r="A217" s="9" t="s">
        <v>292</v>
      </c>
      <c r="B217" s="2" t="s">
        <v>206</v>
      </c>
      <c r="C217" s="2" t="s">
        <v>207</v>
      </c>
      <c r="D217" s="33" t="n">
        <v>34.1</v>
      </c>
      <c r="E217" s="33" t="n">
        <v>0.05</v>
      </c>
    </row>
    <row r="218" customFormat="false" ht="15" hidden="false" customHeight="false" outlineLevel="0" collapsed="false">
      <c r="A218" s="9" t="s">
        <v>293</v>
      </c>
      <c r="B218" s="2" t="s">
        <v>206</v>
      </c>
      <c r="C218" s="2" t="s">
        <v>207</v>
      </c>
      <c r="D218" s="33" t="n">
        <v>1.65</v>
      </c>
      <c r="E218" s="33" t="n">
        <v>0.005</v>
      </c>
    </row>
    <row r="219" customFormat="false" ht="15" hidden="false" customHeight="false" outlineLevel="0" collapsed="false">
      <c r="A219" s="9" t="s">
        <v>294</v>
      </c>
      <c r="B219" s="2" t="s">
        <v>206</v>
      </c>
      <c r="C219" s="2" t="s">
        <v>207</v>
      </c>
      <c r="D219" s="33" t="n">
        <v>4.76</v>
      </c>
      <c r="E219" s="33" t="n">
        <v>0.005</v>
      </c>
    </row>
    <row r="220" customFormat="false" ht="15" hidden="false" customHeight="false" outlineLevel="0" collapsed="false">
      <c r="A220" s="9" t="s">
        <v>295</v>
      </c>
      <c r="B220" s="2" t="s">
        <v>206</v>
      </c>
      <c r="C220" s="2" t="s">
        <v>207</v>
      </c>
      <c r="D220" s="33" t="n">
        <v>3.33</v>
      </c>
      <c r="E220" s="33" t="n">
        <v>0.005</v>
      </c>
    </row>
    <row r="221" customFormat="false" ht="15" hidden="false" customHeight="false" outlineLevel="0" collapsed="false">
      <c r="A221" s="9" t="s">
        <v>296</v>
      </c>
      <c r="B221" s="2" t="s">
        <v>206</v>
      </c>
      <c r="C221" s="2" t="s">
        <v>207</v>
      </c>
      <c r="D221" s="33" t="n">
        <v>249356</v>
      </c>
      <c r="E221" s="33" t="n">
        <v>1</v>
      </c>
    </row>
    <row r="222" customFormat="false" ht="15" hidden="false" customHeight="false" outlineLevel="0" collapsed="false">
      <c r="A222" s="9" t="s">
        <v>297</v>
      </c>
      <c r="B222" s="2" t="s">
        <v>206</v>
      </c>
      <c r="C222" s="2" t="s">
        <v>207</v>
      </c>
      <c r="D222" s="33" t="n">
        <v>0.15</v>
      </c>
      <c r="E222" s="33" t="n">
        <v>0.01</v>
      </c>
    </row>
    <row r="223" customFormat="false" ht="15" hidden="false" customHeight="false" outlineLevel="0" collapsed="false">
      <c r="A223" s="9" t="s">
        <v>298</v>
      </c>
      <c r="B223" s="2" t="s">
        <v>206</v>
      </c>
      <c r="C223" s="2" t="s">
        <v>207</v>
      </c>
      <c r="D223" s="33" t="n">
        <v>-0.05</v>
      </c>
      <c r="E223" s="33" t="n">
        <v>0.01</v>
      </c>
    </row>
    <row r="224" customFormat="false" ht="15" hidden="false" customHeight="false" outlineLevel="0" collapsed="false">
      <c r="A224" s="9" t="s">
        <v>299</v>
      </c>
      <c r="B224" s="2" t="s">
        <v>206</v>
      </c>
      <c r="C224" s="2" t="s">
        <v>207</v>
      </c>
      <c r="D224" s="33" t="n">
        <v>-0.07</v>
      </c>
      <c r="E224" s="33" t="n">
        <v>0.01</v>
      </c>
    </row>
    <row r="225" customFormat="false" ht="15" hidden="false" customHeight="false" outlineLevel="0" collapsed="false">
      <c r="A225" s="9" t="s">
        <v>300</v>
      </c>
      <c r="B225" s="2" t="s">
        <v>206</v>
      </c>
      <c r="C225" s="2" t="s">
        <v>207</v>
      </c>
      <c r="D225" s="33" t="n">
        <v>1.78</v>
      </c>
      <c r="E225" s="33" t="n">
        <v>0.01</v>
      </c>
    </row>
    <row r="226" customFormat="false" ht="15" hidden="false" customHeight="false" outlineLevel="0" collapsed="false">
      <c r="A226" s="9" t="s">
        <v>301</v>
      </c>
      <c r="B226" s="2" t="s">
        <v>206</v>
      </c>
      <c r="C226" s="2" t="s">
        <v>207</v>
      </c>
      <c r="D226" s="33" t="n">
        <v>8</v>
      </c>
      <c r="E226" s="33" t="n">
        <v>0.05</v>
      </c>
    </row>
    <row r="227" customFormat="false" ht="15" hidden="false" customHeight="false" outlineLevel="0" collapsed="false">
      <c r="A227" s="9" t="s">
        <v>302</v>
      </c>
      <c r="B227" s="2" t="s">
        <v>206</v>
      </c>
      <c r="C227" s="2" t="s">
        <v>207</v>
      </c>
      <c r="D227" s="33" t="n">
        <v>2.5</v>
      </c>
      <c r="E227" s="33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4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62"/>
    <col collapsed="false" customWidth="true" hidden="false" outlineLevel="0" max="3" min="3" style="1" width="5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40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6"/>
    <col collapsed="false" customWidth="true" hidden="false" outlineLevel="0" max="12" min="12" style="1" width="22"/>
    <col collapsed="false" customWidth="true" hidden="false" outlineLevel="0" max="13" min="13" style="1" width="30"/>
  </cols>
  <sheetData>
    <row r="1" customFormat="false" ht="15" hidden="false" customHeight="false" outlineLevel="0" collapsed="false">
      <c r="A1" s="2" t="s">
        <v>303</v>
      </c>
    </row>
    <row r="2" customFormat="false" ht="15" hidden="false" customHeight="false" outlineLevel="0" collapsed="false">
      <c r="A2" s="2" t="s">
        <v>304</v>
      </c>
    </row>
    <row r="3" customFormat="false" ht="15" hidden="false" customHeight="false" outlineLevel="0" collapsed="false">
      <c r="A3" s="8" t="s">
        <v>305</v>
      </c>
      <c r="B3" s="8" t="s">
        <v>306</v>
      </c>
      <c r="C3" s="8" t="s">
        <v>307</v>
      </c>
      <c r="D3" s="8" t="s">
        <v>308</v>
      </c>
      <c r="E3" s="8" t="s">
        <v>6</v>
      </c>
      <c r="F3" s="8" t="s">
        <v>309</v>
      </c>
      <c r="G3" s="8" t="s">
        <v>310</v>
      </c>
      <c r="H3" s="8" t="s">
        <v>311</v>
      </c>
      <c r="I3" s="8" t="s">
        <v>312</v>
      </c>
      <c r="J3" s="8" t="s">
        <v>313</v>
      </c>
      <c r="K3" s="8" t="s">
        <v>314</v>
      </c>
      <c r="L3" s="8" t="s">
        <v>315</v>
      </c>
      <c r="M3" s="8" t="s">
        <v>12</v>
      </c>
    </row>
    <row r="4" customFormat="false" ht="15" hidden="false" customHeight="false" outlineLevel="0" collapsed="false">
      <c r="A4" s="24" t="s">
        <v>316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customFormat="false" ht="15" hidden="false" customHeight="false" outlineLevel="0" collapsed="false">
      <c r="A5" s="2" t="s">
        <v>317</v>
      </c>
      <c r="B5" s="9" t="s">
        <v>318</v>
      </c>
      <c r="C5" s="2" t="s">
        <v>319</v>
      </c>
      <c r="D5" s="37" t="n">
        <v>65000</v>
      </c>
      <c r="E5" s="2" t="s">
        <v>14</v>
      </c>
      <c r="F5" s="2" t="s">
        <v>320</v>
      </c>
      <c r="G5" s="2" t="s">
        <v>321</v>
      </c>
      <c r="H5" s="2" t="s">
        <v>322</v>
      </c>
      <c r="I5" s="2" t="s">
        <v>323</v>
      </c>
      <c r="J5" s="2" t="s">
        <v>324</v>
      </c>
      <c r="K5" s="2" t="s">
        <v>325</v>
      </c>
      <c r="L5" s="2" t="s">
        <v>326</v>
      </c>
    </row>
    <row r="6" customFormat="false" ht="15" hidden="false" customHeight="false" outlineLevel="0" collapsed="false">
      <c r="A6" s="2" t="s">
        <v>327</v>
      </c>
      <c r="B6" s="9" t="s">
        <v>328</v>
      </c>
      <c r="C6" s="2" t="s">
        <v>329</v>
      </c>
      <c r="D6" s="37" t="n">
        <v>40000</v>
      </c>
      <c r="E6" s="2" t="s">
        <v>14</v>
      </c>
      <c r="F6" s="2" t="s">
        <v>330</v>
      </c>
      <c r="G6" s="2" t="s">
        <v>331</v>
      </c>
      <c r="H6" s="2" t="s">
        <v>322</v>
      </c>
      <c r="I6" s="2" t="s">
        <v>323</v>
      </c>
      <c r="J6" s="2" t="s">
        <v>324</v>
      </c>
      <c r="K6" s="2" t="s">
        <v>332</v>
      </c>
      <c r="L6" s="2" t="s">
        <v>326</v>
      </c>
    </row>
    <row r="7" customFormat="false" ht="15" hidden="false" customHeight="false" outlineLevel="0" collapsed="false">
      <c r="A7" s="2" t="s">
        <v>333</v>
      </c>
      <c r="B7" s="9" t="s">
        <v>334</v>
      </c>
      <c r="C7" s="2" t="s">
        <v>335</v>
      </c>
      <c r="D7" s="37" t="n">
        <v>124254</v>
      </c>
      <c r="E7" s="2" t="s">
        <v>18</v>
      </c>
      <c r="F7" s="2" t="s">
        <v>336</v>
      </c>
      <c r="G7" s="2" t="s">
        <v>337</v>
      </c>
      <c r="H7" s="2" t="s">
        <v>338</v>
      </c>
      <c r="I7" s="2" t="s">
        <v>323</v>
      </c>
      <c r="J7" s="2" t="s">
        <v>339</v>
      </c>
      <c r="K7" s="2" t="s">
        <v>340</v>
      </c>
      <c r="L7" s="2" t="s">
        <v>341</v>
      </c>
    </row>
    <row r="8" customFormat="false" ht="15" hidden="false" customHeight="false" outlineLevel="0" collapsed="false">
      <c r="A8" s="2" t="s">
        <v>342</v>
      </c>
      <c r="B8" s="9" t="s">
        <v>343</v>
      </c>
      <c r="C8" s="2" t="s">
        <v>344</v>
      </c>
      <c r="D8" s="38" t="n">
        <v>181216.5</v>
      </c>
      <c r="E8" s="2" t="s">
        <v>18</v>
      </c>
      <c r="F8" s="2" t="s">
        <v>345</v>
      </c>
      <c r="G8" s="2" t="s">
        <v>346</v>
      </c>
      <c r="H8" s="2" t="s">
        <v>338</v>
      </c>
      <c r="I8" s="2" t="s">
        <v>323</v>
      </c>
      <c r="J8" s="2" t="s">
        <v>339</v>
      </c>
      <c r="K8" s="2" t="s">
        <v>347</v>
      </c>
      <c r="L8" s="2" t="s">
        <v>341</v>
      </c>
    </row>
    <row r="9" customFormat="false" ht="15" hidden="false" customHeight="false" outlineLevel="0" collapsed="false">
      <c r="A9" s="2" t="s">
        <v>348</v>
      </c>
      <c r="B9" s="9" t="s">
        <v>349</v>
      </c>
      <c r="C9" s="2" t="s">
        <v>350</v>
      </c>
      <c r="D9" s="37" t="n">
        <v>11600</v>
      </c>
      <c r="E9" s="2" t="s">
        <v>18</v>
      </c>
      <c r="F9" s="2" t="s">
        <v>351</v>
      </c>
      <c r="G9" s="2" t="s">
        <v>352</v>
      </c>
      <c r="H9" s="2" t="s">
        <v>322</v>
      </c>
      <c r="I9" s="2" t="s">
        <v>323</v>
      </c>
      <c r="J9" s="2" t="s">
        <v>324</v>
      </c>
      <c r="K9" s="2" t="s">
        <v>353</v>
      </c>
      <c r="L9" s="2" t="s">
        <v>354</v>
      </c>
    </row>
    <row r="10" customFormat="false" ht="15" hidden="false" customHeight="false" outlineLevel="0" collapsed="false">
      <c r="A10" s="2" t="s">
        <v>355</v>
      </c>
      <c r="B10" s="9" t="s">
        <v>356</v>
      </c>
      <c r="C10" s="2" t="s">
        <v>357</v>
      </c>
      <c r="D10" s="37" t="n">
        <v>11500</v>
      </c>
      <c r="E10" s="2" t="s">
        <v>18</v>
      </c>
      <c r="F10" s="2" t="s">
        <v>351</v>
      </c>
      <c r="G10" s="2" t="s">
        <v>352</v>
      </c>
      <c r="H10" s="2" t="s">
        <v>322</v>
      </c>
      <c r="I10" s="2" t="s">
        <v>323</v>
      </c>
      <c r="J10" s="2" t="s">
        <v>324</v>
      </c>
      <c r="K10" s="2" t="s">
        <v>358</v>
      </c>
      <c r="L10" s="2" t="s">
        <v>359</v>
      </c>
    </row>
    <row r="11" customFormat="false" ht="15" hidden="false" customHeight="false" outlineLevel="0" collapsed="false">
      <c r="A11" s="2" t="s">
        <v>360</v>
      </c>
      <c r="B11" s="9" t="s">
        <v>361</v>
      </c>
      <c r="C11" s="2" t="s">
        <v>362</v>
      </c>
      <c r="D11" s="37" t="n">
        <v>559</v>
      </c>
      <c r="E11" s="2" t="s">
        <v>18</v>
      </c>
      <c r="F11" s="2" t="s">
        <v>351</v>
      </c>
      <c r="G11" s="2" t="s">
        <v>363</v>
      </c>
      <c r="H11" s="2" t="s">
        <v>364</v>
      </c>
      <c r="I11" s="2" t="s">
        <v>365</v>
      </c>
      <c r="J11" s="2" t="s">
        <v>324</v>
      </c>
      <c r="K11" s="2" t="s">
        <v>366</v>
      </c>
      <c r="L11" s="2" t="s">
        <v>367</v>
      </c>
    </row>
    <row r="12" customFormat="false" ht="15" hidden="false" customHeight="false" outlineLevel="0" collapsed="false">
      <c r="A12" s="2" t="s">
        <v>368</v>
      </c>
      <c r="B12" s="9" t="s">
        <v>369</v>
      </c>
      <c r="C12" s="2" t="s">
        <v>370</v>
      </c>
      <c r="D12" s="37" t="n">
        <v>10900</v>
      </c>
      <c r="E12" s="2" t="s">
        <v>18</v>
      </c>
      <c r="F12" s="2" t="s">
        <v>351</v>
      </c>
      <c r="G12" s="2" t="s">
        <v>371</v>
      </c>
      <c r="H12" s="2" t="s">
        <v>338</v>
      </c>
      <c r="I12" s="2" t="s">
        <v>365</v>
      </c>
      <c r="J12" s="2" t="s">
        <v>324</v>
      </c>
      <c r="K12" s="2" t="s">
        <v>372</v>
      </c>
      <c r="L12" s="2" t="s">
        <v>367</v>
      </c>
    </row>
    <row r="13" customFormat="false" ht="15" hidden="false" customHeight="false" outlineLevel="0" collapsed="false">
      <c r="A13" s="2" t="s">
        <v>373</v>
      </c>
      <c r="B13" s="9" t="s">
        <v>374</v>
      </c>
      <c r="C13" s="2" t="s">
        <v>375</v>
      </c>
      <c r="D13" s="37" t="n">
        <v>4730</v>
      </c>
      <c r="E13" s="2" t="s">
        <v>18</v>
      </c>
      <c r="F13" s="2" t="s">
        <v>376</v>
      </c>
      <c r="G13" s="2" t="s">
        <v>377</v>
      </c>
      <c r="H13" s="2" t="s">
        <v>322</v>
      </c>
      <c r="I13" s="2" t="s">
        <v>323</v>
      </c>
      <c r="J13" s="2" t="s">
        <v>324</v>
      </c>
      <c r="K13" s="2" t="s">
        <v>358</v>
      </c>
      <c r="L13" s="2" t="s">
        <v>354</v>
      </c>
    </row>
    <row r="14" customFormat="false" ht="15" hidden="false" customHeight="false" outlineLevel="0" collapsed="false">
      <c r="A14" s="2" t="s">
        <v>378</v>
      </c>
      <c r="B14" s="9" t="s">
        <v>379</v>
      </c>
      <c r="C14" s="2" t="s">
        <v>380</v>
      </c>
      <c r="D14" s="37" t="n">
        <v>787</v>
      </c>
      <c r="E14" s="2" t="s">
        <v>18</v>
      </c>
      <c r="F14" s="2" t="s">
        <v>381</v>
      </c>
      <c r="G14" s="2" t="s">
        <v>382</v>
      </c>
      <c r="H14" s="2" t="s">
        <v>322</v>
      </c>
      <c r="I14" s="2" t="s">
        <v>323</v>
      </c>
      <c r="J14" s="2" t="s">
        <v>324</v>
      </c>
      <c r="K14" s="2" t="s">
        <v>358</v>
      </c>
      <c r="L14" s="2" t="s">
        <v>383</v>
      </c>
    </row>
    <row r="15" customFormat="false" ht="15" hidden="false" customHeight="false" outlineLevel="0" collapsed="false">
      <c r="A15" s="2" t="s">
        <v>384</v>
      </c>
      <c r="B15" s="9" t="s">
        <v>385</v>
      </c>
      <c r="C15" s="2" t="s">
        <v>386</v>
      </c>
      <c r="D15" s="37" t="n">
        <v>5700</v>
      </c>
      <c r="E15" s="2" t="s">
        <v>18</v>
      </c>
      <c r="F15" s="2" t="s">
        <v>376</v>
      </c>
      <c r="G15" s="2" t="s">
        <v>387</v>
      </c>
      <c r="H15" s="2" t="s">
        <v>322</v>
      </c>
      <c r="I15" s="2" t="s">
        <v>323</v>
      </c>
      <c r="J15" s="2" t="s">
        <v>324</v>
      </c>
      <c r="K15" s="2" t="s">
        <v>388</v>
      </c>
      <c r="L15" s="2" t="s">
        <v>389</v>
      </c>
    </row>
    <row r="16" customFormat="false" ht="15" hidden="false" customHeight="false" outlineLevel="0" collapsed="false">
      <c r="A16" s="2" t="s">
        <v>390</v>
      </c>
      <c r="B16" s="9" t="s">
        <v>391</v>
      </c>
      <c r="C16" s="2" t="s">
        <v>392</v>
      </c>
      <c r="D16" s="37" t="n">
        <v>6700</v>
      </c>
      <c r="E16" s="2" t="s">
        <v>18</v>
      </c>
      <c r="F16" s="2" t="s">
        <v>351</v>
      </c>
      <c r="G16" s="2" t="s">
        <v>387</v>
      </c>
      <c r="H16" s="2" t="s">
        <v>322</v>
      </c>
      <c r="I16" s="2" t="s">
        <v>323</v>
      </c>
      <c r="J16" s="2" t="s">
        <v>324</v>
      </c>
      <c r="K16" s="2" t="s">
        <v>388</v>
      </c>
      <c r="L16" s="2" t="s">
        <v>389</v>
      </c>
    </row>
    <row r="17" customFormat="false" ht="15" hidden="false" customHeight="false" outlineLevel="0" collapsed="false">
      <c r="A17" s="2" t="s">
        <v>393</v>
      </c>
      <c r="B17" s="9" t="s">
        <v>394</v>
      </c>
      <c r="C17" s="2" t="s">
        <v>395</v>
      </c>
      <c r="D17" s="37" t="n">
        <v>9300</v>
      </c>
      <c r="E17" s="2" t="s">
        <v>396</v>
      </c>
      <c r="F17" s="2" t="s">
        <v>376</v>
      </c>
      <c r="G17" s="2" t="s">
        <v>397</v>
      </c>
      <c r="H17" s="2" t="s">
        <v>322</v>
      </c>
      <c r="I17" s="2" t="s">
        <v>323</v>
      </c>
      <c r="J17" s="2" t="s">
        <v>324</v>
      </c>
      <c r="K17" s="2" t="s">
        <v>388</v>
      </c>
      <c r="L17" s="2" t="s">
        <v>398</v>
      </c>
    </row>
    <row r="18" customFormat="false" ht="15" hidden="false" customHeight="false" outlineLevel="0" collapsed="false">
      <c r="A18" s="2" t="s">
        <v>399</v>
      </c>
      <c r="B18" s="9" t="s">
        <v>400</v>
      </c>
      <c r="C18" s="2" t="s">
        <v>401</v>
      </c>
      <c r="D18" s="37" t="n">
        <v>12300</v>
      </c>
      <c r="E18" s="2" t="s">
        <v>396</v>
      </c>
      <c r="F18" s="2" t="s">
        <v>351</v>
      </c>
      <c r="G18" s="2" t="s">
        <v>397</v>
      </c>
      <c r="H18" s="2" t="s">
        <v>322</v>
      </c>
      <c r="I18" s="2" t="s">
        <v>323</v>
      </c>
      <c r="J18" s="2" t="s">
        <v>324</v>
      </c>
      <c r="K18" s="2" t="s">
        <v>388</v>
      </c>
      <c r="L18" s="2" t="s">
        <v>398</v>
      </c>
    </row>
    <row r="19" customFormat="false" ht="15" hidden="false" customHeight="false" outlineLevel="0" collapsed="false">
      <c r="A19" s="2" t="s">
        <v>402</v>
      </c>
      <c r="B19" s="9" t="s">
        <v>403</v>
      </c>
      <c r="C19" s="2" t="s">
        <v>404</v>
      </c>
      <c r="D19" s="37" t="n">
        <v>50000</v>
      </c>
      <c r="E19" s="2" t="s">
        <v>18</v>
      </c>
      <c r="F19" s="2" t="s">
        <v>405</v>
      </c>
      <c r="G19" s="2" t="s">
        <v>406</v>
      </c>
      <c r="H19" s="2" t="s">
        <v>322</v>
      </c>
      <c r="I19" s="2" t="s">
        <v>323</v>
      </c>
      <c r="J19" s="2" t="s">
        <v>324</v>
      </c>
      <c r="K19" s="2" t="s">
        <v>407</v>
      </c>
      <c r="L19" s="2" t="s">
        <v>408</v>
      </c>
    </row>
    <row r="20" customFormat="false" ht="15" hidden="false" customHeight="false" outlineLevel="0" collapsed="false">
      <c r="A20" s="2" t="s">
        <v>409</v>
      </c>
      <c r="B20" s="9" t="s">
        <v>410</v>
      </c>
      <c r="C20" s="2" t="s">
        <v>411</v>
      </c>
      <c r="D20" s="37" t="n">
        <v>750000</v>
      </c>
      <c r="E20" s="2" t="s">
        <v>18</v>
      </c>
      <c r="F20" s="2" t="s">
        <v>412</v>
      </c>
      <c r="G20" s="2" t="s">
        <v>413</v>
      </c>
      <c r="H20" s="2" t="s">
        <v>338</v>
      </c>
      <c r="I20" s="2" t="s">
        <v>323</v>
      </c>
      <c r="J20" s="2" t="s">
        <v>324</v>
      </c>
      <c r="K20" s="2" t="s">
        <v>414</v>
      </c>
      <c r="L20" s="2" t="s">
        <v>415</v>
      </c>
    </row>
    <row r="21" customFormat="false" ht="15" hidden="false" customHeight="false" outlineLevel="0" collapsed="false">
      <c r="A21" s="2" t="s">
        <v>416</v>
      </c>
      <c r="B21" s="9" t="s">
        <v>417</v>
      </c>
      <c r="C21" s="2" t="s">
        <v>418</v>
      </c>
      <c r="D21" s="37" t="n">
        <v>600000</v>
      </c>
      <c r="E21" s="2" t="s">
        <v>18</v>
      </c>
      <c r="F21" s="2" t="s">
        <v>405</v>
      </c>
      <c r="G21" s="2" t="s">
        <v>419</v>
      </c>
      <c r="H21" s="2" t="s">
        <v>322</v>
      </c>
      <c r="I21" s="2" t="s">
        <v>323</v>
      </c>
      <c r="J21" s="2" t="s">
        <v>324</v>
      </c>
      <c r="K21" s="2" t="s">
        <v>407</v>
      </c>
      <c r="L21" s="2" t="s">
        <v>420</v>
      </c>
    </row>
    <row r="22" customFormat="false" ht="15" hidden="false" customHeight="false" outlineLevel="0" collapsed="false">
      <c r="A22" s="2" t="s">
        <v>421</v>
      </c>
      <c r="B22" s="9" t="s">
        <v>422</v>
      </c>
      <c r="C22" s="2" t="s">
        <v>423</v>
      </c>
      <c r="D22" s="37" t="n">
        <v>665000</v>
      </c>
      <c r="E22" s="2" t="s">
        <v>18</v>
      </c>
      <c r="F22" s="2" t="s">
        <v>424</v>
      </c>
      <c r="G22" s="2" t="s">
        <v>425</v>
      </c>
      <c r="H22" s="2" t="s">
        <v>338</v>
      </c>
      <c r="I22" s="2" t="s">
        <v>426</v>
      </c>
      <c r="J22" s="2" t="s">
        <v>324</v>
      </c>
      <c r="K22" s="2" t="s">
        <v>427</v>
      </c>
      <c r="L22" s="2" t="s">
        <v>428</v>
      </c>
    </row>
    <row r="23" customFormat="false" ht="15" hidden="false" customHeight="false" outlineLevel="0" collapsed="false">
      <c r="A23" s="2" t="s">
        <v>429</v>
      </c>
      <c r="B23" s="9" t="s">
        <v>430</v>
      </c>
      <c r="C23" s="2" t="s">
        <v>431</v>
      </c>
      <c r="D23" s="37" t="n">
        <v>24100</v>
      </c>
      <c r="E23" s="2" t="s">
        <v>18</v>
      </c>
      <c r="F23" s="2" t="s">
        <v>432</v>
      </c>
      <c r="G23" s="2" t="s">
        <v>433</v>
      </c>
      <c r="H23" s="2" t="s">
        <v>322</v>
      </c>
      <c r="I23" s="2" t="s">
        <v>434</v>
      </c>
      <c r="J23" s="2" t="s">
        <v>339</v>
      </c>
      <c r="K23" s="2" t="s">
        <v>435</v>
      </c>
      <c r="L23" s="2" t="s">
        <v>436</v>
      </c>
    </row>
    <row r="24" customFormat="false" ht="15" hidden="false" customHeight="false" outlineLevel="0" collapsed="false">
      <c r="A24" s="2" t="s">
        <v>437</v>
      </c>
      <c r="B24" s="9" t="s">
        <v>438</v>
      </c>
      <c r="C24" s="2" t="s">
        <v>439</v>
      </c>
      <c r="D24" s="37" t="n">
        <v>6000</v>
      </c>
      <c r="E24" s="2" t="s">
        <v>18</v>
      </c>
      <c r="F24" s="2" t="s">
        <v>440</v>
      </c>
      <c r="G24" s="2" t="s">
        <v>441</v>
      </c>
      <c r="H24" s="2" t="s">
        <v>322</v>
      </c>
      <c r="I24" s="2" t="s">
        <v>434</v>
      </c>
      <c r="J24" s="2" t="s">
        <v>339</v>
      </c>
      <c r="K24" s="2" t="s">
        <v>435</v>
      </c>
      <c r="L24" s="2" t="s">
        <v>436</v>
      </c>
    </row>
    <row r="25" customFormat="false" ht="15" hidden="false" customHeight="false" outlineLevel="0" collapsed="false">
      <c r="A25" s="2" t="s">
        <v>442</v>
      </c>
      <c r="B25" s="9" t="s">
        <v>443</v>
      </c>
      <c r="C25" s="2" t="s">
        <v>444</v>
      </c>
      <c r="D25" s="39" t="n">
        <v>8</v>
      </c>
      <c r="E25" s="2" t="s">
        <v>445</v>
      </c>
      <c r="F25" s="2" t="s">
        <v>446</v>
      </c>
      <c r="G25" s="2" t="s">
        <v>447</v>
      </c>
      <c r="H25" s="2" t="s">
        <v>322</v>
      </c>
      <c r="I25" s="2" t="s">
        <v>434</v>
      </c>
      <c r="J25" s="2" t="s">
        <v>339</v>
      </c>
      <c r="K25" s="2" t="s">
        <v>448</v>
      </c>
      <c r="L25" s="2" t="s">
        <v>449</v>
      </c>
    </row>
    <row r="26" customFormat="false" ht="15" hidden="false" customHeight="false" outlineLevel="0" collapsed="false">
      <c r="A26" s="2" t="s">
        <v>450</v>
      </c>
      <c r="B26" s="9" t="s">
        <v>451</v>
      </c>
      <c r="C26" s="2" t="s">
        <v>452</v>
      </c>
      <c r="D26" s="40" t="n">
        <v>20</v>
      </c>
      <c r="E26" s="2" t="s">
        <v>51</v>
      </c>
      <c r="F26" s="2" t="s">
        <v>446</v>
      </c>
      <c r="G26" s="2" t="s">
        <v>447</v>
      </c>
      <c r="H26" s="2" t="s">
        <v>322</v>
      </c>
      <c r="I26" s="2" t="s">
        <v>434</v>
      </c>
      <c r="J26" s="2" t="s">
        <v>339</v>
      </c>
      <c r="K26" s="2" t="s">
        <v>453</v>
      </c>
      <c r="L26" s="2" t="s">
        <v>428</v>
      </c>
    </row>
    <row r="27" customFormat="false" ht="15" hidden="false" customHeight="false" outlineLevel="0" collapsed="false">
      <c r="A27" s="2" t="s">
        <v>454</v>
      </c>
      <c r="B27" s="9" t="s">
        <v>455</v>
      </c>
      <c r="C27" s="2" t="s">
        <v>456</v>
      </c>
      <c r="D27" s="37" t="n">
        <v>105000</v>
      </c>
      <c r="E27" s="2" t="s">
        <v>18</v>
      </c>
      <c r="F27" s="2" t="s">
        <v>446</v>
      </c>
      <c r="G27" s="2" t="s">
        <v>457</v>
      </c>
      <c r="H27" s="2" t="s">
        <v>322</v>
      </c>
      <c r="I27" s="2" t="s">
        <v>434</v>
      </c>
      <c r="J27" s="2" t="s">
        <v>339</v>
      </c>
      <c r="K27" s="2" t="s">
        <v>453</v>
      </c>
      <c r="L27" s="2" t="s">
        <v>449</v>
      </c>
    </row>
    <row r="28" customFormat="false" ht="15" hidden="false" customHeight="false" outlineLevel="0" collapsed="false">
      <c r="A28" s="2" t="s">
        <v>458</v>
      </c>
      <c r="B28" s="9" t="s">
        <v>459</v>
      </c>
      <c r="C28" s="2" t="s">
        <v>452</v>
      </c>
      <c r="D28" s="39" t="n">
        <v>4.25</v>
      </c>
      <c r="E28" s="2" t="s">
        <v>445</v>
      </c>
      <c r="F28" s="2" t="s">
        <v>446</v>
      </c>
      <c r="G28" s="2" t="s">
        <v>447</v>
      </c>
      <c r="H28" s="2" t="s">
        <v>322</v>
      </c>
      <c r="I28" s="2" t="s">
        <v>434</v>
      </c>
      <c r="J28" s="2" t="s">
        <v>339</v>
      </c>
      <c r="K28" s="2" t="s">
        <v>453</v>
      </c>
      <c r="L28" s="2" t="s">
        <v>428</v>
      </c>
    </row>
    <row r="29" customFormat="false" ht="15" hidden="false" customHeight="false" outlineLevel="0" collapsed="false">
      <c r="A29" s="2" t="s">
        <v>460</v>
      </c>
      <c r="B29" s="9" t="s">
        <v>461</v>
      </c>
      <c r="C29" s="2" t="s">
        <v>462</v>
      </c>
      <c r="D29" s="40" t="n">
        <v>753</v>
      </c>
      <c r="E29" s="2" t="s">
        <v>463</v>
      </c>
      <c r="F29" s="2" t="s">
        <v>464</v>
      </c>
      <c r="G29" s="2" t="s">
        <v>447</v>
      </c>
      <c r="H29" s="2" t="s">
        <v>322</v>
      </c>
      <c r="I29" s="2" t="s">
        <v>434</v>
      </c>
      <c r="J29" s="2" t="s">
        <v>339</v>
      </c>
      <c r="K29" s="2" t="s">
        <v>448</v>
      </c>
      <c r="L29" s="2" t="s">
        <v>428</v>
      </c>
    </row>
    <row r="30" customFormat="false" ht="15" hidden="false" customHeight="false" outlineLevel="0" collapsed="false">
      <c r="A30" s="2" t="s">
        <v>465</v>
      </c>
      <c r="B30" s="9" t="s">
        <v>466</v>
      </c>
      <c r="C30" s="2" t="s">
        <v>467</v>
      </c>
      <c r="D30" s="40" t="n">
        <v>15</v>
      </c>
      <c r="E30" s="2" t="s">
        <v>51</v>
      </c>
      <c r="F30" s="2" t="s">
        <v>464</v>
      </c>
      <c r="G30" s="2" t="s">
        <v>447</v>
      </c>
      <c r="H30" s="2" t="s">
        <v>322</v>
      </c>
      <c r="I30" s="2" t="s">
        <v>434</v>
      </c>
      <c r="J30" s="2" t="s">
        <v>339</v>
      </c>
      <c r="K30" s="2" t="s">
        <v>453</v>
      </c>
      <c r="L30" s="2" t="s">
        <v>428</v>
      </c>
    </row>
    <row r="31" customFormat="false" ht="15" hidden="false" customHeight="false" outlineLevel="0" collapsed="false">
      <c r="A31" s="2" t="s">
        <v>468</v>
      </c>
      <c r="B31" s="9" t="s">
        <v>469</v>
      </c>
      <c r="C31" s="2" t="s">
        <v>470</v>
      </c>
      <c r="D31" s="37" t="n">
        <v>190000</v>
      </c>
      <c r="E31" s="2" t="s">
        <v>18</v>
      </c>
      <c r="F31" s="2" t="s">
        <v>471</v>
      </c>
      <c r="G31" s="2" t="s">
        <v>472</v>
      </c>
      <c r="H31" s="2" t="s">
        <v>338</v>
      </c>
      <c r="I31" s="2" t="s">
        <v>323</v>
      </c>
      <c r="J31" s="2" t="s">
        <v>324</v>
      </c>
      <c r="K31" s="2" t="s">
        <v>473</v>
      </c>
      <c r="L31" s="2" t="s">
        <v>474</v>
      </c>
    </row>
    <row r="32" customFormat="false" ht="15" hidden="false" customHeight="false" outlineLevel="0" collapsed="false">
      <c r="A32" s="2" t="s">
        <v>475</v>
      </c>
      <c r="B32" s="9" t="s">
        <v>476</v>
      </c>
      <c r="C32" s="2" t="s">
        <v>470</v>
      </c>
      <c r="D32" s="37" t="n">
        <v>200000</v>
      </c>
      <c r="E32" s="2" t="s">
        <v>18</v>
      </c>
      <c r="F32" s="2" t="s">
        <v>471</v>
      </c>
      <c r="G32" s="2" t="s">
        <v>472</v>
      </c>
      <c r="H32" s="2" t="s">
        <v>338</v>
      </c>
      <c r="I32" s="2" t="s">
        <v>323</v>
      </c>
      <c r="J32" s="2" t="s">
        <v>324</v>
      </c>
      <c r="K32" s="2" t="s">
        <v>473</v>
      </c>
      <c r="L32" s="2" t="s">
        <v>474</v>
      </c>
    </row>
    <row r="33" customFormat="false" ht="15" hidden="false" customHeight="false" outlineLevel="0" collapsed="false">
      <c r="A33" s="24" t="s">
        <v>477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customFormat="false" ht="15" hidden="false" customHeight="false" outlineLevel="0" collapsed="false">
      <c r="A34" s="2" t="s">
        <v>478</v>
      </c>
      <c r="B34" s="9" t="s">
        <v>479</v>
      </c>
      <c r="C34" s="2" t="s">
        <v>480</v>
      </c>
      <c r="D34" s="37" t="n">
        <v>965000</v>
      </c>
      <c r="E34" s="2" t="s">
        <v>18</v>
      </c>
      <c r="F34" s="2" t="s">
        <v>336</v>
      </c>
      <c r="G34" s="2" t="s">
        <v>481</v>
      </c>
      <c r="H34" s="2" t="s">
        <v>322</v>
      </c>
      <c r="I34" s="2" t="s">
        <v>482</v>
      </c>
      <c r="J34" s="2" t="s">
        <v>483</v>
      </c>
      <c r="K34" s="2" t="s">
        <v>484</v>
      </c>
      <c r="L34" s="2" t="s">
        <v>485</v>
      </c>
    </row>
    <row r="35" customFormat="false" ht="15" hidden="false" customHeight="false" outlineLevel="0" collapsed="false">
      <c r="A35" s="2" t="s">
        <v>486</v>
      </c>
      <c r="B35" s="9" t="s">
        <v>487</v>
      </c>
      <c r="C35" s="2" t="s">
        <v>488</v>
      </c>
      <c r="D35" s="37" t="n">
        <v>852000</v>
      </c>
      <c r="E35" s="2" t="s">
        <v>18</v>
      </c>
      <c r="F35" s="2" t="s">
        <v>345</v>
      </c>
      <c r="G35" s="2" t="s">
        <v>489</v>
      </c>
      <c r="H35" s="2" t="s">
        <v>322</v>
      </c>
      <c r="I35" s="2" t="s">
        <v>323</v>
      </c>
      <c r="J35" s="2" t="s">
        <v>483</v>
      </c>
      <c r="K35" s="2" t="s">
        <v>490</v>
      </c>
      <c r="L35" s="2" t="s">
        <v>485</v>
      </c>
    </row>
    <row r="36" customFormat="false" ht="15" hidden="false" customHeight="false" outlineLevel="0" collapsed="false">
      <c r="A36" s="2" t="s">
        <v>491</v>
      </c>
      <c r="B36" s="9" t="s">
        <v>492</v>
      </c>
      <c r="C36" s="2" t="s">
        <v>493</v>
      </c>
      <c r="D36" s="41" t="n">
        <v>0.3975</v>
      </c>
      <c r="E36" s="2" t="s">
        <v>24</v>
      </c>
      <c r="F36" s="2" t="s">
        <v>494</v>
      </c>
      <c r="G36" s="2" t="s">
        <v>495</v>
      </c>
      <c r="H36" s="2" t="s">
        <v>496</v>
      </c>
      <c r="I36" s="2" t="s">
        <v>497</v>
      </c>
      <c r="J36" s="2" t="s">
        <v>498</v>
      </c>
      <c r="K36" s="2" t="s">
        <v>499</v>
      </c>
      <c r="L36" s="2" t="s">
        <v>500</v>
      </c>
    </row>
    <row r="37" customFormat="false" ht="15" hidden="false" customHeight="false" outlineLevel="0" collapsed="false">
      <c r="A37" s="2" t="s">
        <v>501</v>
      </c>
      <c r="B37" s="9" t="s">
        <v>502</v>
      </c>
      <c r="C37" s="2" t="s">
        <v>503</v>
      </c>
      <c r="D37" s="41" t="n">
        <v>0.27</v>
      </c>
      <c r="E37" s="2" t="s">
        <v>24</v>
      </c>
      <c r="F37" s="2" t="s">
        <v>504</v>
      </c>
      <c r="G37" s="2" t="s">
        <v>505</v>
      </c>
      <c r="H37" s="2" t="s">
        <v>496</v>
      </c>
      <c r="I37" s="2" t="s">
        <v>497</v>
      </c>
      <c r="J37" s="2" t="s">
        <v>339</v>
      </c>
      <c r="K37" s="2" t="s">
        <v>506</v>
      </c>
      <c r="L37" s="2" t="s">
        <v>507</v>
      </c>
    </row>
    <row r="38" customFormat="false" ht="15" hidden="false" customHeight="false" outlineLevel="0" collapsed="false">
      <c r="A38" s="2" t="s">
        <v>508</v>
      </c>
      <c r="B38" s="9" t="s">
        <v>509</v>
      </c>
      <c r="C38" s="2" t="s">
        <v>510</v>
      </c>
      <c r="D38" s="17" t="n">
        <v>0.2</v>
      </c>
      <c r="E38" s="2" t="s">
        <v>24</v>
      </c>
      <c r="F38" s="2" t="s">
        <v>511</v>
      </c>
      <c r="G38" s="2" t="s">
        <v>512</v>
      </c>
      <c r="H38" s="2" t="s">
        <v>496</v>
      </c>
      <c r="I38" s="2" t="s">
        <v>497</v>
      </c>
      <c r="J38" s="2" t="s">
        <v>339</v>
      </c>
      <c r="K38" s="2" t="s">
        <v>513</v>
      </c>
      <c r="L38" s="2" t="s">
        <v>514</v>
      </c>
    </row>
    <row r="39" customFormat="false" ht="15" hidden="false" customHeight="false" outlineLevel="0" collapsed="false">
      <c r="A39" s="2" t="s">
        <v>515</v>
      </c>
      <c r="B39" s="9" t="s">
        <v>516</v>
      </c>
      <c r="C39" s="2" t="s">
        <v>517</v>
      </c>
      <c r="D39" s="37" t="n">
        <v>25000</v>
      </c>
      <c r="E39" s="2" t="s">
        <v>14</v>
      </c>
      <c r="F39" s="2" t="s">
        <v>494</v>
      </c>
      <c r="G39" s="2" t="s">
        <v>518</v>
      </c>
      <c r="H39" s="2" t="s">
        <v>496</v>
      </c>
      <c r="I39" s="2" t="s">
        <v>497</v>
      </c>
      <c r="J39" s="2" t="s">
        <v>498</v>
      </c>
      <c r="K39" s="2" t="s">
        <v>519</v>
      </c>
      <c r="L39" s="2" t="s">
        <v>520</v>
      </c>
    </row>
    <row r="40" customFormat="false" ht="15" hidden="false" customHeight="false" outlineLevel="0" collapsed="false">
      <c r="A40" s="2" t="s">
        <v>521</v>
      </c>
      <c r="B40" s="9" t="s">
        <v>522</v>
      </c>
      <c r="C40" s="2" t="s">
        <v>523</v>
      </c>
      <c r="D40" s="42" t="n">
        <v>0.228</v>
      </c>
      <c r="E40" s="2" t="s">
        <v>524</v>
      </c>
      <c r="F40" s="2" t="s">
        <v>494</v>
      </c>
      <c r="G40" s="2" t="s">
        <v>525</v>
      </c>
      <c r="H40" s="2" t="s">
        <v>496</v>
      </c>
      <c r="I40" s="2" t="s">
        <v>497</v>
      </c>
      <c r="J40" s="2" t="s">
        <v>498</v>
      </c>
      <c r="K40" s="2" t="s">
        <v>519</v>
      </c>
      <c r="L40" s="2" t="s">
        <v>526</v>
      </c>
    </row>
    <row r="41" customFormat="false" ht="15" hidden="false" customHeight="false" outlineLevel="0" collapsed="false">
      <c r="A41" s="2" t="s">
        <v>527</v>
      </c>
      <c r="B41" s="9" t="s">
        <v>528</v>
      </c>
      <c r="C41" s="2" t="s">
        <v>529</v>
      </c>
      <c r="D41" s="42" t="n">
        <v>0.138</v>
      </c>
      <c r="E41" s="2" t="s">
        <v>524</v>
      </c>
      <c r="F41" s="2" t="s">
        <v>494</v>
      </c>
      <c r="G41" s="2" t="s">
        <v>530</v>
      </c>
      <c r="H41" s="2" t="s">
        <v>496</v>
      </c>
      <c r="I41" s="2" t="s">
        <v>497</v>
      </c>
      <c r="J41" s="2" t="s">
        <v>498</v>
      </c>
      <c r="K41" s="2" t="s">
        <v>519</v>
      </c>
      <c r="L41" s="2" t="s">
        <v>526</v>
      </c>
    </row>
    <row r="42" customFormat="false" ht="15" hidden="false" customHeight="false" outlineLevel="0" collapsed="false">
      <c r="A42" s="24" t="s">
        <v>531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3" customFormat="false" ht="15" hidden="false" customHeight="false" outlineLevel="0" collapsed="false">
      <c r="A43" s="2" t="s">
        <v>532</v>
      </c>
      <c r="B43" s="9" t="s">
        <v>533</v>
      </c>
      <c r="C43" s="2" t="s">
        <v>534</v>
      </c>
      <c r="D43" s="37" t="n">
        <v>9000</v>
      </c>
      <c r="E43" s="2" t="s">
        <v>14</v>
      </c>
      <c r="F43" s="2" t="s">
        <v>535</v>
      </c>
      <c r="G43" s="2" t="s">
        <v>536</v>
      </c>
      <c r="H43" s="2" t="s">
        <v>322</v>
      </c>
      <c r="I43" s="2" t="s">
        <v>434</v>
      </c>
      <c r="J43" s="2" t="s">
        <v>324</v>
      </c>
      <c r="K43" s="2" t="s">
        <v>537</v>
      </c>
      <c r="L43" s="2" t="s">
        <v>383</v>
      </c>
    </row>
    <row r="44" customFormat="false" ht="15" hidden="false" customHeight="false" outlineLevel="0" collapsed="false">
      <c r="A44" s="2" t="s">
        <v>538</v>
      </c>
      <c r="B44" s="9" t="s">
        <v>539</v>
      </c>
      <c r="C44" s="2" t="s">
        <v>540</v>
      </c>
      <c r="D44" s="37" t="n">
        <v>30000</v>
      </c>
      <c r="E44" s="2" t="s">
        <v>14</v>
      </c>
      <c r="F44" s="2" t="s">
        <v>541</v>
      </c>
      <c r="G44" s="2" t="s">
        <v>536</v>
      </c>
      <c r="H44" s="2" t="s">
        <v>322</v>
      </c>
      <c r="I44" s="2" t="s">
        <v>434</v>
      </c>
      <c r="J44" s="2" t="s">
        <v>324</v>
      </c>
      <c r="K44" s="2" t="s">
        <v>537</v>
      </c>
      <c r="L44" s="2" t="s">
        <v>383</v>
      </c>
    </row>
    <row r="45" customFormat="false" ht="15" hidden="false" customHeight="false" outlineLevel="0" collapsed="false">
      <c r="A45" s="2" t="s">
        <v>542</v>
      </c>
      <c r="B45" s="9" t="s">
        <v>543</v>
      </c>
      <c r="C45" s="2" t="s">
        <v>544</v>
      </c>
      <c r="D45" s="37" t="n">
        <v>47000</v>
      </c>
      <c r="E45" s="2" t="s">
        <v>14</v>
      </c>
      <c r="F45" s="2" t="s">
        <v>545</v>
      </c>
      <c r="G45" s="2" t="s">
        <v>536</v>
      </c>
      <c r="H45" s="2" t="s">
        <v>322</v>
      </c>
      <c r="I45" s="2" t="s">
        <v>434</v>
      </c>
      <c r="J45" s="2" t="s">
        <v>324</v>
      </c>
      <c r="K45" s="2" t="s">
        <v>546</v>
      </c>
      <c r="L45" s="2" t="s">
        <v>547</v>
      </c>
    </row>
    <row r="46" customFormat="false" ht="15" hidden="false" customHeight="false" outlineLevel="0" collapsed="false">
      <c r="A46" s="2" t="s">
        <v>548</v>
      </c>
      <c r="B46" s="9" t="s">
        <v>549</v>
      </c>
      <c r="C46" s="2" t="s">
        <v>550</v>
      </c>
      <c r="D46" s="37" t="n">
        <v>100000</v>
      </c>
      <c r="E46" s="2" t="s">
        <v>14</v>
      </c>
      <c r="F46" s="2" t="s">
        <v>446</v>
      </c>
      <c r="G46" s="2" t="s">
        <v>551</v>
      </c>
      <c r="H46" s="2" t="s">
        <v>338</v>
      </c>
      <c r="I46" s="2" t="s">
        <v>426</v>
      </c>
      <c r="J46" s="2" t="s">
        <v>324</v>
      </c>
      <c r="K46" s="2" t="s">
        <v>552</v>
      </c>
      <c r="L46" s="2" t="s">
        <v>553</v>
      </c>
    </row>
    <row r="47" customFormat="false" ht="15" hidden="false" customHeight="false" outlineLevel="0" collapsed="false">
      <c r="A47" s="2" t="s">
        <v>554</v>
      </c>
      <c r="B47" s="9" t="s">
        <v>555</v>
      </c>
      <c r="C47" s="2" t="s">
        <v>556</v>
      </c>
      <c r="D47" s="37" t="n">
        <v>120000</v>
      </c>
      <c r="E47" s="2" t="s">
        <v>14</v>
      </c>
      <c r="F47" s="2" t="s">
        <v>446</v>
      </c>
      <c r="G47" s="2" t="s">
        <v>557</v>
      </c>
      <c r="H47" s="2" t="s">
        <v>338</v>
      </c>
      <c r="I47" s="2" t="s">
        <v>426</v>
      </c>
      <c r="J47" s="2" t="s">
        <v>324</v>
      </c>
      <c r="K47" s="2" t="s">
        <v>552</v>
      </c>
      <c r="L47" s="2" t="s">
        <v>553</v>
      </c>
    </row>
    <row r="48" customFormat="false" ht="15" hidden="false" customHeight="false" outlineLevel="0" collapsed="false">
      <c r="A48" s="2" t="s">
        <v>558</v>
      </c>
      <c r="B48" s="9" t="s">
        <v>559</v>
      </c>
      <c r="C48" s="2" t="s">
        <v>560</v>
      </c>
      <c r="D48" s="37" t="n">
        <v>10</v>
      </c>
      <c r="E48" s="2" t="s">
        <v>18</v>
      </c>
      <c r="F48" s="2" t="s">
        <v>561</v>
      </c>
      <c r="G48" s="2" t="s">
        <v>562</v>
      </c>
      <c r="H48" s="2" t="s">
        <v>338</v>
      </c>
      <c r="I48" s="2" t="s">
        <v>323</v>
      </c>
      <c r="J48" s="2" t="s">
        <v>511</v>
      </c>
      <c r="K48" s="2" t="s">
        <v>563</v>
      </c>
      <c r="L48" s="2" t="s">
        <v>564</v>
      </c>
    </row>
    <row r="49" customFormat="false" ht="15" hidden="false" customHeight="false" outlineLevel="0" collapsed="false">
      <c r="A49" s="2" t="s">
        <v>565</v>
      </c>
      <c r="B49" s="9" t="s">
        <v>566</v>
      </c>
      <c r="C49" s="2" t="s">
        <v>560</v>
      </c>
      <c r="D49" s="37" t="n">
        <v>100</v>
      </c>
      <c r="E49" s="2" t="s">
        <v>18</v>
      </c>
      <c r="F49" s="2" t="s">
        <v>561</v>
      </c>
      <c r="G49" s="2" t="s">
        <v>562</v>
      </c>
      <c r="H49" s="2" t="s">
        <v>338</v>
      </c>
      <c r="I49" s="2" t="s">
        <v>323</v>
      </c>
      <c r="J49" s="2" t="s">
        <v>511</v>
      </c>
      <c r="K49" s="2" t="s">
        <v>563</v>
      </c>
      <c r="L49" s="2" t="s">
        <v>564</v>
      </c>
    </row>
    <row r="50" customFormat="false" ht="15" hidden="false" customHeight="false" outlineLevel="0" collapsed="false">
      <c r="A50" s="2" t="s">
        <v>567</v>
      </c>
      <c r="B50" s="9" t="s">
        <v>568</v>
      </c>
      <c r="C50" s="2" t="s">
        <v>560</v>
      </c>
      <c r="D50" s="37" t="n">
        <v>1000</v>
      </c>
      <c r="E50" s="2" t="s">
        <v>18</v>
      </c>
      <c r="F50" s="2" t="s">
        <v>561</v>
      </c>
      <c r="G50" s="2" t="s">
        <v>562</v>
      </c>
      <c r="H50" s="2" t="s">
        <v>338</v>
      </c>
      <c r="I50" s="2" t="s">
        <v>323</v>
      </c>
      <c r="J50" s="2" t="s">
        <v>511</v>
      </c>
      <c r="K50" s="2" t="s">
        <v>563</v>
      </c>
      <c r="L50" s="2" t="s">
        <v>564</v>
      </c>
    </row>
    <row r="51" customFormat="false" ht="15" hidden="false" customHeight="false" outlineLevel="0" collapsed="false">
      <c r="A51" s="2" t="s">
        <v>569</v>
      </c>
      <c r="B51" s="9" t="s">
        <v>570</v>
      </c>
      <c r="C51" s="2" t="s">
        <v>560</v>
      </c>
      <c r="D51" s="37" t="n">
        <v>10000</v>
      </c>
      <c r="E51" s="2" t="s">
        <v>18</v>
      </c>
      <c r="F51" s="2" t="s">
        <v>561</v>
      </c>
      <c r="G51" s="2" t="s">
        <v>562</v>
      </c>
      <c r="H51" s="2" t="s">
        <v>338</v>
      </c>
      <c r="I51" s="2" t="s">
        <v>323</v>
      </c>
      <c r="J51" s="2" t="s">
        <v>511</v>
      </c>
      <c r="K51" s="2" t="s">
        <v>563</v>
      </c>
      <c r="L51" s="2" t="s">
        <v>564</v>
      </c>
    </row>
    <row r="52" customFormat="false" ht="15" hidden="false" customHeight="false" outlineLevel="0" collapsed="false">
      <c r="A52" s="2" t="s">
        <v>571</v>
      </c>
      <c r="B52" s="9" t="s">
        <v>572</v>
      </c>
      <c r="C52" s="2" t="s">
        <v>573</v>
      </c>
      <c r="D52" s="37" t="n">
        <v>65000</v>
      </c>
      <c r="E52" s="2" t="s">
        <v>18</v>
      </c>
      <c r="F52" s="2" t="s">
        <v>561</v>
      </c>
      <c r="G52" s="2" t="s">
        <v>574</v>
      </c>
      <c r="H52" s="2" t="s">
        <v>338</v>
      </c>
      <c r="I52" s="2" t="s">
        <v>323</v>
      </c>
      <c r="J52" s="2" t="s">
        <v>511</v>
      </c>
      <c r="K52" s="2" t="s">
        <v>563</v>
      </c>
      <c r="L52" s="2" t="s">
        <v>564</v>
      </c>
    </row>
    <row r="53" customFormat="false" ht="15" hidden="false" customHeight="false" outlineLevel="0" collapsed="false">
      <c r="A53" s="2" t="s">
        <v>575</v>
      </c>
      <c r="B53" s="9" t="s">
        <v>576</v>
      </c>
      <c r="C53" s="2" t="s">
        <v>573</v>
      </c>
      <c r="D53" s="37" t="n">
        <v>71000</v>
      </c>
      <c r="E53" s="2" t="s">
        <v>18</v>
      </c>
      <c r="F53" s="2" t="s">
        <v>561</v>
      </c>
      <c r="G53" s="2" t="s">
        <v>574</v>
      </c>
      <c r="H53" s="2" t="s">
        <v>338</v>
      </c>
      <c r="I53" s="2" t="s">
        <v>323</v>
      </c>
      <c r="J53" s="2" t="s">
        <v>511</v>
      </c>
      <c r="K53" s="2" t="s">
        <v>563</v>
      </c>
      <c r="L53" s="2" t="s">
        <v>564</v>
      </c>
    </row>
    <row r="54" customFormat="false" ht="15" hidden="false" customHeight="false" outlineLevel="0" collapsed="false">
      <c r="A54" s="2" t="s">
        <v>577</v>
      </c>
      <c r="B54" s="9" t="s">
        <v>578</v>
      </c>
      <c r="C54" s="2" t="s">
        <v>579</v>
      </c>
      <c r="D54" s="37" t="n">
        <v>1000</v>
      </c>
      <c r="E54" s="2" t="s">
        <v>18</v>
      </c>
      <c r="F54" s="2" t="s">
        <v>580</v>
      </c>
      <c r="G54" s="2" t="s">
        <v>581</v>
      </c>
      <c r="H54" s="2" t="s">
        <v>338</v>
      </c>
      <c r="I54" s="2" t="s">
        <v>323</v>
      </c>
      <c r="J54" s="2" t="s">
        <v>324</v>
      </c>
      <c r="K54" s="2" t="s">
        <v>582</v>
      </c>
      <c r="L54" s="2" t="s">
        <v>359</v>
      </c>
    </row>
    <row r="55" customFormat="false" ht="15" hidden="false" customHeight="false" outlineLevel="0" collapsed="false">
      <c r="A55" s="2" t="s">
        <v>583</v>
      </c>
      <c r="B55" s="9" t="s">
        <v>584</v>
      </c>
      <c r="C55" s="2" t="s">
        <v>585</v>
      </c>
      <c r="D55" s="37" t="n">
        <v>-8300</v>
      </c>
      <c r="E55" s="2" t="s">
        <v>18</v>
      </c>
      <c r="F55" s="2" t="s">
        <v>580</v>
      </c>
      <c r="G55" s="2" t="s">
        <v>586</v>
      </c>
      <c r="H55" s="2" t="s">
        <v>338</v>
      </c>
      <c r="I55" s="2" t="s">
        <v>323</v>
      </c>
      <c r="J55" s="2" t="s">
        <v>324</v>
      </c>
      <c r="K55" s="2" t="s">
        <v>582</v>
      </c>
      <c r="L55" s="2" t="s">
        <v>587</v>
      </c>
    </row>
    <row r="56" customFormat="false" ht="15" hidden="false" customHeight="false" outlineLevel="0" collapsed="false">
      <c r="A56" s="2" t="s">
        <v>588</v>
      </c>
      <c r="B56" s="9" t="s">
        <v>589</v>
      </c>
      <c r="C56" s="2" t="s">
        <v>590</v>
      </c>
      <c r="D56" s="37" t="n">
        <v>-5300</v>
      </c>
      <c r="E56" s="2" t="s">
        <v>18</v>
      </c>
      <c r="F56" s="2" t="s">
        <v>580</v>
      </c>
      <c r="G56" s="2" t="s">
        <v>591</v>
      </c>
      <c r="H56" s="2" t="s">
        <v>496</v>
      </c>
      <c r="I56" s="2" t="s">
        <v>497</v>
      </c>
      <c r="J56" s="2" t="s">
        <v>324</v>
      </c>
      <c r="K56" s="2" t="s">
        <v>592</v>
      </c>
      <c r="L56" s="2" t="s">
        <v>587</v>
      </c>
    </row>
    <row r="57" customFormat="false" ht="15" hidden="false" customHeight="false" outlineLevel="0" collapsed="false">
      <c r="A57" s="2" t="s">
        <v>593</v>
      </c>
      <c r="B57" s="9" t="s">
        <v>594</v>
      </c>
      <c r="C57" s="2" t="s">
        <v>595</v>
      </c>
      <c r="D57" s="37" t="n">
        <v>10000</v>
      </c>
      <c r="E57" s="2" t="s">
        <v>18</v>
      </c>
      <c r="F57" s="2" t="s">
        <v>596</v>
      </c>
      <c r="G57" s="2" t="s">
        <v>597</v>
      </c>
      <c r="H57" s="2" t="s">
        <v>338</v>
      </c>
      <c r="I57" s="2" t="s">
        <v>323</v>
      </c>
      <c r="J57" s="2" t="s">
        <v>324</v>
      </c>
      <c r="K57" s="2" t="s">
        <v>598</v>
      </c>
      <c r="L57" s="2" t="s">
        <v>599</v>
      </c>
    </row>
    <row r="58" customFormat="false" ht="15" hidden="false" customHeight="false" outlineLevel="0" collapsed="false">
      <c r="A58" s="2" t="s">
        <v>600</v>
      </c>
      <c r="B58" s="9" t="s">
        <v>601</v>
      </c>
      <c r="C58" s="2" t="s">
        <v>602</v>
      </c>
      <c r="D58" s="37" t="n">
        <v>4500</v>
      </c>
      <c r="E58" s="2" t="s">
        <v>18</v>
      </c>
      <c r="F58" s="2" t="s">
        <v>596</v>
      </c>
      <c r="G58" s="2" t="s">
        <v>603</v>
      </c>
      <c r="H58" s="2" t="s">
        <v>496</v>
      </c>
      <c r="I58" s="2" t="s">
        <v>497</v>
      </c>
      <c r="J58" s="2" t="s">
        <v>324</v>
      </c>
      <c r="K58" s="2" t="s">
        <v>604</v>
      </c>
      <c r="L58" s="2" t="s">
        <v>599</v>
      </c>
    </row>
    <row r="59" customFormat="false" ht="15" hidden="false" customHeight="false" outlineLevel="0" collapsed="false">
      <c r="A59" s="2" t="s">
        <v>605</v>
      </c>
      <c r="B59" s="9" t="s">
        <v>606</v>
      </c>
      <c r="C59" s="2" t="s">
        <v>602</v>
      </c>
      <c r="D59" s="37" t="n">
        <v>6000</v>
      </c>
      <c r="E59" s="2" t="s">
        <v>18</v>
      </c>
      <c r="F59" s="2" t="s">
        <v>596</v>
      </c>
      <c r="G59" s="2" t="s">
        <v>603</v>
      </c>
      <c r="H59" s="2" t="s">
        <v>496</v>
      </c>
      <c r="I59" s="2" t="s">
        <v>497</v>
      </c>
      <c r="J59" s="2" t="s">
        <v>324</v>
      </c>
      <c r="K59" s="2" t="s">
        <v>604</v>
      </c>
      <c r="L59" s="2" t="s">
        <v>599</v>
      </c>
    </row>
    <row r="60" customFormat="false" ht="15" hidden="false" customHeight="false" outlineLevel="0" collapsed="false">
      <c r="A60" s="2" t="s">
        <v>607</v>
      </c>
      <c r="B60" s="9" t="s">
        <v>608</v>
      </c>
      <c r="C60" s="2" t="s">
        <v>609</v>
      </c>
      <c r="D60" s="43" t="n">
        <v>-0.94</v>
      </c>
      <c r="E60" s="2" t="s">
        <v>24</v>
      </c>
      <c r="F60" s="2" t="s">
        <v>610</v>
      </c>
      <c r="G60" s="2" t="s">
        <v>611</v>
      </c>
      <c r="H60" s="2" t="s">
        <v>496</v>
      </c>
      <c r="I60" s="2" t="s">
        <v>497</v>
      </c>
      <c r="J60" s="2" t="s">
        <v>324</v>
      </c>
      <c r="K60" s="2" t="s">
        <v>612</v>
      </c>
      <c r="L60" s="2" t="s">
        <v>613</v>
      </c>
    </row>
    <row r="61" customFormat="false" ht="15" hidden="false" customHeight="false" outlineLevel="0" collapsed="false">
      <c r="A61" s="2" t="s">
        <v>614</v>
      </c>
      <c r="B61" s="9" t="s">
        <v>615</v>
      </c>
      <c r="C61" s="2" t="s">
        <v>609</v>
      </c>
      <c r="D61" s="43" t="n">
        <v>0.4</v>
      </c>
      <c r="E61" s="2" t="s">
        <v>24</v>
      </c>
      <c r="F61" s="2" t="s">
        <v>610</v>
      </c>
      <c r="G61" s="2" t="s">
        <v>611</v>
      </c>
      <c r="H61" s="2" t="s">
        <v>496</v>
      </c>
      <c r="I61" s="2" t="s">
        <v>497</v>
      </c>
      <c r="J61" s="2" t="s">
        <v>324</v>
      </c>
      <c r="K61" s="2" t="s">
        <v>612</v>
      </c>
      <c r="L61" s="2" t="s">
        <v>613</v>
      </c>
    </row>
    <row r="62" customFormat="false" ht="15" hidden="false" customHeight="false" outlineLevel="0" collapsed="false">
      <c r="A62" s="2" t="s">
        <v>616</v>
      </c>
      <c r="B62" s="9" t="s">
        <v>617</v>
      </c>
      <c r="C62" s="2" t="s">
        <v>609</v>
      </c>
      <c r="D62" s="43" t="n">
        <v>0.44</v>
      </c>
      <c r="E62" s="2" t="s">
        <v>24</v>
      </c>
      <c r="F62" s="2" t="s">
        <v>610</v>
      </c>
      <c r="G62" s="2" t="s">
        <v>611</v>
      </c>
      <c r="H62" s="2" t="s">
        <v>496</v>
      </c>
      <c r="I62" s="2" t="s">
        <v>497</v>
      </c>
      <c r="J62" s="2" t="s">
        <v>324</v>
      </c>
      <c r="K62" s="2" t="s">
        <v>612</v>
      </c>
      <c r="L62" s="2" t="s">
        <v>613</v>
      </c>
    </row>
    <row r="63" customFormat="false" ht="15" hidden="false" customHeight="false" outlineLevel="0" collapsed="false">
      <c r="A63" s="2" t="s">
        <v>618</v>
      </c>
      <c r="B63" s="9" t="s">
        <v>619</v>
      </c>
      <c r="C63" s="2" t="s">
        <v>609</v>
      </c>
      <c r="D63" s="43" t="n">
        <v>0.6</v>
      </c>
      <c r="E63" s="2" t="s">
        <v>24</v>
      </c>
      <c r="F63" s="2" t="s">
        <v>610</v>
      </c>
      <c r="G63" s="2" t="s">
        <v>611</v>
      </c>
      <c r="H63" s="2" t="s">
        <v>496</v>
      </c>
      <c r="I63" s="2" t="s">
        <v>497</v>
      </c>
      <c r="J63" s="2" t="s">
        <v>324</v>
      </c>
      <c r="K63" s="2" t="s">
        <v>612</v>
      </c>
      <c r="L63" s="2" t="s">
        <v>613</v>
      </c>
    </row>
    <row r="64" customFormat="false" ht="15" hidden="false" customHeight="false" outlineLevel="0" collapsed="false">
      <c r="A64" s="2" t="s">
        <v>620</v>
      </c>
      <c r="B64" s="9" t="s">
        <v>621</v>
      </c>
      <c r="C64" s="2" t="s">
        <v>609</v>
      </c>
      <c r="D64" s="43" t="n">
        <v>0.63</v>
      </c>
      <c r="E64" s="2" t="s">
        <v>24</v>
      </c>
      <c r="F64" s="2" t="s">
        <v>610</v>
      </c>
      <c r="G64" s="2" t="s">
        <v>611</v>
      </c>
      <c r="H64" s="2" t="s">
        <v>496</v>
      </c>
      <c r="I64" s="2" t="s">
        <v>497</v>
      </c>
      <c r="J64" s="2" t="s">
        <v>324</v>
      </c>
      <c r="K64" s="2" t="s">
        <v>612</v>
      </c>
      <c r="L64" s="2" t="s">
        <v>613</v>
      </c>
    </row>
    <row r="65" customFormat="false" ht="15" hidden="false" customHeight="false" outlineLevel="0" collapsed="false">
      <c r="A65" s="2" t="s">
        <v>622</v>
      </c>
      <c r="B65" s="9" t="s">
        <v>623</v>
      </c>
      <c r="C65" s="2" t="s">
        <v>609</v>
      </c>
      <c r="D65" s="43" t="n">
        <v>0.77</v>
      </c>
      <c r="E65" s="2" t="s">
        <v>24</v>
      </c>
      <c r="F65" s="2" t="s">
        <v>610</v>
      </c>
      <c r="G65" s="2" t="s">
        <v>611</v>
      </c>
      <c r="H65" s="2" t="s">
        <v>496</v>
      </c>
      <c r="I65" s="2" t="s">
        <v>497</v>
      </c>
      <c r="J65" s="2" t="s">
        <v>324</v>
      </c>
      <c r="K65" s="2" t="s">
        <v>612</v>
      </c>
      <c r="L65" s="2" t="s">
        <v>613</v>
      </c>
    </row>
    <row r="66" customFormat="false" ht="15" hidden="false" customHeight="false" outlineLevel="0" collapsed="false">
      <c r="A66" s="2" t="s">
        <v>624</v>
      </c>
      <c r="B66" s="9" t="s">
        <v>625</v>
      </c>
      <c r="C66" s="2" t="s">
        <v>626</v>
      </c>
      <c r="D66" s="37" t="n">
        <v>7000</v>
      </c>
      <c r="E66" s="2" t="s">
        <v>14</v>
      </c>
      <c r="F66" s="2" t="s">
        <v>627</v>
      </c>
      <c r="G66" s="2" t="s">
        <v>628</v>
      </c>
      <c r="H66" s="2" t="s">
        <v>496</v>
      </c>
      <c r="I66" s="2" t="s">
        <v>497</v>
      </c>
      <c r="J66" s="2" t="s">
        <v>339</v>
      </c>
      <c r="K66" s="2" t="s">
        <v>629</v>
      </c>
      <c r="L66" s="2" t="s">
        <v>630</v>
      </c>
    </row>
    <row r="67" customFormat="false" ht="15" hidden="false" customHeight="false" outlineLevel="0" collapsed="false">
      <c r="A67" s="2" t="s">
        <v>631</v>
      </c>
      <c r="B67" s="9" t="s">
        <v>632</v>
      </c>
      <c r="C67" s="2" t="s">
        <v>626</v>
      </c>
      <c r="D67" s="37" t="n">
        <v>14000</v>
      </c>
      <c r="E67" s="2" t="s">
        <v>14</v>
      </c>
      <c r="F67" s="2" t="s">
        <v>627</v>
      </c>
      <c r="G67" s="2" t="s">
        <v>628</v>
      </c>
      <c r="H67" s="2" t="s">
        <v>496</v>
      </c>
      <c r="I67" s="2" t="s">
        <v>497</v>
      </c>
      <c r="J67" s="2" t="s">
        <v>339</v>
      </c>
      <c r="K67" s="2" t="s">
        <v>629</v>
      </c>
      <c r="L67" s="2" t="s">
        <v>630</v>
      </c>
    </row>
    <row r="68" customFormat="false" ht="15" hidden="false" customHeight="false" outlineLevel="0" collapsed="false">
      <c r="A68" s="2" t="s">
        <v>633</v>
      </c>
      <c r="B68" s="9" t="s">
        <v>634</v>
      </c>
      <c r="C68" s="2" t="s">
        <v>626</v>
      </c>
      <c r="D68" s="37" t="n">
        <v>22000</v>
      </c>
      <c r="E68" s="2" t="s">
        <v>14</v>
      </c>
      <c r="F68" s="2" t="s">
        <v>627</v>
      </c>
      <c r="G68" s="2" t="s">
        <v>628</v>
      </c>
      <c r="H68" s="2" t="s">
        <v>496</v>
      </c>
      <c r="I68" s="2" t="s">
        <v>497</v>
      </c>
      <c r="J68" s="2" t="s">
        <v>339</v>
      </c>
      <c r="K68" s="2" t="s">
        <v>629</v>
      </c>
      <c r="L68" s="2" t="s">
        <v>630</v>
      </c>
    </row>
    <row r="69" customFormat="false" ht="15" hidden="false" customHeight="false" outlineLevel="0" collapsed="false">
      <c r="A69" s="2" t="s">
        <v>635</v>
      </c>
      <c r="B69" s="9" t="s">
        <v>636</v>
      </c>
      <c r="C69" s="2" t="s">
        <v>637</v>
      </c>
      <c r="D69" s="37" t="n">
        <v>18000</v>
      </c>
      <c r="E69" s="2" t="s">
        <v>18</v>
      </c>
      <c r="F69" s="2" t="s">
        <v>638</v>
      </c>
      <c r="G69" s="2" t="s">
        <v>639</v>
      </c>
      <c r="H69" s="2" t="s">
        <v>496</v>
      </c>
      <c r="I69" s="2" t="s">
        <v>497</v>
      </c>
      <c r="J69" s="2" t="s">
        <v>324</v>
      </c>
      <c r="K69" s="2" t="s">
        <v>604</v>
      </c>
      <c r="L69" s="2" t="s">
        <v>640</v>
      </c>
    </row>
    <row r="70" customFormat="false" ht="15" hidden="false" customHeight="false" outlineLevel="0" collapsed="false">
      <c r="A70" s="2" t="s">
        <v>641</v>
      </c>
      <c r="B70" s="9" t="s">
        <v>642</v>
      </c>
      <c r="C70" s="2" t="s">
        <v>637</v>
      </c>
      <c r="D70" s="37" t="n">
        <v>55000</v>
      </c>
      <c r="E70" s="2" t="s">
        <v>18</v>
      </c>
      <c r="F70" s="2" t="s">
        <v>638</v>
      </c>
      <c r="G70" s="2" t="s">
        <v>639</v>
      </c>
      <c r="H70" s="2" t="s">
        <v>496</v>
      </c>
      <c r="I70" s="2" t="s">
        <v>497</v>
      </c>
      <c r="J70" s="2" t="s">
        <v>324</v>
      </c>
      <c r="K70" s="2" t="s">
        <v>604</v>
      </c>
      <c r="L70" s="2" t="s">
        <v>640</v>
      </c>
    </row>
    <row r="71" customFormat="false" ht="15" hidden="false" customHeight="false" outlineLevel="0" collapsed="false">
      <c r="A71" s="2" t="s">
        <v>643</v>
      </c>
      <c r="B71" s="9" t="s">
        <v>644</v>
      </c>
      <c r="C71" s="2" t="s">
        <v>637</v>
      </c>
      <c r="D71" s="37" t="n">
        <v>102000</v>
      </c>
      <c r="E71" s="2" t="s">
        <v>18</v>
      </c>
      <c r="F71" s="2" t="s">
        <v>638</v>
      </c>
      <c r="G71" s="2" t="s">
        <v>639</v>
      </c>
      <c r="H71" s="2" t="s">
        <v>496</v>
      </c>
      <c r="I71" s="2" t="s">
        <v>497</v>
      </c>
      <c r="J71" s="2" t="s">
        <v>324</v>
      </c>
      <c r="K71" s="2" t="s">
        <v>604</v>
      </c>
      <c r="L71" s="2" t="s">
        <v>640</v>
      </c>
    </row>
    <row r="72" customFormat="false" ht="15" hidden="false" customHeight="false" outlineLevel="0" collapsed="false">
      <c r="A72" s="2" t="s">
        <v>645</v>
      </c>
      <c r="B72" s="9" t="s">
        <v>646</v>
      </c>
      <c r="C72" s="2" t="s">
        <v>637</v>
      </c>
      <c r="D72" s="37" t="n">
        <v>148000</v>
      </c>
      <c r="E72" s="2" t="s">
        <v>18</v>
      </c>
      <c r="F72" s="2" t="s">
        <v>638</v>
      </c>
      <c r="G72" s="2" t="s">
        <v>639</v>
      </c>
      <c r="H72" s="2" t="s">
        <v>496</v>
      </c>
      <c r="I72" s="2" t="s">
        <v>497</v>
      </c>
      <c r="J72" s="2" t="s">
        <v>324</v>
      </c>
      <c r="K72" s="2" t="s">
        <v>604</v>
      </c>
      <c r="L72" s="2" t="s">
        <v>640</v>
      </c>
    </row>
    <row r="73" customFormat="false" ht="15" hidden="false" customHeight="false" outlineLevel="0" collapsed="false">
      <c r="A73" s="2" t="s">
        <v>647</v>
      </c>
      <c r="B73" s="9" t="s">
        <v>648</v>
      </c>
      <c r="C73" s="2" t="s">
        <v>637</v>
      </c>
      <c r="D73" s="37" t="n">
        <v>-11000</v>
      </c>
      <c r="E73" s="2" t="s">
        <v>18</v>
      </c>
      <c r="F73" s="2" t="s">
        <v>638</v>
      </c>
      <c r="G73" s="2" t="s">
        <v>639</v>
      </c>
      <c r="H73" s="2" t="s">
        <v>496</v>
      </c>
      <c r="I73" s="2" t="s">
        <v>497</v>
      </c>
      <c r="J73" s="2" t="s">
        <v>324</v>
      </c>
      <c r="K73" s="2" t="s">
        <v>604</v>
      </c>
      <c r="L73" s="2" t="s">
        <v>640</v>
      </c>
    </row>
    <row r="74" customFormat="false" ht="15" hidden="false" customHeight="false" outlineLevel="0" collapsed="false">
      <c r="A74" s="2" t="s">
        <v>649</v>
      </c>
      <c r="B74" s="9" t="s">
        <v>650</v>
      </c>
      <c r="C74" s="2" t="s">
        <v>637</v>
      </c>
      <c r="D74" s="37" t="n">
        <v>-11000</v>
      </c>
      <c r="E74" s="2" t="s">
        <v>18</v>
      </c>
      <c r="F74" s="2" t="s">
        <v>638</v>
      </c>
      <c r="G74" s="2" t="s">
        <v>639</v>
      </c>
      <c r="H74" s="2" t="s">
        <v>496</v>
      </c>
      <c r="I74" s="2" t="s">
        <v>497</v>
      </c>
      <c r="J74" s="2" t="s">
        <v>324</v>
      </c>
      <c r="K74" s="2" t="s">
        <v>604</v>
      </c>
      <c r="L74" s="2" t="s">
        <v>640</v>
      </c>
    </row>
    <row r="75" customFormat="false" ht="15" hidden="false" customHeight="false" outlineLevel="0" collapsed="false">
      <c r="A75" s="2" t="s">
        <v>651</v>
      </c>
      <c r="B75" s="9" t="s">
        <v>652</v>
      </c>
      <c r="C75" s="2" t="s">
        <v>637</v>
      </c>
      <c r="D75" s="37" t="n">
        <v>180000</v>
      </c>
      <c r="E75" s="2" t="s">
        <v>18</v>
      </c>
      <c r="F75" s="2" t="s">
        <v>638</v>
      </c>
      <c r="G75" s="2" t="s">
        <v>639</v>
      </c>
      <c r="H75" s="2" t="s">
        <v>496</v>
      </c>
      <c r="I75" s="2" t="s">
        <v>497</v>
      </c>
      <c r="J75" s="2" t="s">
        <v>324</v>
      </c>
      <c r="K75" s="2" t="s">
        <v>604</v>
      </c>
      <c r="L75" s="2" t="s">
        <v>640</v>
      </c>
    </row>
    <row r="76" customFormat="false" ht="15" hidden="false" customHeight="false" outlineLevel="0" collapsed="false">
      <c r="A76" s="2" t="s">
        <v>653</v>
      </c>
      <c r="B76" s="9" t="s">
        <v>654</v>
      </c>
      <c r="C76" s="2" t="s">
        <v>637</v>
      </c>
      <c r="D76" s="37" t="n">
        <v>5600</v>
      </c>
      <c r="E76" s="2" t="s">
        <v>18</v>
      </c>
      <c r="F76" s="2" t="s">
        <v>638</v>
      </c>
      <c r="G76" s="2" t="s">
        <v>639</v>
      </c>
      <c r="H76" s="2" t="s">
        <v>496</v>
      </c>
      <c r="I76" s="2" t="s">
        <v>497</v>
      </c>
      <c r="J76" s="2" t="s">
        <v>324</v>
      </c>
      <c r="K76" s="2" t="s">
        <v>604</v>
      </c>
      <c r="L76" s="2" t="s">
        <v>640</v>
      </c>
    </row>
    <row r="77" customFormat="false" ht="15" hidden="false" customHeight="false" outlineLevel="0" collapsed="false">
      <c r="A77" s="2" t="s">
        <v>655</v>
      </c>
      <c r="B77" s="9" t="s">
        <v>656</v>
      </c>
      <c r="C77" s="2" t="s">
        <v>657</v>
      </c>
      <c r="D77" s="40" t="n">
        <v>5000</v>
      </c>
      <c r="E77" s="2" t="s">
        <v>193</v>
      </c>
      <c r="F77" s="2" t="s">
        <v>658</v>
      </c>
      <c r="G77" s="2" t="s">
        <v>659</v>
      </c>
      <c r="H77" s="2" t="s">
        <v>322</v>
      </c>
      <c r="I77" s="2" t="s">
        <v>323</v>
      </c>
      <c r="J77" s="2" t="s">
        <v>324</v>
      </c>
      <c r="K77" s="2" t="s">
        <v>660</v>
      </c>
      <c r="L77" s="2" t="s">
        <v>661</v>
      </c>
    </row>
    <row r="78" customFormat="false" ht="15" hidden="false" customHeight="false" outlineLevel="0" collapsed="false">
      <c r="A78" s="2" t="s">
        <v>662</v>
      </c>
      <c r="B78" s="9" t="s">
        <v>663</v>
      </c>
      <c r="C78" s="2" t="s">
        <v>664</v>
      </c>
      <c r="D78" s="40" t="n">
        <v>4020</v>
      </c>
      <c r="E78" s="2" t="s">
        <v>193</v>
      </c>
      <c r="F78" s="2" t="s">
        <v>665</v>
      </c>
      <c r="G78" s="2" t="s">
        <v>666</v>
      </c>
      <c r="H78" s="2" t="s">
        <v>338</v>
      </c>
      <c r="I78" s="2" t="s">
        <v>497</v>
      </c>
      <c r="J78" s="2" t="s">
        <v>324</v>
      </c>
      <c r="K78" s="2" t="s">
        <v>667</v>
      </c>
      <c r="L78" s="2" t="s">
        <v>661</v>
      </c>
    </row>
    <row r="79" customFormat="false" ht="15" hidden="false" customHeight="false" outlineLevel="0" collapsed="false">
      <c r="A79" s="2" t="s">
        <v>668</v>
      </c>
      <c r="B79" s="9" t="s">
        <v>669</v>
      </c>
      <c r="C79" s="2" t="s">
        <v>670</v>
      </c>
      <c r="D79" s="37" t="n">
        <v>2500</v>
      </c>
      <c r="E79" s="2" t="s">
        <v>18</v>
      </c>
      <c r="F79" s="2" t="s">
        <v>671</v>
      </c>
      <c r="G79" s="2" t="s">
        <v>672</v>
      </c>
      <c r="H79" s="2" t="s">
        <v>322</v>
      </c>
      <c r="I79" s="2" t="s">
        <v>323</v>
      </c>
      <c r="J79" s="2" t="s">
        <v>339</v>
      </c>
      <c r="K79" s="2" t="s">
        <v>673</v>
      </c>
      <c r="L79" s="2" t="s">
        <v>526</v>
      </c>
    </row>
    <row r="80" customFormat="false" ht="15" hidden="false" customHeight="false" outlineLevel="0" collapsed="false">
      <c r="A80" s="2" t="s">
        <v>674</v>
      </c>
      <c r="B80" s="9" t="s">
        <v>675</v>
      </c>
      <c r="C80" s="2" t="s">
        <v>676</v>
      </c>
      <c r="D80" s="37" t="n">
        <v>15000</v>
      </c>
      <c r="E80" s="2" t="s">
        <v>18</v>
      </c>
      <c r="F80" s="2" t="s">
        <v>677</v>
      </c>
      <c r="G80" s="2" t="s">
        <v>678</v>
      </c>
      <c r="H80" s="2" t="s">
        <v>338</v>
      </c>
      <c r="I80" s="2" t="s">
        <v>426</v>
      </c>
      <c r="J80" s="2" t="s">
        <v>679</v>
      </c>
      <c r="K80" s="2" t="s">
        <v>680</v>
      </c>
      <c r="L80" s="2" t="s">
        <v>681</v>
      </c>
    </row>
    <row r="81" customFormat="false" ht="15" hidden="false" customHeight="false" outlineLevel="0" collapsed="false">
      <c r="A81" s="2" t="s">
        <v>682</v>
      </c>
      <c r="B81" s="9" t="s">
        <v>683</v>
      </c>
      <c r="C81" s="2" t="s">
        <v>684</v>
      </c>
      <c r="D81" s="44" t="s">
        <v>685</v>
      </c>
      <c r="E81" s="2" t="s">
        <v>686</v>
      </c>
      <c r="F81" s="2" t="s">
        <v>687</v>
      </c>
      <c r="G81" s="2" t="s">
        <v>688</v>
      </c>
      <c r="H81" s="2" t="s">
        <v>689</v>
      </c>
      <c r="I81" s="2" t="s">
        <v>426</v>
      </c>
      <c r="J81" s="2" t="s">
        <v>679</v>
      </c>
      <c r="K81" s="2" t="s">
        <v>690</v>
      </c>
      <c r="L81" s="2" t="s">
        <v>691</v>
      </c>
    </row>
    <row r="82" customFormat="false" ht="15" hidden="false" customHeight="false" outlineLevel="0" collapsed="false">
      <c r="A82" s="2" t="s">
        <v>692</v>
      </c>
      <c r="B82" s="9" t="s">
        <v>693</v>
      </c>
      <c r="C82" s="2" t="s">
        <v>694</v>
      </c>
      <c r="D82" s="37" t="n">
        <v>34500</v>
      </c>
      <c r="E82" s="2" t="s">
        <v>18</v>
      </c>
      <c r="F82" s="2" t="s">
        <v>695</v>
      </c>
      <c r="G82" s="2" t="s">
        <v>696</v>
      </c>
      <c r="H82" s="2" t="s">
        <v>338</v>
      </c>
      <c r="I82" s="2" t="s">
        <v>426</v>
      </c>
      <c r="J82" s="2" t="s">
        <v>339</v>
      </c>
      <c r="K82" s="2" t="s">
        <v>697</v>
      </c>
      <c r="L82" s="2" t="s">
        <v>698</v>
      </c>
    </row>
    <row r="83" customFormat="false" ht="15" hidden="false" customHeight="false" outlineLevel="0" collapsed="false">
      <c r="A83" s="2" t="s">
        <v>699</v>
      </c>
      <c r="B83" s="9" t="s">
        <v>700</v>
      </c>
      <c r="C83" s="2" t="s">
        <v>701</v>
      </c>
      <c r="D83" s="37" t="n">
        <v>30000</v>
      </c>
      <c r="E83" s="2" t="s">
        <v>18</v>
      </c>
      <c r="F83" s="2" t="s">
        <v>695</v>
      </c>
      <c r="G83" s="2" t="s">
        <v>702</v>
      </c>
      <c r="H83" s="2" t="s">
        <v>338</v>
      </c>
      <c r="I83" s="2" t="s">
        <v>426</v>
      </c>
      <c r="J83" s="2" t="s">
        <v>339</v>
      </c>
      <c r="K83" s="2" t="s">
        <v>697</v>
      </c>
      <c r="L83" s="2" t="s">
        <v>703</v>
      </c>
    </row>
    <row r="84" customFormat="false" ht="15" hidden="false" customHeight="false" outlineLevel="0" collapsed="false">
      <c r="A84" s="2" t="s">
        <v>704</v>
      </c>
      <c r="B84" s="9" t="s">
        <v>705</v>
      </c>
      <c r="C84" s="2" t="s">
        <v>701</v>
      </c>
      <c r="D84" s="37" t="n">
        <v>4500</v>
      </c>
      <c r="E84" s="2" t="s">
        <v>18</v>
      </c>
      <c r="F84" s="2" t="s">
        <v>695</v>
      </c>
      <c r="G84" s="2" t="s">
        <v>702</v>
      </c>
      <c r="H84" s="2" t="s">
        <v>338</v>
      </c>
      <c r="I84" s="2" t="s">
        <v>426</v>
      </c>
      <c r="J84" s="2" t="s">
        <v>339</v>
      </c>
      <c r="K84" s="2" t="s">
        <v>697</v>
      </c>
      <c r="L84" s="2" t="s">
        <v>703</v>
      </c>
    </row>
    <row r="85" customFormat="false" ht="15" hidden="false" customHeight="false" outlineLevel="0" collapsed="false">
      <c r="A85" s="2" t="s">
        <v>706</v>
      </c>
      <c r="B85" s="9" t="s">
        <v>707</v>
      </c>
      <c r="C85" s="2" t="s">
        <v>708</v>
      </c>
      <c r="D85" s="40" t="n">
        <v>5</v>
      </c>
      <c r="E85" s="2" t="s">
        <v>51</v>
      </c>
      <c r="F85" s="2" t="s">
        <v>695</v>
      </c>
      <c r="G85" s="2" t="s">
        <v>709</v>
      </c>
      <c r="H85" s="2" t="s">
        <v>338</v>
      </c>
      <c r="I85" s="2" t="s">
        <v>426</v>
      </c>
      <c r="J85" s="2" t="s">
        <v>339</v>
      </c>
      <c r="K85" s="2" t="s">
        <v>697</v>
      </c>
      <c r="L85" s="2" t="s">
        <v>436</v>
      </c>
    </row>
    <row r="86" customFormat="false" ht="15" hidden="false" customHeight="false" outlineLevel="0" collapsed="false">
      <c r="A86" s="2" t="s">
        <v>710</v>
      </c>
      <c r="B86" s="9" t="s">
        <v>711</v>
      </c>
      <c r="C86" s="2" t="s">
        <v>712</v>
      </c>
      <c r="D86" s="39" t="n">
        <v>1</v>
      </c>
      <c r="E86" s="2" t="s">
        <v>713</v>
      </c>
      <c r="F86" s="2" t="s">
        <v>695</v>
      </c>
      <c r="G86" s="2" t="s">
        <v>714</v>
      </c>
      <c r="H86" s="2" t="s">
        <v>338</v>
      </c>
      <c r="I86" s="2" t="s">
        <v>426</v>
      </c>
      <c r="J86" s="2" t="s">
        <v>339</v>
      </c>
      <c r="K86" s="2" t="s">
        <v>697</v>
      </c>
      <c r="L86" s="2" t="s">
        <v>715</v>
      </c>
    </row>
    <row r="87" customFormat="false" ht="15" hidden="false" customHeight="false" outlineLevel="0" collapsed="false">
      <c r="A87" s="2" t="s">
        <v>716</v>
      </c>
      <c r="B87" s="9" t="s">
        <v>717</v>
      </c>
      <c r="C87" s="2" t="s">
        <v>718</v>
      </c>
      <c r="D87" s="33" t="s">
        <v>719</v>
      </c>
      <c r="E87" s="2" t="s">
        <v>720</v>
      </c>
      <c r="F87" s="2" t="s">
        <v>721</v>
      </c>
      <c r="G87" s="2" t="s">
        <v>722</v>
      </c>
      <c r="H87" s="2" t="s">
        <v>338</v>
      </c>
      <c r="I87" s="2" t="s">
        <v>723</v>
      </c>
      <c r="J87" s="2" t="s">
        <v>339</v>
      </c>
      <c r="K87" s="2" t="s">
        <v>724</v>
      </c>
      <c r="L87" s="2" t="s">
        <v>703</v>
      </c>
    </row>
    <row r="88" customFormat="false" ht="15" hidden="false" customHeight="false" outlineLevel="0" collapsed="false">
      <c r="A88" s="2" t="s">
        <v>725</v>
      </c>
      <c r="B88" s="9" t="s">
        <v>726</v>
      </c>
      <c r="C88" s="2" t="s">
        <v>718</v>
      </c>
      <c r="D88" s="41" t="n">
        <v>0.0575</v>
      </c>
      <c r="E88" s="2" t="s">
        <v>24</v>
      </c>
      <c r="F88" s="2" t="s">
        <v>721</v>
      </c>
      <c r="G88" s="2" t="s">
        <v>722</v>
      </c>
      <c r="H88" s="2" t="s">
        <v>338</v>
      </c>
      <c r="I88" s="2" t="s">
        <v>723</v>
      </c>
      <c r="J88" s="2" t="s">
        <v>339</v>
      </c>
      <c r="K88" s="2" t="s">
        <v>724</v>
      </c>
      <c r="L88" s="2" t="s">
        <v>703</v>
      </c>
    </row>
    <row r="89" customFormat="false" ht="15" hidden="false" customHeight="false" outlineLevel="0" collapsed="false">
      <c r="A89" s="2" t="s">
        <v>727</v>
      </c>
      <c r="B89" s="9" t="s">
        <v>728</v>
      </c>
      <c r="C89" s="2" t="s">
        <v>718</v>
      </c>
      <c r="D89" s="41" t="n">
        <v>0.085</v>
      </c>
      <c r="E89" s="2" t="s">
        <v>24</v>
      </c>
      <c r="F89" s="2" t="s">
        <v>721</v>
      </c>
      <c r="G89" s="2" t="s">
        <v>722</v>
      </c>
      <c r="H89" s="2" t="s">
        <v>338</v>
      </c>
      <c r="I89" s="2" t="s">
        <v>723</v>
      </c>
      <c r="J89" s="2" t="s">
        <v>339</v>
      </c>
      <c r="K89" s="2" t="s">
        <v>724</v>
      </c>
      <c r="L89" s="2" t="s">
        <v>703</v>
      </c>
    </row>
    <row r="90" customFormat="false" ht="15" hidden="false" customHeight="false" outlineLevel="0" collapsed="false">
      <c r="A90" s="2" t="s">
        <v>729</v>
      </c>
      <c r="B90" s="9" t="s">
        <v>730</v>
      </c>
      <c r="C90" s="2" t="s">
        <v>731</v>
      </c>
      <c r="D90" s="37" t="n">
        <v>15200</v>
      </c>
      <c r="E90" s="2" t="s">
        <v>18</v>
      </c>
      <c r="F90" s="2" t="s">
        <v>721</v>
      </c>
      <c r="G90" s="2" t="s">
        <v>732</v>
      </c>
      <c r="H90" s="2" t="s">
        <v>338</v>
      </c>
      <c r="I90" s="2" t="s">
        <v>426</v>
      </c>
      <c r="J90" s="2" t="s">
        <v>339</v>
      </c>
      <c r="K90" s="2" t="s">
        <v>733</v>
      </c>
      <c r="L90" s="2" t="s">
        <v>436</v>
      </c>
    </row>
    <row r="91" customFormat="false" ht="15" hidden="false" customHeight="false" outlineLevel="0" collapsed="false">
      <c r="A91" s="2" t="s">
        <v>734</v>
      </c>
      <c r="B91" s="9" t="s">
        <v>735</v>
      </c>
      <c r="C91" s="2" t="s">
        <v>736</v>
      </c>
      <c r="D91" s="39" t="n">
        <v>1.43</v>
      </c>
      <c r="E91" s="2" t="s">
        <v>713</v>
      </c>
      <c r="F91" s="2" t="s">
        <v>721</v>
      </c>
      <c r="G91" s="2" t="s">
        <v>722</v>
      </c>
      <c r="H91" s="2" t="s">
        <v>338</v>
      </c>
      <c r="I91" s="2" t="s">
        <v>426</v>
      </c>
      <c r="J91" s="2" t="s">
        <v>339</v>
      </c>
      <c r="K91" s="2" t="s">
        <v>733</v>
      </c>
      <c r="L91" s="2" t="s">
        <v>436</v>
      </c>
    </row>
    <row r="92" customFormat="false" ht="15" hidden="false" customHeight="false" outlineLevel="0" collapsed="false">
      <c r="A92" s="2" t="s">
        <v>737</v>
      </c>
      <c r="B92" s="9" t="s">
        <v>738</v>
      </c>
      <c r="C92" s="2" t="s">
        <v>739</v>
      </c>
      <c r="D92" s="37" t="n">
        <v>1500</v>
      </c>
      <c r="E92" s="2" t="s">
        <v>18</v>
      </c>
      <c r="F92" s="2" t="s">
        <v>740</v>
      </c>
      <c r="G92" s="2" t="s">
        <v>741</v>
      </c>
      <c r="H92" s="2" t="s">
        <v>322</v>
      </c>
      <c r="I92" s="2" t="s">
        <v>323</v>
      </c>
      <c r="J92" s="2" t="s">
        <v>339</v>
      </c>
      <c r="K92" s="2" t="s">
        <v>742</v>
      </c>
      <c r="L92" s="2" t="s">
        <v>743</v>
      </c>
    </row>
    <row r="93" customFormat="false" ht="15" hidden="false" customHeight="false" outlineLevel="0" collapsed="false">
      <c r="A93" s="2" t="s">
        <v>744</v>
      </c>
      <c r="B93" s="9" t="s">
        <v>745</v>
      </c>
      <c r="C93" s="2" t="s">
        <v>746</v>
      </c>
      <c r="D93" s="37" t="n">
        <v>3000</v>
      </c>
      <c r="E93" s="2" t="s">
        <v>18</v>
      </c>
      <c r="F93" s="2" t="s">
        <v>747</v>
      </c>
      <c r="G93" s="2" t="s">
        <v>748</v>
      </c>
      <c r="H93" s="2" t="s">
        <v>322</v>
      </c>
      <c r="I93" s="2" t="s">
        <v>323</v>
      </c>
      <c r="J93" s="2" t="s">
        <v>339</v>
      </c>
      <c r="K93" s="2" t="s">
        <v>742</v>
      </c>
      <c r="L93" s="2" t="s">
        <v>749</v>
      </c>
    </row>
    <row r="94" customFormat="false" ht="15" hidden="false" customHeight="false" outlineLevel="0" collapsed="false">
      <c r="A94" s="2" t="s">
        <v>750</v>
      </c>
      <c r="B94" s="9" t="s">
        <v>751</v>
      </c>
      <c r="C94" s="2" t="s">
        <v>752</v>
      </c>
      <c r="D94" s="45" t="n">
        <v>1.38</v>
      </c>
      <c r="E94" s="2" t="s">
        <v>14</v>
      </c>
      <c r="F94" s="2" t="s">
        <v>753</v>
      </c>
      <c r="G94" s="2" t="s">
        <v>754</v>
      </c>
      <c r="H94" s="2" t="s">
        <v>338</v>
      </c>
      <c r="I94" s="2" t="s">
        <v>426</v>
      </c>
      <c r="J94" s="2" t="s">
        <v>324</v>
      </c>
      <c r="K94" s="2" t="s">
        <v>755</v>
      </c>
      <c r="L94" s="2" t="s">
        <v>756</v>
      </c>
    </row>
    <row r="95" customFormat="false" ht="15" hidden="false" customHeight="false" outlineLevel="0" collapsed="false">
      <c r="A95" s="2" t="s">
        <v>757</v>
      </c>
      <c r="B95" s="9" t="s">
        <v>758</v>
      </c>
      <c r="C95" s="2" t="s">
        <v>752</v>
      </c>
      <c r="D95" s="45" t="n">
        <v>1.12</v>
      </c>
      <c r="E95" s="2" t="s">
        <v>14</v>
      </c>
      <c r="F95" s="2" t="s">
        <v>753</v>
      </c>
      <c r="G95" s="2" t="s">
        <v>754</v>
      </c>
      <c r="H95" s="2" t="s">
        <v>338</v>
      </c>
      <c r="I95" s="2" t="s">
        <v>426</v>
      </c>
      <c r="J95" s="2" t="s">
        <v>324</v>
      </c>
      <c r="K95" s="2" t="s">
        <v>755</v>
      </c>
      <c r="L95" s="2" t="s">
        <v>756</v>
      </c>
    </row>
    <row r="96" customFormat="false" ht="15" hidden="false" customHeight="false" outlineLevel="0" collapsed="false">
      <c r="A96" s="2" t="s">
        <v>759</v>
      </c>
      <c r="B96" s="9" t="s">
        <v>760</v>
      </c>
      <c r="C96" s="2" t="s">
        <v>761</v>
      </c>
      <c r="D96" s="45" t="n">
        <v>0.134</v>
      </c>
      <c r="E96" s="2" t="s">
        <v>14</v>
      </c>
      <c r="F96" s="2" t="s">
        <v>753</v>
      </c>
      <c r="G96" s="2" t="s">
        <v>762</v>
      </c>
      <c r="H96" s="2" t="s">
        <v>338</v>
      </c>
      <c r="I96" s="2" t="s">
        <v>426</v>
      </c>
      <c r="J96" s="2" t="s">
        <v>324</v>
      </c>
      <c r="K96" s="2" t="s">
        <v>755</v>
      </c>
      <c r="L96" s="2" t="s">
        <v>756</v>
      </c>
    </row>
    <row r="97" customFormat="false" ht="15" hidden="false" customHeight="false" outlineLevel="0" collapsed="false">
      <c r="A97" s="2" t="s">
        <v>763</v>
      </c>
      <c r="B97" s="9" t="s">
        <v>764</v>
      </c>
      <c r="C97" s="2" t="s">
        <v>761</v>
      </c>
      <c r="D97" s="45" t="n">
        <v>0.85</v>
      </c>
      <c r="E97" s="2" t="s">
        <v>14</v>
      </c>
      <c r="F97" s="2" t="s">
        <v>753</v>
      </c>
      <c r="G97" s="2" t="s">
        <v>762</v>
      </c>
      <c r="H97" s="2" t="s">
        <v>338</v>
      </c>
      <c r="I97" s="2" t="s">
        <v>426</v>
      </c>
      <c r="J97" s="2" t="s">
        <v>324</v>
      </c>
      <c r="K97" s="2" t="s">
        <v>755</v>
      </c>
      <c r="L97" s="2" t="s">
        <v>756</v>
      </c>
    </row>
    <row r="98" customFormat="false" ht="15" hidden="false" customHeight="false" outlineLevel="0" collapsed="false">
      <c r="A98" s="2" t="s">
        <v>765</v>
      </c>
      <c r="B98" s="9" t="s">
        <v>766</v>
      </c>
      <c r="C98" s="2" t="s">
        <v>761</v>
      </c>
      <c r="D98" s="45" t="n">
        <v>0.5</v>
      </c>
      <c r="E98" s="2" t="s">
        <v>14</v>
      </c>
      <c r="F98" s="2" t="s">
        <v>753</v>
      </c>
      <c r="G98" s="2" t="s">
        <v>762</v>
      </c>
      <c r="H98" s="2" t="s">
        <v>338</v>
      </c>
      <c r="I98" s="2" t="s">
        <v>426</v>
      </c>
      <c r="J98" s="2" t="s">
        <v>324</v>
      </c>
      <c r="K98" s="2" t="s">
        <v>755</v>
      </c>
      <c r="L98" s="2" t="s">
        <v>756</v>
      </c>
    </row>
    <row r="99" customFormat="false" ht="15" hidden="false" customHeight="false" outlineLevel="0" collapsed="false">
      <c r="A99" s="2" t="s">
        <v>767</v>
      </c>
      <c r="B99" s="9" t="s">
        <v>768</v>
      </c>
      <c r="C99" s="2" t="s">
        <v>761</v>
      </c>
      <c r="D99" s="45" t="n">
        <v>0.385</v>
      </c>
      <c r="E99" s="2" t="s">
        <v>14</v>
      </c>
      <c r="F99" s="2" t="s">
        <v>753</v>
      </c>
      <c r="G99" s="2" t="s">
        <v>762</v>
      </c>
      <c r="H99" s="2" t="s">
        <v>338</v>
      </c>
      <c r="I99" s="2" t="s">
        <v>426</v>
      </c>
      <c r="J99" s="2" t="s">
        <v>324</v>
      </c>
      <c r="K99" s="2" t="s">
        <v>755</v>
      </c>
      <c r="L99" s="2" t="s">
        <v>756</v>
      </c>
    </row>
    <row r="100" customFormat="false" ht="15" hidden="false" customHeight="false" outlineLevel="0" collapsed="false">
      <c r="A100" s="2" t="s">
        <v>769</v>
      </c>
      <c r="B100" s="9" t="s">
        <v>770</v>
      </c>
      <c r="C100" s="2" t="s">
        <v>771</v>
      </c>
      <c r="D100" s="45" t="n">
        <v>0.3</v>
      </c>
      <c r="E100" s="2" t="s">
        <v>14</v>
      </c>
      <c r="F100" s="2" t="s">
        <v>753</v>
      </c>
      <c r="G100" s="2" t="s">
        <v>772</v>
      </c>
      <c r="H100" s="2" t="s">
        <v>338</v>
      </c>
      <c r="I100" s="2" t="s">
        <v>497</v>
      </c>
      <c r="J100" s="2" t="s">
        <v>324</v>
      </c>
      <c r="K100" s="2" t="s">
        <v>773</v>
      </c>
      <c r="L100" s="2" t="s">
        <v>756</v>
      </c>
    </row>
    <row r="101" customFormat="false" ht="15" hidden="false" customHeight="false" outlineLevel="0" collapsed="false">
      <c r="A101" s="2" t="s">
        <v>774</v>
      </c>
      <c r="B101" s="9" t="s">
        <v>775</v>
      </c>
      <c r="C101" s="2" t="s">
        <v>771</v>
      </c>
      <c r="D101" s="45" t="n">
        <v>0.76</v>
      </c>
      <c r="E101" s="2" t="s">
        <v>14</v>
      </c>
      <c r="F101" s="2" t="s">
        <v>753</v>
      </c>
      <c r="G101" s="2" t="s">
        <v>772</v>
      </c>
      <c r="H101" s="2" t="s">
        <v>338</v>
      </c>
      <c r="I101" s="2" t="s">
        <v>497</v>
      </c>
      <c r="J101" s="2" t="s">
        <v>324</v>
      </c>
      <c r="K101" s="2" t="s">
        <v>773</v>
      </c>
      <c r="L101" s="2" t="s">
        <v>756</v>
      </c>
    </row>
    <row r="102" customFormat="false" ht="15" hidden="false" customHeight="false" outlineLevel="0" collapsed="false">
      <c r="A102" s="2" t="s">
        <v>776</v>
      </c>
      <c r="B102" s="9" t="s">
        <v>777</v>
      </c>
      <c r="C102" s="2" t="s">
        <v>778</v>
      </c>
      <c r="D102" s="40" t="n">
        <v>80</v>
      </c>
      <c r="E102" s="2" t="s">
        <v>779</v>
      </c>
      <c r="F102" s="2" t="s">
        <v>753</v>
      </c>
      <c r="G102" s="2" t="s">
        <v>780</v>
      </c>
      <c r="H102" s="2" t="s">
        <v>338</v>
      </c>
      <c r="I102" s="2" t="s">
        <v>426</v>
      </c>
      <c r="J102" s="2" t="s">
        <v>324</v>
      </c>
      <c r="K102" s="2" t="s">
        <v>755</v>
      </c>
      <c r="L102" s="2" t="s">
        <v>749</v>
      </c>
    </row>
    <row r="103" customFormat="false" ht="15" hidden="false" customHeight="false" outlineLevel="0" collapsed="false">
      <c r="A103" s="2" t="s">
        <v>781</v>
      </c>
      <c r="B103" s="9" t="s">
        <v>782</v>
      </c>
      <c r="C103" s="2" t="s">
        <v>783</v>
      </c>
      <c r="D103" s="37" t="n">
        <v>65000</v>
      </c>
      <c r="E103" s="2" t="s">
        <v>18</v>
      </c>
      <c r="F103" s="2" t="s">
        <v>336</v>
      </c>
      <c r="G103" s="2" t="s">
        <v>784</v>
      </c>
      <c r="H103" s="2" t="s">
        <v>322</v>
      </c>
      <c r="I103" s="2" t="s">
        <v>434</v>
      </c>
      <c r="J103" s="2" t="s">
        <v>339</v>
      </c>
      <c r="K103" s="2" t="s">
        <v>785</v>
      </c>
      <c r="L103" s="2" t="s">
        <v>526</v>
      </c>
    </row>
    <row r="104" customFormat="false" ht="15" hidden="false" customHeight="false" outlineLevel="0" collapsed="false">
      <c r="A104" s="2" t="s">
        <v>786</v>
      </c>
      <c r="B104" s="9" t="s">
        <v>787</v>
      </c>
      <c r="C104" s="2" t="s">
        <v>783</v>
      </c>
      <c r="D104" s="37" t="n">
        <v>15000</v>
      </c>
      <c r="E104" s="2" t="s">
        <v>18</v>
      </c>
      <c r="F104" s="2" t="s">
        <v>336</v>
      </c>
      <c r="G104" s="2" t="s">
        <v>784</v>
      </c>
      <c r="H104" s="2" t="s">
        <v>322</v>
      </c>
      <c r="I104" s="2" t="s">
        <v>434</v>
      </c>
      <c r="J104" s="2" t="s">
        <v>339</v>
      </c>
      <c r="K104" s="2" t="s">
        <v>785</v>
      </c>
      <c r="L104" s="2" t="s">
        <v>526</v>
      </c>
    </row>
    <row r="105" customFormat="false" ht="15" hidden="false" customHeight="false" outlineLevel="0" collapsed="false">
      <c r="A105" s="2" t="s">
        <v>788</v>
      </c>
      <c r="B105" s="9" t="s">
        <v>789</v>
      </c>
      <c r="C105" s="2" t="s">
        <v>783</v>
      </c>
      <c r="D105" s="37" t="n">
        <v>5000</v>
      </c>
      <c r="E105" s="2" t="s">
        <v>18</v>
      </c>
      <c r="F105" s="2" t="s">
        <v>336</v>
      </c>
      <c r="G105" s="2" t="s">
        <v>784</v>
      </c>
      <c r="H105" s="2" t="s">
        <v>322</v>
      </c>
      <c r="I105" s="2" t="s">
        <v>434</v>
      </c>
      <c r="J105" s="2" t="s">
        <v>339</v>
      </c>
      <c r="K105" s="2" t="s">
        <v>785</v>
      </c>
      <c r="L105" s="2" t="s">
        <v>526</v>
      </c>
    </row>
    <row r="106" customFormat="false" ht="15" hidden="false" customHeight="false" outlineLevel="0" collapsed="false">
      <c r="A106" s="2" t="s">
        <v>790</v>
      </c>
      <c r="B106" s="9" t="s">
        <v>791</v>
      </c>
      <c r="C106" s="2" t="s">
        <v>792</v>
      </c>
      <c r="D106" s="37" t="n">
        <v>20000</v>
      </c>
      <c r="E106" s="2" t="s">
        <v>18</v>
      </c>
      <c r="F106" s="2" t="s">
        <v>793</v>
      </c>
      <c r="G106" s="2" t="s">
        <v>794</v>
      </c>
      <c r="H106" s="2" t="s">
        <v>322</v>
      </c>
      <c r="I106" s="2" t="s">
        <v>434</v>
      </c>
      <c r="J106" s="2" t="s">
        <v>339</v>
      </c>
      <c r="K106" s="2" t="s">
        <v>795</v>
      </c>
      <c r="L106" s="2" t="s">
        <v>796</v>
      </c>
    </row>
    <row r="107" customFormat="false" ht="15" hidden="false" customHeight="false" outlineLevel="0" collapsed="false">
      <c r="A107" s="2" t="s">
        <v>797</v>
      </c>
      <c r="B107" s="9" t="s">
        <v>798</v>
      </c>
      <c r="C107" s="2" t="s">
        <v>799</v>
      </c>
      <c r="D107" s="37" t="n">
        <v>30000</v>
      </c>
      <c r="E107" s="2" t="s">
        <v>18</v>
      </c>
      <c r="F107" s="2" t="s">
        <v>800</v>
      </c>
      <c r="G107" s="2" t="s">
        <v>801</v>
      </c>
      <c r="H107" s="2" t="s">
        <v>322</v>
      </c>
      <c r="I107" s="2" t="s">
        <v>323</v>
      </c>
      <c r="J107" s="2" t="s">
        <v>339</v>
      </c>
      <c r="K107" s="2" t="s">
        <v>802</v>
      </c>
      <c r="L107" s="2" t="s">
        <v>796</v>
      </c>
    </row>
    <row r="108" customFormat="false" ht="15" hidden="false" customHeight="false" outlineLevel="0" collapsed="false">
      <c r="A108" s="2" t="s">
        <v>803</v>
      </c>
      <c r="B108" s="9" t="s">
        <v>804</v>
      </c>
      <c r="C108" s="2" t="s">
        <v>805</v>
      </c>
      <c r="D108" s="37" t="n">
        <v>5000</v>
      </c>
      <c r="E108" s="2" t="s">
        <v>18</v>
      </c>
      <c r="F108" s="2" t="s">
        <v>412</v>
      </c>
      <c r="G108" s="2" t="s">
        <v>806</v>
      </c>
      <c r="H108" s="2" t="s">
        <v>322</v>
      </c>
      <c r="I108" s="2" t="s">
        <v>434</v>
      </c>
      <c r="J108" s="2" t="s">
        <v>339</v>
      </c>
      <c r="K108" s="2" t="s">
        <v>807</v>
      </c>
      <c r="L108" s="2" t="s">
        <v>796</v>
      </c>
    </row>
    <row r="109" customFormat="false" ht="15" hidden="false" customHeight="false" outlineLevel="0" collapsed="false">
      <c r="A109" s="2" t="s">
        <v>808</v>
      </c>
      <c r="B109" s="9" t="s">
        <v>809</v>
      </c>
      <c r="C109" s="2" t="s">
        <v>810</v>
      </c>
      <c r="D109" s="39" t="n">
        <v>10</v>
      </c>
      <c r="E109" s="2" t="s">
        <v>811</v>
      </c>
      <c r="F109" s="2" t="s">
        <v>687</v>
      </c>
      <c r="G109" s="2" t="s">
        <v>812</v>
      </c>
      <c r="H109" s="2" t="s">
        <v>322</v>
      </c>
      <c r="I109" s="2" t="s">
        <v>434</v>
      </c>
      <c r="J109" s="2" t="s">
        <v>483</v>
      </c>
      <c r="K109" s="2" t="s">
        <v>813</v>
      </c>
      <c r="L109" s="2" t="s">
        <v>814</v>
      </c>
    </row>
    <row r="110" customFormat="false" ht="15" hidden="false" customHeight="false" outlineLevel="0" collapsed="false">
      <c r="A110" s="2" t="s">
        <v>815</v>
      </c>
      <c r="B110" s="9" t="s">
        <v>816</v>
      </c>
      <c r="C110" s="2" t="s">
        <v>810</v>
      </c>
      <c r="D110" s="39" t="n">
        <v>50</v>
      </c>
      <c r="E110" s="2" t="s">
        <v>811</v>
      </c>
      <c r="F110" s="2" t="s">
        <v>687</v>
      </c>
      <c r="G110" s="2" t="s">
        <v>812</v>
      </c>
      <c r="H110" s="2" t="s">
        <v>322</v>
      </c>
      <c r="I110" s="2" t="s">
        <v>434</v>
      </c>
      <c r="J110" s="2" t="s">
        <v>483</v>
      </c>
      <c r="K110" s="2" t="s">
        <v>813</v>
      </c>
      <c r="L110" s="2" t="s">
        <v>814</v>
      </c>
    </row>
    <row r="111" customFormat="false" ht="15" hidden="false" customHeight="false" outlineLevel="0" collapsed="false">
      <c r="A111" s="2" t="s">
        <v>817</v>
      </c>
      <c r="B111" s="9" t="s">
        <v>818</v>
      </c>
      <c r="C111" s="2" t="s">
        <v>810</v>
      </c>
      <c r="D111" s="39" t="n">
        <v>5</v>
      </c>
      <c r="E111" s="2" t="s">
        <v>811</v>
      </c>
      <c r="F111" s="2" t="s">
        <v>687</v>
      </c>
      <c r="G111" s="2" t="s">
        <v>812</v>
      </c>
      <c r="H111" s="2" t="s">
        <v>322</v>
      </c>
      <c r="I111" s="2" t="s">
        <v>434</v>
      </c>
      <c r="J111" s="2" t="s">
        <v>483</v>
      </c>
      <c r="K111" s="2" t="s">
        <v>813</v>
      </c>
      <c r="L111" s="2" t="s">
        <v>814</v>
      </c>
    </row>
    <row r="112" customFormat="false" ht="15" hidden="false" customHeight="false" outlineLevel="0" collapsed="false">
      <c r="A112" s="2" t="s">
        <v>819</v>
      </c>
      <c r="B112" s="9" t="s">
        <v>820</v>
      </c>
      <c r="C112" s="2" t="s">
        <v>810</v>
      </c>
      <c r="D112" s="39" t="n">
        <v>25</v>
      </c>
      <c r="E112" s="2" t="s">
        <v>811</v>
      </c>
      <c r="F112" s="2" t="s">
        <v>687</v>
      </c>
      <c r="G112" s="2" t="s">
        <v>812</v>
      </c>
      <c r="H112" s="2" t="s">
        <v>322</v>
      </c>
      <c r="I112" s="2" t="s">
        <v>434</v>
      </c>
      <c r="J112" s="2" t="s">
        <v>483</v>
      </c>
      <c r="K112" s="2" t="s">
        <v>813</v>
      </c>
      <c r="L112" s="2" t="s">
        <v>814</v>
      </c>
    </row>
    <row r="113" customFormat="false" ht="15" hidden="false" customHeight="false" outlineLevel="0" collapsed="false">
      <c r="A113" s="2" t="s">
        <v>821</v>
      </c>
      <c r="B113" s="9" t="s">
        <v>822</v>
      </c>
      <c r="C113" s="2" t="s">
        <v>810</v>
      </c>
      <c r="D113" s="39" t="n">
        <v>2</v>
      </c>
      <c r="E113" s="2" t="s">
        <v>811</v>
      </c>
      <c r="F113" s="2" t="s">
        <v>687</v>
      </c>
      <c r="G113" s="2" t="s">
        <v>812</v>
      </c>
      <c r="H113" s="2" t="s">
        <v>322</v>
      </c>
      <c r="I113" s="2" t="s">
        <v>434</v>
      </c>
      <c r="J113" s="2" t="s">
        <v>483</v>
      </c>
      <c r="K113" s="2" t="s">
        <v>813</v>
      </c>
      <c r="L113" s="2" t="s">
        <v>814</v>
      </c>
    </row>
    <row r="114" customFormat="false" ht="15" hidden="false" customHeight="false" outlineLevel="0" collapsed="false">
      <c r="A114" s="2" t="s">
        <v>823</v>
      </c>
      <c r="B114" s="9" t="s">
        <v>824</v>
      </c>
      <c r="C114" s="2" t="s">
        <v>810</v>
      </c>
      <c r="D114" s="39" t="n">
        <v>10</v>
      </c>
      <c r="E114" s="2" t="s">
        <v>811</v>
      </c>
      <c r="F114" s="2" t="s">
        <v>687</v>
      </c>
      <c r="G114" s="2" t="s">
        <v>812</v>
      </c>
      <c r="H114" s="2" t="s">
        <v>322</v>
      </c>
      <c r="I114" s="2" t="s">
        <v>434</v>
      </c>
      <c r="J114" s="2" t="s">
        <v>483</v>
      </c>
      <c r="K114" s="2" t="s">
        <v>813</v>
      </c>
      <c r="L114" s="2" t="s">
        <v>814</v>
      </c>
    </row>
    <row r="115" customFormat="false" ht="15" hidden="false" customHeight="false" outlineLevel="0" collapsed="false">
      <c r="A115" s="2" t="s">
        <v>825</v>
      </c>
      <c r="B115" s="9" t="s">
        <v>826</v>
      </c>
      <c r="C115" s="2" t="s">
        <v>810</v>
      </c>
      <c r="D115" s="39" t="n">
        <v>1</v>
      </c>
      <c r="E115" s="2" t="s">
        <v>811</v>
      </c>
      <c r="F115" s="2" t="s">
        <v>687</v>
      </c>
      <c r="G115" s="2" t="s">
        <v>812</v>
      </c>
      <c r="H115" s="2" t="s">
        <v>322</v>
      </c>
      <c r="I115" s="2" t="s">
        <v>434</v>
      </c>
      <c r="J115" s="2" t="s">
        <v>483</v>
      </c>
      <c r="K115" s="2" t="s">
        <v>813</v>
      </c>
      <c r="L115" s="2" t="s">
        <v>814</v>
      </c>
    </row>
    <row r="116" customFormat="false" ht="15" hidden="false" customHeight="false" outlineLevel="0" collapsed="false">
      <c r="A116" s="2" t="s">
        <v>827</v>
      </c>
      <c r="B116" s="9" t="s">
        <v>828</v>
      </c>
      <c r="C116" s="2" t="s">
        <v>810</v>
      </c>
      <c r="D116" s="39" t="n">
        <v>5</v>
      </c>
      <c r="E116" s="2" t="s">
        <v>811</v>
      </c>
      <c r="F116" s="2" t="s">
        <v>687</v>
      </c>
      <c r="G116" s="2" t="s">
        <v>812</v>
      </c>
      <c r="H116" s="2" t="s">
        <v>322</v>
      </c>
      <c r="I116" s="2" t="s">
        <v>434</v>
      </c>
      <c r="J116" s="2" t="s">
        <v>483</v>
      </c>
      <c r="K116" s="2" t="s">
        <v>813</v>
      </c>
      <c r="L116" s="2" t="s">
        <v>814</v>
      </c>
    </row>
    <row r="117" customFormat="false" ht="15" hidden="false" customHeight="false" outlineLevel="0" collapsed="false">
      <c r="A117" s="2" t="s">
        <v>829</v>
      </c>
      <c r="B117" s="9" t="s">
        <v>830</v>
      </c>
      <c r="C117" s="2" t="s">
        <v>810</v>
      </c>
      <c r="D117" s="39" t="n">
        <v>2</v>
      </c>
      <c r="E117" s="2" t="s">
        <v>811</v>
      </c>
      <c r="F117" s="2" t="s">
        <v>687</v>
      </c>
      <c r="G117" s="2" t="s">
        <v>812</v>
      </c>
      <c r="H117" s="2" t="s">
        <v>322</v>
      </c>
      <c r="I117" s="2" t="s">
        <v>434</v>
      </c>
      <c r="J117" s="2" t="s">
        <v>483</v>
      </c>
      <c r="K117" s="2" t="s">
        <v>813</v>
      </c>
      <c r="L117" s="2" t="s">
        <v>814</v>
      </c>
    </row>
    <row r="118" customFormat="false" ht="15" hidden="false" customHeight="false" outlineLevel="0" collapsed="false">
      <c r="A118" s="2" t="s">
        <v>831</v>
      </c>
      <c r="B118" s="9" t="s">
        <v>832</v>
      </c>
      <c r="C118" s="2" t="s">
        <v>810</v>
      </c>
      <c r="D118" s="39" t="n">
        <v>0.25</v>
      </c>
      <c r="E118" s="2" t="s">
        <v>811</v>
      </c>
      <c r="F118" s="2" t="s">
        <v>687</v>
      </c>
      <c r="G118" s="2" t="s">
        <v>812</v>
      </c>
      <c r="H118" s="2" t="s">
        <v>322</v>
      </c>
      <c r="I118" s="2" t="s">
        <v>434</v>
      </c>
      <c r="J118" s="2" t="s">
        <v>483</v>
      </c>
      <c r="K118" s="2" t="s">
        <v>813</v>
      </c>
      <c r="L118" s="2" t="s">
        <v>814</v>
      </c>
    </row>
    <row r="119" customFormat="false" ht="15" hidden="false" customHeight="false" outlineLevel="0" collapsed="false">
      <c r="A119" s="2" t="s">
        <v>833</v>
      </c>
      <c r="B119" s="9" t="s">
        <v>834</v>
      </c>
      <c r="C119" s="2" t="s">
        <v>835</v>
      </c>
      <c r="D119" s="18" t="n">
        <v>0.71</v>
      </c>
      <c r="E119" s="2" t="s">
        <v>836</v>
      </c>
      <c r="F119" s="2" t="s">
        <v>376</v>
      </c>
      <c r="G119" s="2" t="s">
        <v>837</v>
      </c>
      <c r="H119" s="2" t="s">
        <v>338</v>
      </c>
      <c r="I119" s="2" t="s">
        <v>497</v>
      </c>
      <c r="J119" s="2" t="s">
        <v>324</v>
      </c>
      <c r="K119" s="2" t="s">
        <v>838</v>
      </c>
      <c r="L119" s="2" t="s">
        <v>839</v>
      </c>
    </row>
    <row r="120" customFormat="false" ht="15" hidden="false" customHeight="false" outlineLevel="0" collapsed="false">
      <c r="A120" s="2" t="s">
        <v>840</v>
      </c>
      <c r="B120" s="9" t="s">
        <v>841</v>
      </c>
      <c r="C120" s="2" t="s">
        <v>842</v>
      </c>
      <c r="D120" s="18" t="n">
        <v>0.56</v>
      </c>
      <c r="E120" s="2" t="s">
        <v>836</v>
      </c>
      <c r="F120" s="2" t="s">
        <v>351</v>
      </c>
      <c r="G120" s="2" t="s">
        <v>837</v>
      </c>
      <c r="H120" s="2" t="s">
        <v>338</v>
      </c>
      <c r="I120" s="2" t="s">
        <v>497</v>
      </c>
      <c r="J120" s="2" t="s">
        <v>324</v>
      </c>
      <c r="K120" s="2" t="s">
        <v>838</v>
      </c>
      <c r="L120" s="2" t="s">
        <v>839</v>
      </c>
    </row>
    <row r="121" customFormat="false" ht="15" hidden="false" customHeight="false" outlineLevel="0" collapsed="false">
      <c r="A121" s="2" t="s">
        <v>843</v>
      </c>
      <c r="B121" s="9" t="s">
        <v>844</v>
      </c>
      <c r="C121" s="2" t="s">
        <v>845</v>
      </c>
      <c r="D121" s="12" t="n">
        <v>200000</v>
      </c>
      <c r="E121" s="2" t="s">
        <v>18</v>
      </c>
      <c r="F121" s="2" t="s">
        <v>405</v>
      </c>
      <c r="G121" s="2" t="s">
        <v>846</v>
      </c>
      <c r="H121" s="2" t="s">
        <v>338</v>
      </c>
      <c r="I121" s="2" t="s">
        <v>847</v>
      </c>
      <c r="J121" s="2" t="s">
        <v>339</v>
      </c>
      <c r="K121" s="2" t="s">
        <v>848</v>
      </c>
      <c r="L121" s="2" t="s">
        <v>849</v>
      </c>
    </row>
    <row r="122" customFormat="false" ht="15" hidden="false" customHeight="false" outlineLevel="0" collapsed="false">
      <c r="A122" s="2" t="s">
        <v>850</v>
      </c>
      <c r="B122" s="9" t="s">
        <v>851</v>
      </c>
      <c r="C122" s="2" t="s">
        <v>852</v>
      </c>
      <c r="D122" s="20" t="n">
        <v>5</v>
      </c>
      <c r="E122" s="2" t="s">
        <v>51</v>
      </c>
      <c r="F122" s="2" t="s">
        <v>405</v>
      </c>
      <c r="G122" s="2" t="s">
        <v>853</v>
      </c>
      <c r="H122" s="2" t="s">
        <v>338</v>
      </c>
      <c r="I122" s="2" t="s">
        <v>847</v>
      </c>
      <c r="J122" s="2" t="s">
        <v>339</v>
      </c>
      <c r="K122" s="2" t="s">
        <v>848</v>
      </c>
      <c r="L122" s="2" t="s">
        <v>428</v>
      </c>
    </row>
    <row r="123" customFormat="false" ht="15" hidden="false" customHeight="false" outlineLevel="0" collapsed="false">
      <c r="A123" s="2" t="s">
        <v>854</v>
      </c>
      <c r="B123" s="9" t="s">
        <v>855</v>
      </c>
      <c r="C123" s="2" t="s">
        <v>856</v>
      </c>
      <c r="D123" s="40" t="n">
        <v>0</v>
      </c>
      <c r="E123" s="2" t="s">
        <v>857</v>
      </c>
      <c r="F123" s="2" t="s">
        <v>440</v>
      </c>
      <c r="G123" s="2" t="s">
        <v>858</v>
      </c>
      <c r="H123" s="2" t="s">
        <v>322</v>
      </c>
      <c r="I123" s="2" t="s">
        <v>434</v>
      </c>
      <c r="J123" s="2" t="s">
        <v>339</v>
      </c>
      <c r="K123" s="2" t="s">
        <v>859</v>
      </c>
      <c r="L123" s="2" t="s">
        <v>860</v>
      </c>
    </row>
    <row r="124" customFormat="false" ht="15" hidden="false" customHeight="false" outlineLevel="0" collapsed="false">
      <c r="A124" s="2" t="s">
        <v>861</v>
      </c>
      <c r="B124" s="9" t="s">
        <v>862</v>
      </c>
      <c r="C124" s="2" t="s">
        <v>863</v>
      </c>
      <c r="D124" s="37" t="n">
        <v>811000</v>
      </c>
      <c r="E124" s="2" t="s">
        <v>18</v>
      </c>
      <c r="F124" s="2" t="s">
        <v>440</v>
      </c>
      <c r="G124" s="2" t="s">
        <v>864</v>
      </c>
      <c r="H124" s="2" t="s">
        <v>322</v>
      </c>
      <c r="I124" s="2" t="s">
        <v>434</v>
      </c>
      <c r="J124" s="2" t="s">
        <v>339</v>
      </c>
      <c r="K124" s="2" t="s">
        <v>859</v>
      </c>
      <c r="L124" s="2" t="s">
        <v>860</v>
      </c>
    </row>
    <row r="125" customFormat="false" ht="15" hidden="false" customHeight="false" outlineLevel="0" collapsed="false">
      <c r="A125" s="2" t="s">
        <v>865</v>
      </c>
      <c r="B125" s="9" t="s">
        <v>866</v>
      </c>
      <c r="C125" s="2" t="s">
        <v>863</v>
      </c>
      <c r="D125" s="37" t="n">
        <v>200700</v>
      </c>
      <c r="E125" s="2" t="s">
        <v>18</v>
      </c>
      <c r="F125" s="2" t="s">
        <v>440</v>
      </c>
      <c r="G125" s="2" t="s">
        <v>864</v>
      </c>
      <c r="H125" s="2" t="s">
        <v>322</v>
      </c>
      <c r="I125" s="2" t="s">
        <v>434</v>
      </c>
      <c r="J125" s="2" t="s">
        <v>339</v>
      </c>
      <c r="K125" s="2" t="s">
        <v>859</v>
      </c>
      <c r="L125" s="2" t="s">
        <v>860</v>
      </c>
    </row>
    <row r="126" customFormat="false" ht="15" hidden="false" customHeight="false" outlineLevel="0" collapsed="false">
      <c r="A126" s="2" t="s">
        <v>867</v>
      </c>
      <c r="B126" s="9" t="s">
        <v>868</v>
      </c>
      <c r="C126" s="2" t="s">
        <v>869</v>
      </c>
      <c r="D126" s="33" t="s">
        <v>870</v>
      </c>
      <c r="E126" s="2" t="s">
        <v>720</v>
      </c>
      <c r="F126" s="2" t="s">
        <v>541</v>
      </c>
      <c r="G126" s="2" t="s">
        <v>858</v>
      </c>
      <c r="H126" s="2" t="s">
        <v>322</v>
      </c>
      <c r="I126" s="2" t="s">
        <v>434</v>
      </c>
      <c r="J126" s="2" t="s">
        <v>339</v>
      </c>
      <c r="K126" s="2" t="s">
        <v>871</v>
      </c>
      <c r="L126" s="2" t="s">
        <v>860</v>
      </c>
    </row>
    <row r="127" customFormat="false" ht="15" hidden="false" customHeight="false" outlineLevel="0" collapsed="false">
      <c r="A127" s="2" t="s">
        <v>872</v>
      </c>
      <c r="B127" s="9" t="s">
        <v>873</v>
      </c>
      <c r="C127" s="2" t="s">
        <v>874</v>
      </c>
      <c r="D127" s="43" t="n">
        <v>0.45</v>
      </c>
      <c r="E127" s="2" t="s">
        <v>24</v>
      </c>
      <c r="F127" s="2" t="s">
        <v>875</v>
      </c>
      <c r="G127" s="2" t="s">
        <v>876</v>
      </c>
      <c r="H127" s="2" t="s">
        <v>322</v>
      </c>
      <c r="I127" s="2" t="s">
        <v>434</v>
      </c>
      <c r="J127" s="2" t="s">
        <v>339</v>
      </c>
      <c r="K127" s="2" t="s">
        <v>877</v>
      </c>
      <c r="L127" s="2" t="s">
        <v>860</v>
      </c>
    </row>
    <row r="128" customFormat="false" ht="15" hidden="false" customHeight="false" outlineLevel="0" collapsed="false">
      <c r="A128" s="2" t="s">
        <v>878</v>
      </c>
      <c r="B128" s="9" t="s">
        <v>879</v>
      </c>
      <c r="C128" s="2" t="s">
        <v>880</v>
      </c>
      <c r="D128" s="33" t="s">
        <v>881</v>
      </c>
      <c r="E128" s="2" t="s">
        <v>720</v>
      </c>
      <c r="F128" s="2" t="s">
        <v>440</v>
      </c>
      <c r="G128" s="2" t="s">
        <v>858</v>
      </c>
      <c r="H128" s="2" t="s">
        <v>322</v>
      </c>
      <c r="I128" s="2" t="s">
        <v>434</v>
      </c>
      <c r="J128" s="2" t="s">
        <v>339</v>
      </c>
      <c r="K128" s="2" t="s">
        <v>882</v>
      </c>
      <c r="L128" s="2" t="s">
        <v>860</v>
      </c>
    </row>
    <row r="129" customFormat="false" ht="15" hidden="false" customHeight="false" outlineLevel="0" collapsed="false">
      <c r="A129" s="2" t="s">
        <v>883</v>
      </c>
      <c r="B129" s="9" t="s">
        <v>884</v>
      </c>
      <c r="C129" s="2" t="s">
        <v>885</v>
      </c>
      <c r="D129" s="37" t="n">
        <v>124</v>
      </c>
      <c r="E129" s="2" t="s">
        <v>18</v>
      </c>
      <c r="F129" s="2" t="s">
        <v>886</v>
      </c>
      <c r="G129" s="2" t="s">
        <v>887</v>
      </c>
      <c r="H129" s="2" t="s">
        <v>322</v>
      </c>
      <c r="I129" s="2" t="s">
        <v>323</v>
      </c>
      <c r="J129" s="2" t="s">
        <v>339</v>
      </c>
      <c r="K129" s="2" t="s">
        <v>888</v>
      </c>
      <c r="L129" s="2" t="s">
        <v>526</v>
      </c>
    </row>
    <row r="130" customFormat="false" ht="15" hidden="false" customHeight="false" outlineLevel="0" collapsed="false">
      <c r="A130" s="2" t="s">
        <v>889</v>
      </c>
      <c r="B130" s="9" t="s">
        <v>890</v>
      </c>
      <c r="C130" s="2" t="s">
        <v>891</v>
      </c>
      <c r="D130" s="37" t="n">
        <v>980</v>
      </c>
      <c r="E130" s="2" t="s">
        <v>18</v>
      </c>
      <c r="F130" s="2" t="s">
        <v>892</v>
      </c>
      <c r="G130" s="2" t="s">
        <v>887</v>
      </c>
      <c r="H130" s="2" t="s">
        <v>322</v>
      </c>
      <c r="I130" s="2" t="s">
        <v>323</v>
      </c>
      <c r="J130" s="2" t="s">
        <v>339</v>
      </c>
      <c r="K130" s="2" t="s">
        <v>888</v>
      </c>
      <c r="L130" s="2" t="s">
        <v>526</v>
      </c>
    </row>
    <row r="131" customFormat="false" ht="15" hidden="false" customHeight="false" outlineLevel="0" collapsed="false">
      <c r="A131" s="2" t="s">
        <v>893</v>
      </c>
      <c r="B131" s="9" t="s">
        <v>894</v>
      </c>
      <c r="C131" s="2" t="s">
        <v>895</v>
      </c>
      <c r="D131" s="37" t="n">
        <v>450</v>
      </c>
      <c r="E131" s="2" t="s">
        <v>18</v>
      </c>
      <c r="F131" s="2" t="s">
        <v>896</v>
      </c>
      <c r="G131" s="2" t="s">
        <v>887</v>
      </c>
      <c r="H131" s="2" t="s">
        <v>322</v>
      </c>
      <c r="I131" s="2" t="s">
        <v>323</v>
      </c>
      <c r="J131" s="2" t="s">
        <v>339</v>
      </c>
      <c r="K131" s="2" t="s">
        <v>888</v>
      </c>
      <c r="L131" s="2" t="s">
        <v>526</v>
      </c>
    </row>
    <row r="132" customFormat="false" ht="15" hidden="false" customHeight="false" outlineLevel="0" collapsed="false">
      <c r="A132" s="2" t="s">
        <v>897</v>
      </c>
      <c r="B132" s="9" t="s">
        <v>898</v>
      </c>
      <c r="C132" s="2" t="s">
        <v>899</v>
      </c>
      <c r="D132" s="37" t="n">
        <v>2000</v>
      </c>
      <c r="E132" s="2" t="s">
        <v>18</v>
      </c>
      <c r="F132" s="2" t="s">
        <v>900</v>
      </c>
      <c r="G132" s="2" t="s">
        <v>887</v>
      </c>
      <c r="H132" s="2" t="s">
        <v>322</v>
      </c>
      <c r="I132" s="2" t="s">
        <v>323</v>
      </c>
      <c r="J132" s="2" t="s">
        <v>339</v>
      </c>
      <c r="K132" s="2" t="s">
        <v>888</v>
      </c>
      <c r="L132" s="2" t="s">
        <v>526</v>
      </c>
    </row>
    <row r="133" customFormat="false" ht="15" hidden="false" customHeight="false" outlineLevel="0" collapsed="false">
      <c r="A133" s="2" t="s">
        <v>901</v>
      </c>
      <c r="B133" s="9" t="s">
        <v>902</v>
      </c>
      <c r="C133" s="2" t="s">
        <v>903</v>
      </c>
      <c r="D133" s="37" t="n">
        <v>1200</v>
      </c>
      <c r="E133" s="2" t="s">
        <v>18</v>
      </c>
      <c r="F133" s="2" t="s">
        <v>904</v>
      </c>
      <c r="G133" s="2" t="s">
        <v>887</v>
      </c>
      <c r="H133" s="2" t="s">
        <v>322</v>
      </c>
      <c r="I133" s="2" t="s">
        <v>323</v>
      </c>
      <c r="J133" s="2" t="s">
        <v>339</v>
      </c>
      <c r="K133" s="2" t="s">
        <v>888</v>
      </c>
      <c r="L133" s="2" t="s">
        <v>526</v>
      </c>
    </row>
    <row r="134" customFormat="false" ht="15" hidden="false" customHeight="false" outlineLevel="0" collapsed="false">
      <c r="A134" s="2" t="s">
        <v>905</v>
      </c>
      <c r="B134" s="9" t="s">
        <v>906</v>
      </c>
      <c r="C134" s="2" t="s">
        <v>907</v>
      </c>
      <c r="D134" s="37" t="n">
        <v>8000</v>
      </c>
      <c r="E134" s="2" t="s">
        <v>18</v>
      </c>
      <c r="F134" s="2" t="s">
        <v>908</v>
      </c>
      <c r="G134" s="2" t="s">
        <v>887</v>
      </c>
      <c r="H134" s="2" t="s">
        <v>322</v>
      </c>
      <c r="I134" s="2" t="s">
        <v>323</v>
      </c>
      <c r="J134" s="2" t="s">
        <v>339</v>
      </c>
      <c r="K134" s="2" t="s">
        <v>888</v>
      </c>
      <c r="L134" s="2" t="s">
        <v>526</v>
      </c>
    </row>
    <row r="135" customFormat="false" ht="15" hidden="false" customHeight="false" outlineLevel="0" collapsed="false">
      <c r="A135" s="2" t="s">
        <v>909</v>
      </c>
      <c r="B135" s="9" t="s">
        <v>910</v>
      </c>
      <c r="C135" s="2" t="s">
        <v>911</v>
      </c>
      <c r="D135" s="37" t="n">
        <v>3500</v>
      </c>
      <c r="E135" s="2" t="s">
        <v>18</v>
      </c>
      <c r="F135" s="2" t="s">
        <v>912</v>
      </c>
      <c r="G135" s="2" t="s">
        <v>887</v>
      </c>
      <c r="H135" s="2" t="s">
        <v>322</v>
      </c>
      <c r="I135" s="2" t="s">
        <v>323</v>
      </c>
      <c r="J135" s="2" t="s">
        <v>339</v>
      </c>
      <c r="K135" s="2" t="s">
        <v>888</v>
      </c>
      <c r="L135" s="2" t="s">
        <v>526</v>
      </c>
    </row>
    <row r="136" customFormat="false" ht="15" hidden="false" customHeight="false" outlineLevel="0" collapsed="false">
      <c r="A136" s="2" t="s">
        <v>913</v>
      </c>
      <c r="B136" s="9" t="s">
        <v>914</v>
      </c>
      <c r="C136" s="2" t="s">
        <v>915</v>
      </c>
      <c r="D136" s="37" t="n">
        <v>13000</v>
      </c>
      <c r="E136" s="2" t="s">
        <v>18</v>
      </c>
      <c r="F136" s="2" t="s">
        <v>916</v>
      </c>
      <c r="G136" s="2" t="s">
        <v>887</v>
      </c>
      <c r="H136" s="2" t="s">
        <v>322</v>
      </c>
      <c r="I136" s="2" t="s">
        <v>323</v>
      </c>
      <c r="J136" s="2" t="s">
        <v>339</v>
      </c>
      <c r="K136" s="2" t="s">
        <v>917</v>
      </c>
      <c r="L136" s="2" t="s">
        <v>526</v>
      </c>
    </row>
    <row r="137" customFormat="false" ht="15" hidden="false" customHeight="false" outlineLevel="0" collapsed="false">
      <c r="A137" s="2" t="s">
        <v>918</v>
      </c>
      <c r="B137" s="9" t="s">
        <v>919</v>
      </c>
      <c r="C137" s="2" t="s">
        <v>920</v>
      </c>
      <c r="D137" s="37" t="n">
        <v>30000</v>
      </c>
      <c r="E137" s="2" t="s">
        <v>18</v>
      </c>
      <c r="F137" s="2" t="s">
        <v>921</v>
      </c>
      <c r="G137" s="2" t="s">
        <v>887</v>
      </c>
      <c r="H137" s="2" t="s">
        <v>322</v>
      </c>
      <c r="I137" s="2" t="s">
        <v>323</v>
      </c>
      <c r="J137" s="2" t="s">
        <v>339</v>
      </c>
      <c r="K137" s="2" t="s">
        <v>922</v>
      </c>
      <c r="L137" s="2" t="s">
        <v>526</v>
      </c>
    </row>
    <row r="138" customFormat="false" ht="15" hidden="false" customHeight="false" outlineLevel="0" collapsed="false">
      <c r="A138" s="2" t="s">
        <v>923</v>
      </c>
      <c r="B138" s="9" t="s">
        <v>924</v>
      </c>
      <c r="C138" s="2" t="s">
        <v>925</v>
      </c>
      <c r="D138" s="37" t="n">
        <v>65000</v>
      </c>
      <c r="E138" s="2" t="s">
        <v>18</v>
      </c>
      <c r="F138" s="2" t="s">
        <v>336</v>
      </c>
      <c r="G138" s="2" t="s">
        <v>887</v>
      </c>
      <c r="H138" s="2" t="s">
        <v>322</v>
      </c>
      <c r="I138" s="2" t="s">
        <v>323</v>
      </c>
      <c r="J138" s="2" t="s">
        <v>339</v>
      </c>
      <c r="K138" s="2" t="s">
        <v>926</v>
      </c>
      <c r="L138" s="2" t="s">
        <v>526</v>
      </c>
    </row>
    <row r="139" customFormat="false" ht="15" hidden="false" customHeight="false" outlineLevel="0" collapsed="false">
      <c r="A139" s="2" t="s">
        <v>927</v>
      </c>
      <c r="B139" s="9" t="s">
        <v>928</v>
      </c>
      <c r="C139" s="2" t="s">
        <v>929</v>
      </c>
      <c r="D139" s="37" t="n">
        <v>126754</v>
      </c>
      <c r="E139" s="2" t="s">
        <v>18</v>
      </c>
      <c r="F139" s="2" t="s">
        <v>930</v>
      </c>
      <c r="G139" s="2" t="s">
        <v>931</v>
      </c>
      <c r="H139" s="2" t="s">
        <v>322</v>
      </c>
      <c r="I139" s="2" t="s">
        <v>323</v>
      </c>
      <c r="J139" s="2" t="s">
        <v>339</v>
      </c>
      <c r="K139" s="2" t="s">
        <v>932</v>
      </c>
      <c r="L139" s="2" t="s">
        <v>933</v>
      </c>
    </row>
    <row r="140" customFormat="false" ht="15" hidden="false" customHeight="false" outlineLevel="0" collapsed="false">
      <c r="A140" s="24" t="s">
        <v>934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</row>
    <row r="141" customFormat="false" ht="15" hidden="false" customHeight="false" outlineLevel="0" collapsed="false">
      <c r="A141" s="2" t="s">
        <v>935</v>
      </c>
      <c r="B141" s="9" t="s">
        <v>936</v>
      </c>
      <c r="C141" s="2" t="s">
        <v>937</v>
      </c>
      <c r="D141" s="37" t="n">
        <v>13100</v>
      </c>
      <c r="E141" s="2" t="s">
        <v>18</v>
      </c>
      <c r="F141" s="2" t="s">
        <v>596</v>
      </c>
      <c r="G141" s="2" t="s">
        <v>938</v>
      </c>
      <c r="H141" s="2" t="s">
        <v>322</v>
      </c>
      <c r="I141" s="2" t="s">
        <v>323</v>
      </c>
      <c r="J141" s="2" t="s">
        <v>339</v>
      </c>
      <c r="K141" s="2" t="s">
        <v>939</v>
      </c>
      <c r="L141" s="2" t="s">
        <v>389</v>
      </c>
    </row>
    <row r="142" customFormat="false" ht="15" hidden="false" customHeight="false" outlineLevel="0" collapsed="false">
      <c r="A142" s="2" t="s">
        <v>940</v>
      </c>
      <c r="B142" s="9" t="s">
        <v>941</v>
      </c>
      <c r="C142" s="2" t="s">
        <v>942</v>
      </c>
      <c r="D142" s="37" t="n">
        <v>20920</v>
      </c>
      <c r="E142" s="2" t="s">
        <v>396</v>
      </c>
      <c r="F142" s="2" t="s">
        <v>596</v>
      </c>
      <c r="G142" s="2" t="s">
        <v>943</v>
      </c>
      <c r="H142" s="2" t="s">
        <v>496</v>
      </c>
      <c r="I142" s="2" t="s">
        <v>426</v>
      </c>
      <c r="J142" s="2" t="s">
        <v>339</v>
      </c>
      <c r="K142" s="2" t="s">
        <v>944</v>
      </c>
      <c r="L142" s="2" t="s">
        <v>359</v>
      </c>
    </row>
    <row r="143" customFormat="false" ht="15" hidden="false" customHeight="false" outlineLevel="0" collapsed="false">
      <c r="A143" s="2" t="s">
        <v>945</v>
      </c>
      <c r="B143" s="9" t="s">
        <v>946</v>
      </c>
      <c r="C143" s="2" t="s">
        <v>942</v>
      </c>
      <c r="D143" s="37" t="n">
        <v>60350</v>
      </c>
      <c r="E143" s="2" t="s">
        <v>396</v>
      </c>
      <c r="F143" s="2" t="s">
        <v>596</v>
      </c>
      <c r="G143" s="2" t="s">
        <v>943</v>
      </c>
      <c r="H143" s="2" t="s">
        <v>496</v>
      </c>
      <c r="I143" s="2" t="s">
        <v>426</v>
      </c>
      <c r="J143" s="2" t="s">
        <v>339</v>
      </c>
      <c r="K143" s="2" t="s">
        <v>944</v>
      </c>
      <c r="L143" s="2" t="s">
        <v>359</v>
      </c>
    </row>
    <row r="144" customFormat="false" ht="15" hidden="false" customHeight="false" outlineLevel="0" collapsed="false">
      <c r="A144" s="2" t="s">
        <v>947</v>
      </c>
      <c r="B144" s="9" t="s">
        <v>948</v>
      </c>
      <c r="C144" s="2" t="s">
        <v>942</v>
      </c>
      <c r="D144" s="37" t="n">
        <v>41550</v>
      </c>
      <c r="E144" s="2" t="s">
        <v>18</v>
      </c>
      <c r="F144" s="2" t="s">
        <v>596</v>
      </c>
      <c r="G144" s="2" t="s">
        <v>943</v>
      </c>
      <c r="H144" s="2" t="s">
        <v>496</v>
      </c>
      <c r="I144" s="2" t="s">
        <v>426</v>
      </c>
      <c r="J144" s="2" t="s">
        <v>339</v>
      </c>
      <c r="K144" s="2" t="s">
        <v>944</v>
      </c>
      <c r="L144" s="2" t="s">
        <v>359</v>
      </c>
    </row>
    <row r="145" customFormat="false" ht="15" hidden="false" customHeight="false" outlineLevel="0" collapsed="false">
      <c r="A145" s="2" t="s">
        <v>949</v>
      </c>
      <c r="B145" s="9" t="s">
        <v>950</v>
      </c>
      <c r="C145" s="2" t="s">
        <v>951</v>
      </c>
      <c r="D145" s="37" t="n">
        <v>20000</v>
      </c>
      <c r="E145" s="2" t="s">
        <v>14</v>
      </c>
      <c r="F145" s="2" t="s">
        <v>535</v>
      </c>
      <c r="G145" s="2" t="s">
        <v>952</v>
      </c>
      <c r="H145" s="2" t="s">
        <v>322</v>
      </c>
      <c r="I145" s="2" t="s">
        <v>323</v>
      </c>
      <c r="J145" s="2" t="s">
        <v>324</v>
      </c>
      <c r="K145" s="2" t="s">
        <v>332</v>
      </c>
      <c r="L145" s="2" t="s">
        <v>383</v>
      </c>
    </row>
    <row r="146" customFormat="false" ht="15" hidden="false" customHeight="false" outlineLevel="0" collapsed="false">
      <c r="A146" s="2" t="s">
        <v>953</v>
      </c>
      <c r="B146" s="9" t="s">
        <v>954</v>
      </c>
      <c r="C146" s="2" t="s">
        <v>955</v>
      </c>
      <c r="D146" s="37" t="n">
        <v>2000</v>
      </c>
      <c r="E146" s="2" t="s">
        <v>956</v>
      </c>
      <c r="F146" s="2" t="s">
        <v>665</v>
      </c>
      <c r="G146" s="2" t="s">
        <v>957</v>
      </c>
      <c r="H146" s="2" t="s">
        <v>322</v>
      </c>
      <c r="I146" s="2" t="s">
        <v>323</v>
      </c>
      <c r="J146" s="2" t="s">
        <v>324</v>
      </c>
      <c r="K146" s="2" t="s">
        <v>939</v>
      </c>
      <c r="L146" s="2" t="s">
        <v>383</v>
      </c>
    </row>
    <row r="147" customFormat="false" ht="15" hidden="false" customHeight="false" outlineLevel="0" collapsed="false">
      <c r="A147" s="2" t="s">
        <v>958</v>
      </c>
      <c r="B147" s="9" t="s">
        <v>959</v>
      </c>
      <c r="C147" s="2" t="s">
        <v>960</v>
      </c>
      <c r="D147" s="33" t="s">
        <v>961</v>
      </c>
      <c r="E147" s="2" t="s">
        <v>720</v>
      </c>
      <c r="F147" s="2" t="s">
        <v>962</v>
      </c>
      <c r="G147" s="2" t="s">
        <v>963</v>
      </c>
      <c r="H147" s="2" t="s">
        <v>322</v>
      </c>
      <c r="I147" s="2" t="s">
        <v>323</v>
      </c>
      <c r="J147" s="2" t="s">
        <v>324</v>
      </c>
      <c r="K147" s="2" t="s">
        <v>964</v>
      </c>
      <c r="L147" s="2" t="s">
        <v>383</v>
      </c>
    </row>
    <row r="148" customFormat="false" ht="15" hidden="false" customHeight="false" outlineLevel="0" collapsed="false">
      <c r="A148" s="2" t="s">
        <v>965</v>
      </c>
      <c r="B148" s="9" t="s">
        <v>966</v>
      </c>
      <c r="C148" s="2" t="s">
        <v>967</v>
      </c>
      <c r="D148" s="37" t="n">
        <v>2000</v>
      </c>
      <c r="E148" s="2" t="s">
        <v>18</v>
      </c>
      <c r="F148" s="2" t="s">
        <v>561</v>
      </c>
      <c r="G148" s="2" t="s">
        <v>968</v>
      </c>
      <c r="H148" s="2" t="s">
        <v>338</v>
      </c>
      <c r="I148" s="2" t="s">
        <v>323</v>
      </c>
      <c r="J148" s="2" t="s">
        <v>511</v>
      </c>
      <c r="K148" s="2" t="s">
        <v>969</v>
      </c>
      <c r="L148" s="2" t="s">
        <v>564</v>
      </c>
    </row>
    <row r="149" customFormat="false" ht="15" hidden="false" customHeight="false" outlineLevel="0" collapsed="false">
      <c r="A149" s="2" t="s">
        <v>970</v>
      </c>
      <c r="B149" s="9" t="s">
        <v>971</v>
      </c>
      <c r="C149" s="2" t="s">
        <v>967</v>
      </c>
      <c r="D149" s="37" t="n">
        <v>6000</v>
      </c>
      <c r="E149" s="2" t="s">
        <v>18</v>
      </c>
      <c r="F149" s="2" t="s">
        <v>561</v>
      </c>
      <c r="G149" s="2" t="s">
        <v>968</v>
      </c>
      <c r="H149" s="2" t="s">
        <v>338</v>
      </c>
      <c r="I149" s="2" t="s">
        <v>323</v>
      </c>
      <c r="J149" s="2" t="s">
        <v>511</v>
      </c>
      <c r="K149" s="2" t="s">
        <v>969</v>
      </c>
      <c r="L149" s="2" t="s">
        <v>564</v>
      </c>
    </row>
    <row r="150" customFormat="false" ht="15" hidden="false" customHeight="false" outlineLevel="0" collapsed="false">
      <c r="A150" s="2" t="s">
        <v>972</v>
      </c>
      <c r="B150" s="9" t="s">
        <v>973</v>
      </c>
      <c r="C150" s="2" t="s">
        <v>974</v>
      </c>
      <c r="D150" s="37" t="n">
        <v>20000</v>
      </c>
      <c r="E150" s="2" t="s">
        <v>18</v>
      </c>
      <c r="F150" s="2" t="s">
        <v>561</v>
      </c>
      <c r="G150" s="2" t="s">
        <v>975</v>
      </c>
      <c r="H150" s="2" t="s">
        <v>338</v>
      </c>
      <c r="I150" s="2" t="s">
        <v>323</v>
      </c>
      <c r="J150" s="2" t="s">
        <v>511</v>
      </c>
      <c r="K150" s="2" t="s">
        <v>969</v>
      </c>
      <c r="L150" s="2" t="s">
        <v>564</v>
      </c>
    </row>
    <row r="151" customFormat="false" ht="15" hidden="false" customHeight="false" outlineLevel="0" collapsed="false">
      <c r="A151" s="2" t="s">
        <v>976</v>
      </c>
      <c r="B151" s="9" t="s">
        <v>977</v>
      </c>
      <c r="C151" s="2" t="s">
        <v>978</v>
      </c>
      <c r="D151" s="37" t="n">
        <v>41300</v>
      </c>
      <c r="E151" s="2" t="s">
        <v>18</v>
      </c>
      <c r="F151" s="2" t="s">
        <v>561</v>
      </c>
      <c r="G151" s="2" t="s">
        <v>979</v>
      </c>
      <c r="H151" s="2" t="s">
        <v>338</v>
      </c>
      <c r="I151" s="2" t="s">
        <v>323</v>
      </c>
      <c r="J151" s="2" t="s">
        <v>511</v>
      </c>
      <c r="K151" s="2" t="s">
        <v>969</v>
      </c>
      <c r="L151" s="2" t="s">
        <v>564</v>
      </c>
    </row>
    <row r="152" customFormat="false" ht="15" hidden="false" customHeight="false" outlineLevel="0" collapsed="false">
      <c r="A152" s="2" t="s">
        <v>980</v>
      </c>
      <c r="B152" s="9" t="s">
        <v>981</v>
      </c>
      <c r="C152" s="2" t="s">
        <v>982</v>
      </c>
      <c r="D152" s="37" t="n">
        <v>-5000</v>
      </c>
      <c r="E152" s="2" t="s">
        <v>18</v>
      </c>
      <c r="F152" s="2" t="s">
        <v>580</v>
      </c>
      <c r="G152" s="2" t="s">
        <v>983</v>
      </c>
      <c r="H152" s="2" t="s">
        <v>338</v>
      </c>
      <c r="I152" s="2" t="s">
        <v>497</v>
      </c>
      <c r="J152" s="2" t="s">
        <v>511</v>
      </c>
      <c r="K152" s="2" t="s">
        <v>984</v>
      </c>
      <c r="L152" s="2" t="s">
        <v>564</v>
      </c>
    </row>
    <row r="153" customFormat="false" ht="15" hidden="false" customHeight="false" outlineLevel="0" collapsed="false">
      <c r="A153" s="2" t="s">
        <v>985</v>
      </c>
      <c r="B153" s="9" t="s">
        <v>986</v>
      </c>
      <c r="C153" s="2" t="s">
        <v>987</v>
      </c>
      <c r="D153" s="37" t="n">
        <v>-14000</v>
      </c>
      <c r="E153" s="2" t="s">
        <v>18</v>
      </c>
      <c r="F153" s="2" t="s">
        <v>988</v>
      </c>
      <c r="G153" s="2" t="s">
        <v>989</v>
      </c>
      <c r="H153" s="2" t="s">
        <v>338</v>
      </c>
      <c r="I153" s="2" t="s">
        <v>497</v>
      </c>
      <c r="J153" s="2" t="s">
        <v>511</v>
      </c>
      <c r="K153" s="2" t="s">
        <v>984</v>
      </c>
      <c r="L153" s="2" t="s">
        <v>564</v>
      </c>
    </row>
    <row r="154" customFormat="false" ht="15" hidden="false" customHeight="false" outlineLevel="0" collapsed="false">
      <c r="A154" s="2" t="s">
        <v>990</v>
      </c>
      <c r="B154" s="9" t="s">
        <v>991</v>
      </c>
      <c r="C154" s="2" t="s">
        <v>992</v>
      </c>
      <c r="D154" s="37" t="n">
        <v>25000</v>
      </c>
      <c r="E154" s="2" t="s">
        <v>18</v>
      </c>
      <c r="F154" s="2" t="s">
        <v>424</v>
      </c>
      <c r="G154" s="2" t="s">
        <v>993</v>
      </c>
      <c r="H154" s="2" t="s">
        <v>338</v>
      </c>
      <c r="I154" s="2" t="s">
        <v>426</v>
      </c>
      <c r="J154" s="2" t="s">
        <v>324</v>
      </c>
      <c r="K154" s="2" t="s">
        <v>427</v>
      </c>
      <c r="L154" s="2" t="s">
        <v>994</v>
      </c>
    </row>
    <row r="155" customFormat="false" ht="15" hidden="false" customHeight="false" outlineLevel="0" collapsed="false">
      <c r="A155" s="2" t="s">
        <v>995</v>
      </c>
      <c r="B155" s="9" t="s">
        <v>996</v>
      </c>
      <c r="C155" s="2" t="s">
        <v>997</v>
      </c>
      <c r="D155" s="37" t="n">
        <v>27000</v>
      </c>
      <c r="E155" s="2" t="s">
        <v>18</v>
      </c>
      <c r="F155" s="2" t="s">
        <v>998</v>
      </c>
      <c r="G155" s="2" t="s">
        <v>993</v>
      </c>
      <c r="H155" s="2" t="s">
        <v>338</v>
      </c>
      <c r="I155" s="2" t="s">
        <v>426</v>
      </c>
      <c r="J155" s="2" t="s">
        <v>324</v>
      </c>
      <c r="K155" s="2" t="s">
        <v>427</v>
      </c>
      <c r="L155" s="2" t="s">
        <v>994</v>
      </c>
    </row>
    <row r="156" customFormat="false" ht="15" hidden="false" customHeight="false" outlineLevel="0" collapsed="false">
      <c r="A156" s="2" t="s">
        <v>999</v>
      </c>
      <c r="B156" s="9" t="s">
        <v>1000</v>
      </c>
      <c r="C156" s="2" t="s">
        <v>992</v>
      </c>
      <c r="D156" s="37" t="n">
        <v>57000</v>
      </c>
      <c r="E156" s="2" t="s">
        <v>18</v>
      </c>
      <c r="F156" s="2" t="s">
        <v>424</v>
      </c>
      <c r="G156" s="2" t="s">
        <v>993</v>
      </c>
      <c r="H156" s="2" t="s">
        <v>338</v>
      </c>
      <c r="I156" s="2" t="s">
        <v>426</v>
      </c>
      <c r="J156" s="2" t="s">
        <v>324</v>
      </c>
      <c r="K156" s="2" t="s">
        <v>427</v>
      </c>
      <c r="L156" s="2" t="s">
        <v>994</v>
      </c>
    </row>
    <row r="157" customFormat="false" ht="15" hidden="false" customHeight="false" outlineLevel="0" collapsed="false">
      <c r="A157" s="2" t="s">
        <v>1001</v>
      </c>
      <c r="B157" s="9" t="s">
        <v>1002</v>
      </c>
      <c r="C157" s="2" t="s">
        <v>997</v>
      </c>
      <c r="D157" s="37" t="n">
        <v>63000</v>
      </c>
      <c r="E157" s="2" t="s">
        <v>18</v>
      </c>
      <c r="F157" s="2" t="s">
        <v>998</v>
      </c>
      <c r="G157" s="2" t="s">
        <v>993</v>
      </c>
      <c r="H157" s="2" t="s">
        <v>338</v>
      </c>
      <c r="I157" s="2" t="s">
        <v>426</v>
      </c>
      <c r="J157" s="2" t="s">
        <v>324</v>
      </c>
      <c r="K157" s="2" t="s">
        <v>427</v>
      </c>
      <c r="L157" s="2" t="s">
        <v>994</v>
      </c>
    </row>
    <row r="158" customFormat="false" ht="15" hidden="false" customHeight="false" outlineLevel="0" collapsed="false">
      <c r="A158" s="2" t="s">
        <v>1003</v>
      </c>
      <c r="B158" s="9" t="s">
        <v>1004</v>
      </c>
      <c r="C158" s="2" t="s">
        <v>992</v>
      </c>
      <c r="D158" s="37" t="n">
        <v>39000</v>
      </c>
      <c r="E158" s="2" t="s">
        <v>18</v>
      </c>
      <c r="F158" s="2" t="s">
        <v>424</v>
      </c>
      <c r="G158" s="2" t="s">
        <v>993</v>
      </c>
      <c r="H158" s="2" t="s">
        <v>338</v>
      </c>
      <c r="I158" s="2" t="s">
        <v>426</v>
      </c>
      <c r="J158" s="2" t="s">
        <v>324</v>
      </c>
      <c r="K158" s="2" t="s">
        <v>427</v>
      </c>
      <c r="L158" s="2" t="s">
        <v>994</v>
      </c>
    </row>
    <row r="159" customFormat="false" ht="15" hidden="false" customHeight="false" outlineLevel="0" collapsed="false">
      <c r="A159" s="2" t="s">
        <v>1005</v>
      </c>
      <c r="B159" s="9" t="s">
        <v>1006</v>
      </c>
      <c r="C159" s="2" t="s">
        <v>1007</v>
      </c>
      <c r="D159" s="37" t="n">
        <v>40000</v>
      </c>
      <c r="E159" s="2" t="s">
        <v>18</v>
      </c>
      <c r="F159" s="2" t="s">
        <v>535</v>
      </c>
      <c r="G159" s="2" t="s">
        <v>993</v>
      </c>
      <c r="H159" s="2" t="s">
        <v>338</v>
      </c>
      <c r="I159" s="2" t="s">
        <v>426</v>
      </c>
      <c r="J159" s="2" t="s">
        <v>324</v>
      </c>
      <c r="K159" s="2" t="s">
        <v>427</v>
      </c>
      <c r="L159" s="2" t="s">
        <v>994</v>
      </c>
    </row>
    <row r="160" customFormat="false" ht="15" hidden="false" customHeight="false" outlineLevel="0" collapsed="false">
      <c r="A160" s="2" t="s">
        <v>1008</v>
      </c>
      <c r="B160" s="9" t="s">
        <v>1009</v>
      </c>
      <c r="C160" s="2" t="s">
        <v>1010</v>
      </c>
      <c r="D160" s="37" t="n">
        <v>3700</v>
      </c>
      <c r="E160" s="2" t="s">
        <v>18</v>
      </c>
      <c r="F160" s="2" t="s">
        <v>376</v>
      </c>
      <c r="G160" s="2" t="s">
        <v>1011</v>
      </c>
      <c r="H160" s="2" t="s">
        <v>338</v>
      </c>
      <c r="I160" s="2" t="s">
        <v>426</v>
      </c>
      <c r="J160" s="2" t="s">
        <v>324</v>
      </c>
      <c r="K160" s="2" t="s">
        <v>1012</v>
      </c>
      <c r="L160" s="2" t="s">
        <v>526</v>
      </c>
    </row>
    <row r="161" customFormat="false" ht="15" hidden="false" customHeight="false" outlineLevel="0" collapsed="false">
      <c r="A161" s="2" t="s">
        <v>1013</v>
      </c>
      <c r="B161" s="9" t="s">
        <v>1014</v>
      </c>
      <c r="C161" s="2" t="s">
        <v>1015</v>
      </c>
      <c r="D161" s="37" t="n">
        <v>25000</v>
      </c>
      <c r="E161" s="2" t="s">
        <v>14</v>
      </c>
      <c r="F161" s="2" t="s">
        <v>1016</v>
      </c>
      <c r="G161" s="2" t="s">
        <v>1017</v>
      </c>
      <c r="H161" s="2" t="s">
        <v>496</v>
      </c>
      <c r="I161" s="2" t="s">
        <v>497</v>
      </c>
      <c r="J161" s="2" t="s">
        <v>339</v>
      </c>
      <c r="K161" s="2" t="s">
        <v>629</v>
      </c>
      <c r="L161" s="2" t="s">
        <v>1018</v>
      </c>
    </row>
    <row r="162" customFormat="false" ht="15" hidden="false" customHeight="false" outlineLevel="0" collapsed="false">
      <c r="A162" s="2" t="s">
        <v>1019</v>
      </c>
      <c r="B162" s="9" t="s">
        <v>1020</v>
      </c>
      <c r="C162" s="2" t="s">
        <v>1015</v>
      </c>
      <c r="D162" s="37" t="n">
        <v>60000</v>
      </c>
      <c r="E162" s="2" t="s">
        <v>14</v>
      </c>
      <c r="F162" s="2" t="s">
        <v>1016</v>
      </c>
      <c r="G162" s="2" t="s">
        <v>1017</v>
      </c>
      <c r="H162" s="2" t="s">
        <v>496</v>
      </c>
      <c r="I162" s="2" t="s">
        <v>497</v>
      </c>
      <c r="J162" s="2" t="s">
        <v>339</v>
      </c>
      <c r="K162" s="2" t="s">
        <v>629</v>
      </c>
      <c r="L162" s="2" t="s">
        <v>1018</v>
      </c>
    </row>
    <row r="163" customFormat="false" ht="15" hidden="false" customHeight="false" outlineLevel="0" collapsed="false">
      <c r="A163" s="2" t="s">
        <v>1021</v>
      </c>
      <c r="B163" s="9" t="s">
        <v>1022</v>
      </c>
      <c r="C163" s="2" t="s">
        <v>1015</v>
      </c>
      <c r="D163" s="37" t="n">
        <v>112000</v>
      </c>
      <c r="E163" s="2" t="s">
        <v>14</v>
      </c>
      <c r="F163" s="2" t="s">
        <v>1016</v>
      </c>
      <c r="G163" s="2" t="s">
        <v>1017</v>
      </c>
      <c r="H163" s="2" t="s">
        <v>496</v>
      </c>
      <c r="I163" s="2" t="s">
        <v>497</v>
      </c>
      <c r="J163" s="2" t="s">
        <v>339</v>
      </c>
      <c r="K163" s="2" t="s">
        <v>629</v>
      </c>
      <c r="L163" s="2" t="s">
        <v>1018</v>
      </c>
    </row>
    <row r="164" customFormat="false" ht="15" hidden="false" customHeight="false" outlineLevel="0" collapsed="false">
      <c r="A164" s="2" t="s">
        <v>1023</v>
      </c>
      <c r="B164" s="9" t="s">
        <v>1024</v>
      </c>
      <c r="C164" s="2" t="s">
        <v>1015</v>
      </c>
      <c r="D164" s="37" t="n">
        <v>120000</v>
      </c>
      <c r="E164" s="2" t="s">
        <v>14</v>
      </c>
      <c r="F164" s="2" t="s">
        <v>1016</v>
      </c>
      <c r="G164" s="2" t="s">
        <v>1017</v>
      </c>
      <c r="H164" s="2" t="s">
        <v>496</v>
      </c>
      <c r="I164" s="2" t="s">
        <v>497</v>
      </c>
      <c r="J164" s="2" t="s">
        <v>339</v>
      </c>
      <c r="K164" s="2" t="s">
        <v>629</v>
      </c>
      <c r="L164" s="2" t="s">
        <v>1018</v>
      </c>
    </row>
    <row r="165" customFormat="false" ht="15" hidden="false" customHeight="false" outlineLevel="0" collapsed="false">
      <c r="A165" s="2" t="s">
        <v>1025</v>
      </c>
      <c r="B165" s="9" t="s">
        <v>1026</v>
      </c>
      <c r="C165" s="2" t="s">
        <v>1027</v>
      </c>
      <c r="D165" s="37" t="n">
        <v>8400</v>
      </c>
      <c r="E165" s="2" t="s">
        <v>18</v>
      </c>
      <c r="F165" s="2" t="s">
        <v>1028</v>
      </c>
      <c r="G165" s="2" t="s">
        <v>1029</v>
      </c>
      <c r="H165" s="2" t="s">
        <v>338</v>
      </c>
      <c r="I165" s="2" t="s">
        <v>426</v>
      </c>
      <c r="J165" s="2" t="s">
        <v>324</v>
      </c>
      <c r="K165" s="2" t="s">
        <v>1030</v>
      </c>
      <c r="L165" s="2" t="s">
        <v>1031</v>
      </c>
    </row>
    <row r="166" customFormat="false" ht="15" hidden="false" customHeight="false" outlineLevel="0" collapsed="false">
      <c r="A166" s="2" t="s">
        <v>1032</v>
      </c>
      <c r="B166" s="9" t="s">
        <v>1033</v>
      </c>
      <c r="C166" s="2" t="s">
        <v>1034</v>
      </c>
      <c r="D166" s="37" t="n">
        <v>14100</v>
      </c>
      <c r="E166" s="2" t="s">
        <v>18</v>
      </c>
      <c r="F166" s="2" t="s">
        <v>1035</v>
      </c>
      <c r="G166" s="2" t="s">
        <v>1036</v>
      </c>
      <c r="H166" s="2" t="s">
        <v>338</v>
      </c>
      <c r="I166" s="2" t="s">
        <v>426</v>
      </c>
      <c r="J166" s="2" t="s">
        <v>324</v>
      </c>
      <c r="K166" s="2" t="s">
        <v>1030</v>
      </c>
      <c r="L166" s="2" t="s">
        <v>1031</v>
      </c>
    </row>
    <row r="167" customFormat="false" ht="15" hidden="false" customHeight="false" outlineLevel="0" collapsed="false">
      <c r="A167" s="2" t="s">
        <v>1037</v>
      </c>
      <c r="B167" s="9" t="s">
        <v>1038</v>
      </c>
      <c r="C167" s="2" t="s">
        <v>1027</v>
      </c>
      <c r="D167" s="43" t="n">
        <v>0.33</v>
      </c>
      <c r="E167" s="2" t="s">
        <v>24</v>
      </c>
      <c r="F167" s="2" t="s">
        <v>1028</v>
      </c>
      <c r="G167" s="2" t="s">
        <v>1029</v>
      </c>
      <c r="H167" s="2" t="s">
        <v>338</v>
      </c>
      <c r="I167" s="2" t="s">
        <v>426</v>
      </c>
      <c r="J167" s="2" t="s">
        <v>324</v>
      </c>
      <c r="K167" s="2" t="s">
        <v>1030</v>
      </c>
      <c r="L167" s="2" t="s">
        <v>1031</v>
      </c>
    </row>
    <row r="168" customFormat="false" ht="15" hidden="false" customHeight="false" outlineLevel="0" collapsed="false">
      <c r="A168" s="2" t="s">
        <v>1039</v>
      </c>
      <c r="B168" s="9" t="s">
        <v>1040</v>
      </c>
      <c r="C168" s="2" t="s">
        <v>1041</v>
      </c>
      <c r="D168" s="43" t="n">
        <v>0.46</v>
      </c>
      <c r="E168" s="2" t="s">
        <v>24</v>
      </c>
      <c r="F168" s="2" t="s">
        <v>1042</v>
      </c>
      <c r="G168" s="2" t="s">
        <v>1043</v>
      </c>
      <c r="H168" s="2" t="s">
        <v>338</v>
      </c>
      <c r="I168" s="2" t="s">
        <v>497</v>
      </c>
      <c r="J168" s="2" t="s">
        <v>324</v>
      </c>
      <c r="K168" s="2" t="s">
        <v>1044</v>
      </c>
      <c r="L168" s="2" t="s">
        <v>1045</v>
      </c>
    </row>
    <row r="169" customFormat="false" ht="15" hidden="false" customHeight="false" outlineLevel="0" collapsed="false">
      <c r="A169" s="2" t="s">
        <v>1046</v>
      </c>
      <c r="B169" s="9" t="s">
        <v>1047</v>
      </c>
      <c r="C169" s="2" t="s">
        <v>1048</v>
      </c>
      <c r="D169" s="40" t="n">
        <v>4500</v>
      </c>
      <c r="E169" s="2" t="s">
        <v>193</v>
      </c>
      <c r="F169" s="2" t="s">
        <v>1049</v>
      </c>
      <c r="G169" s="2" t="s">
        <v>1050</v>
      </c>
      <c r="H169" s="2" t="s">
        <v>322</v>
      </c>
      <c r="I169" s="2" t="s">
        <v>323</v>
      </c>
      <c r="J169" s="2" t="s">
        <v>324</v>
      </c>
      <c r="K169" s="2" t="s">
        <v>1051</v>
      </c>
      <c r="L169" s="2" t="s">
        <v>743</v>
      </c>
    </row>
    <row r="170" customFormat="false" ht="15" hidden="false" customHeight="false" outlineLevel="0" collapsed="false">
      <c r="A170" s="2" t="s">
        <v>1052</v>
      </c>
      <c r="B170" s="9" t="s">
        <v>1053</v>
      </c>
      <c r="C170" s="2" t="s">
        <v>1054</v>
      </c>
      <c r="D170" s="40" t="n">
        <v>8000</v>
      </c>
      <c r="E170" s="2" t="s">
        <v>193</v>
      </c>
      <c r="F170" s="2" t="s">
        <v>1055</v>
      </c>
      <c r="G170" s="2" t="s">
        <v>1056</v>
      </c>
      <c r="H170" s="2" t="s">
        <v>338</v>
      </c>
      <c r="I170" s="2" t="s">
        <v>426</v>
      </c>
      <c r="J170" s="2" t="s">
        <v>324</v>
      </c>
      <c r="K170" s="2" t="s">
        <v>1057</v>
      </c>
      <c r="L170" s="2" t="s">
        <v>743</v>
      </c>
    </row>
    <row r="171" customFormat="false" ht="15" hidden="false" customHeight="false" outlineLevel="0" collapsed="false">
      <c r="A171" s="2" t="s">
        <v>1058</v>
      </c>
      <c r="B171" s="9" t="s">
        <v>1059</v>
      </c>
      <c r="C171" s="2" t="s">
        <v>1060</v>
      </c>
      <c r="D171" s="39" t="n">
        <v>1.5</v>
      </c>
      <c r="E171" s="2" t="s">
        <v>18</v>
      </c>
      <c r="F171" s="2" t="s">
        <v>1061</v>
      </c>
      <c r="G171" s="2" t="s">
        <v>1062</v>
      </c>
      <c r="H171" s="2" t="s">
        <v>1063</v>
      </c>
      <c r="I171" s="2" t="s">
        <v>426</v>
      </c>
      <c r="J171" s="2" t="s">
        <v>339</v>
      </c>
      <c r="K171" s="2" t="s">
        <v>1064</v>
      </c>
      <c r="L171" s="2" t="s">
        <v>743</v>
      </c>
    </row>
    <row r="172" customFormat="false" ht="15" hidden="false" customHeight="false" outlineLevel="0" collapsed="false">
      <c r="A172" s="2" t="s">
        <v>1065</v>
      </c>
      <c r="B172" s="9" t="s">
        <v>1066</v>
      </c>
      <c r="C172" s="2" t="s">
        <v>1067</v>
      </c>
      <c r="D172" s="40" t="n">
        <v>1000</v>
      </c>
      <c r="E172" s="2" t="s">
        <v>193</v>
      </c>
      <c r="F172" s="2" t="s">
        <v>1061</v>
      </c>
      <c r="G172" s="2" t="s">
        <v>1068</v>
      </c>
      <c r="H172" s="2" t="s">
        <v>1063</v>
      </c>
      <c r="I172" s="2" t="s">
        <v>426</v>
      </c>
      <c r="J172" s="2" t="s">
        <v>339</v>
      </c>
      <c r="K172" s="2" t="s">
        <v>1064</v>
      </c>
      <c r="L172" s="2" t="s">
        <v>743</v>
      </c>
    </row>
    <row r="173" customFormat="false" ht="15" hidden="false" customHeight="false" outlineLevel="0" collapsed="false">
      <c r="A173" s="2" t="s">
        <v>1069</v>
      </c>
      <c r="B173" s="9" t="s">
        <v>1070</v>
      </c>
      <c r="C173" s="2" t="s">
        <v>1071</v>
      </c>
      <c r="D173" s="40" t="n">
        <v>2</v>
      </c>
      <c r="E173" s="2" t="s">
        <v>51</v>
      </c>
      <c r="F173" s="2" t="s">
        <v>1061</v>
      </c>
      <c r="G173" s="2" t="s">
        <v>1072</v>
      </c>
      <c r="H173" s="2" t="s">
        <v>1063</v>
      </c>
      <c r="I173" s="2" t="s">
        <v>426</v>
      </c>
      <c r="J173" s="2" t="s">
        <v>339</v>
      </c>
      <c r="K173" s="2" t="s">
        <v>1064</v>
      </c>
      <c r="L173" s="2" t="s">
        <v>743</v>
      </c>
    </row>
    <row r="174" customFormat="false" ht="15" hidden="false" customHeight="false" outlineLevel="0" collapsed="false">
      <c r="A174" s="2" t="s">
        <v>1073</v>
      </c>
      <c r="B174" s="9" t="s">
        <v>1074</v>
      </c>
      <c r="C174" s="2" t="s">
        <v>1075</v>
      </c>
      <c r="D174" s="44" t="s">
        <v>1076</v>
      </c>
      <c r="E174" s="2" t="s">
        <v>720</v>
      </c>
      <c r="F174" s="2" t="s">
        <v>1077</v>
      </c>
      <c r="G174" s="2" t="s">
        <v>1078</v>
      </c>
      <c r="H174" s="2" t="s">
        <v>689</v>
      </c>
      <c r="I174" s="2" t="s">
        <v>426</v>
      </c>
      <c r="J174" s="2" t="s">
        <v>339</v>
      </c>
      <c r="K174" s="2" t="s">
        <v>1079</v>
      </c>
      <c r="L174" s="2" t="s">
        <v>749</v>
      </c>
    </row>
    <row r="175" customFormat="false" ht="15" hidden="false" customHeight="false" outlineLevel="0" collapsed="false">
      <c r="A175" s="2" t="s">
        <v>1080</v>
      </c>
      <c r="B175" s="9" t="s">
        <v>1081</v>
      </c>
      <c r="C175" s="2" t="s">
        <v>1082</v>
      </c>
      <c r="D175" s="37" t="n">
        <v>4000</v>
      </c>
      <c r="E175" s="2" t="s">
        <v>18</v>
      </c>
      <c r="F175" s="2" t="s">
        <v>1083</v>
      </c>
      <c r="G175" s="2" t="s">
        <v>1084</v>
      </c>
      <c r="H175" s="2" t="s">
        <v>322</v>
      </c>
      <c r="I175" s="2" t="s">
        <v>323</v>
      </c>
      <c r="J175" s="2" t="s">
        <v>339</v>
      </c>
      <c r="K175" s="2" t="s">
        <v>1085</v>
      </c>
      <c r="L175" s="2" t="s">
        <v>526</v>
      </c>
    </row>
    <row r="176" customFormat="false" ht="15" hidden="false" customHeight="false" outlineLevel="0" collapsed="false">
      <c r="A176" s="2" t="s">
        <v>1086</v>
      </c>
      <c r="B176" s="9" t="s">
        <v>1087</v>
      </c>
      <c r="C176" s="2" t="s">
        <v>1088</v>
      </c>
      <c r="D176" s="37" t="n">
        <v>700</v>
      </c>
      <c r="E176" s="2" t="s">
        <v>18</v>
      </c>
      <c r="F176" s="2" t="s">
        <v>345</v>
      </c>
      <c r="G176" s="2" t="s">
        <v>1089</v>
      </c>
      <c r="H176" s="2" t="s">
        <v>322</v>
      </c>
      <c r="I176" s="2" t="s">
        <v>323</v>
      </c>
      <c r="J176" s="2" t="s">
        <v>339</v>
      </c>
      <c r="K176" s="2" t="s">
        <v>1085</v>
      </c>
      <c r="L176" s="2" t="s">
        <v>526</v>
      </c>
    </row>
    <row r="177" customFormat="false" ht="15" hidden="false" customHeight="false" outlineLevel="0" collapsed="false">
      <c r="A177" s="2" t="s">
        <v>1090</v>
      </c>
      <c r="B177" s="9" t="s">
        <v>1091</v>
      </c>
      <c r="C177" s="2" t="s">
        <v>1092</v>
      </c>
      <c r="D177" s="37" t="n">
        <v>520</v>
      </c>
      <c r="E177" s="2" t="s">
        <v>18</v>
      </c>
      <c r="F177" s="2" t="s">
        <v>1093</v>
      </c>
      <c r="G177" s="2" t="s">
        <v>1094</v>
      </c>
      <c r="H177" s="2" t="s">
        <v>322</v>
      </c>
      <c r="I177" s="2" t="s">
        <v>323</v>
      </c>
      <c r="J177" s="2" t="s">
        <v>339</v>
      </c>
      <c r="K177" s="2" t="s">
        <v>1085</v>
      </c>
      <c r="L177" s="2" t="s">
        <v>526</v>
      </c>
    </row>
    <row r="178" customFormat="false" ht="15" hidden="false" customHeight="false" outlineLevel="0" collapsed="false">
      <c r="A178" s="2" t="s">
        <v>1095</v>
      </c>
      <c r="B178" s="9" t="s">
        <v>1096</v>
      </c>
      <c r="C178" s="2" t="s">
        <v>1097</v>
      </c>
      <c r="D178" s="31" t="n">
        <f aca="false">01_Data!$D$175+01_Data!$D$176+01_Data!$D$177</f>
        <v>5220</v>
      </c>
      <c r="E178" s="2" t="s">
        <v>18</v>
      </c>
      <c r="F178" s="2" t="s">
        <v>1093</v>
      </c>
      <c r="G178" s="2" t="s">
        <v>1098</v>
      </c>
      <c r="H178" s="2" t="s">
        <v>322</v>
      </c>
      <c r="I178" s="2" t="s">
        <v>323</v>
      </c>
      <c r="J178" s="2" t="s">
        <v>339</v>
      </c>
      <c r="K178" s="2" t="s">
        <v>1085</v>
      </c>
      <c r="L178" s="2" t="s">
        <v>526</v>
      </c>
    </row>
    <row r="179" customFormat="false" ht="15" hidden="false" customHeight="false" outlineLevel="0" collapsed="false">
      <c r="A179" s="2" t="s">
        <v>1099</v>
      </c>
      <c r="B179" s="9" t="s">
        <v>1100</v>
      </c>
      <c r="C179" s="2" t="s">
        <v>1101</v>
      </c>
      <c r="D179" s="38" t="n">
        <v>186436.5</v>
      </c>
      <c r="E179" s="2" t="s">
        <v>18</v>
      </c>
      <c r="F179" s="2" t="s">
        <v>930</v>
      </c>
      <c r="G179" s="2" t="s">
        <v>1050</v>
      </c>
      <c r="H179" s="2" t="s">
        <v>322</v>
      </c>
      <c r="I179" s="2" t="s">
        <v>323</v>
      </c>
      <c r="J179" s="2" t="s">
        <v>339</v>
      </c>
      <c r="K179" s="2" t="s">
        <v>1102</v>
      </c>
      <c r="L179" s="2" t="s">
        <v>933</v>
      </c>
    </row>
    <row r="180" customFormat="false" ht="15" hidden="false" customHeight="false" outlineLevel="0" collapsed="false">
      <c r="A180" s="2" t="s">
        <v>1103</v>
      </c>
      <c r="B180" s="9" t="s">
        <v>1104</v>
      </c>
      <c r="C180" s="2" t="s">
        <v>1105</v>
      </c>
      <c r="D180" s="37" t="n">
        <v>38000</v>
      </c>
      <c r="E180" s="2" t="s">
        <v>18</v>
      </c>
      <c r="F180" s="2" t="s">
        <v>1106</v>
      </c>
      <c r="G180" s="2" t="s">
        <v>1107</v>
      </c>
      <c r="H180" s="2" t="s">
        <v>338</v>
      </c>
      <c r="I180" s="2" t="s">
        <v>426</v>
      </c>
      <c r="J180" s="2" t="s">
        <v>339</v>
      </c>
      <c r="K180" s="2" t="s">
        <v>1108</v>
      </c>
      <c r="L180" s="2" t="s">
        <v>436</v>
      </c>
    </row>
    <row r="181" customFormat="false" ht="15" hidden="false" customHeight="false" outlineLevel="0" collapsed="false">
      <c r="A181" s="2" t="s">
        <v>1109</v>
      </c>
      <c r="B181" s="9" t="s">
        <v>1110</v>
      </c>
      <c r="C181" s="2" t="s">
        <v>1111</v>
      </c>
      <c r="D181" s="43" t="n">
        <v>0.27</v>
      </c>
      <c r="E181" s="2" t="s">
        <v>24</v>
      </c>
      <c r="F181" s="2" t="s">
        <v>1112</v>
      </c>
      <c r="G181" s="2" t="s">
        <v>1113</v>
      </c>
      <c r="H181" s="2" t="s">
        <v>322</v>
      </c>
      <c r="I181" s="2" t="s">
        <v>323</v>
      </c>
      <c r="J181" s="2" t="s">
        <v>339</v>
      </c>
      <c r="K181" s="2" t="s">
        <v>1114</v>
      </c>
      <c r="L181" s="2" t="s">
        <v>436</v>
      </c>
    </row>
    <row r="182" customFormat="false" ht="15" hidden="false" customHeight="false" outlineLevel="0" collapsed="false">
      <c r="A182" s="2" t="s">
        <v>1115</v>
      </c>
      <c r="B182" s="9" t="s">
        <v>1116</v>
      </c>
      <c r="C182" s="2" t="s">
        <v>1117</v>
      </c>
      <c r="D182" s="37" t="n">
        <v>135000</v>
      </c>
      <c r="E182" s="2" t="s">
        <v>18</v>
      </c>
      <c r="F182" s="2" t="s">
        <v>1112</v>
      </c>
      <c r="G182" s="2" t="s">
        <v>1118</v>
      </c>
      <c r="H182" s="2" t="s">
        <v>322</v>
      </c>
      <c r="I182" s="2" t="s">
        <v>323</v>
      </c>
      <c r="J182" s="2" t="s">
        <v>339</v>
      </c>
      <c r="K182" s="2" t="s">
        <v>1114</v>
      </c>
      <c r="L182" s="2" t="s">
        <v>436</v>
      </c>
    </row>
    <row r="183" customFormat="false" ht="15" hidden="false" customHeight="false" outlineLevel="0" collapsed="false">
      <c r="A183" s="2" t="s">
        <v>1119</v>
      </c>
      <c r="B183" s="9" t="s">
        <v>1120</v>
      </c>
      <c r="C183" s="2" t="s">
        <v>1117</v>
      </c>
      <c r="D183" s="43" t="n">
        <v>0.26</v>
      </c>
      <c r="E183" s="2" t="s">
        <v>24</v>
      </c>
      <c r="F183" s="2" t="s">
        <v>1112</v>
      </c>
      <c r="G183" s="2" t="s">
        <v>1118</v>
      </c>
      <c r="H183" s="2" t="s">
        <v>322</v>
      </c>
      <c r="I183" s="2" t="s">
        <v>323</v>
      </c>
      <c r="J183" s="2" t="s">
        <v>339</v>
      </c>
      <c r="K183" s="2" t="s">
        <v>1114</v>
      </c>
      <c r="L183" s="2" t="s">
        <v>428</v>
      </c>
    </row>
    <row r="184" customFormat="false" ht="15" hidden="false" customHeight="false" outlineLevel="0" collapsed="false">
      <c r="A184" s="2" t="s">
        <v>1121</v>
      </c>
      <c r="B184" s="9" t="s">
        <v>1122</v>
      </c>
      <c r="C184" s="2" t="s">
        <v>1117</v>
      </c>
      <c r="D184" s="43" t="n">
        <v>0.47</v>
      </c>
      <c r="E184" s="2" t="s">
        <v>24</v>
      </c>
      <c r="F184" s="2" t="s">
        <v>1112</v>
      </c>
      <c r="G184" s="2" t="s">
        <v>1118</v>
      </c>
      <c r="H184" s="2" t="s">
        <v>322</v>
      </c>
      <c r="I184" s="2" t="s">
        <v>323</v>
      </c>
      <c r="J184" s="2" t="s">
        <v>339</v>
      </c>
      <c r="K184" s="2" t="s">
        <v>1114</v>
      </c>
      <c r="L184" s="2" t="s">
        <v>428</v>
      </c>
    </row>
    <row r="185" customFormat="false" ht="15" hidden="false" customHeight="false" outlineLevel="0" collapsed="false">
      <c r="A185" s="2" t="s">
        <v>1123</v>
      </c>
      <c r="B185" s="9" t="s">
        <v>1124</v>
      </c>
      <c r="C185" s="2" t="s">
        <v>1125</v>
      </c>
      <c r="D185" s="37" t="n">
        <v>678000</v>
      </c>
      <c r="E185" s="2" t="s">
        <v>18</v>
      </c>
      <c r="F185" s="2" t="s">
        <v>440</v>
      </c>
      <c r="G185" s="2" t="s">
        <v>1126</v>
      </c>
      <c r="H185" s="2" t="s">
        <v>322</v>
      </c>
      <c r="I185" s="2" t="s">
        <v>434</v>
      </c>
      <c r="J185" s="2" t="s">
        <v>339</v>
      </c>
      <c r="K185" s="2" t="s">
        <v>1127</v>
      </c>
      <c r="L185" s="2" t="s">
        <v>436</v>
      </c>
    </row>
    <row r="186" customFormat="false" ht="15" hidden="false" customHeight="false" outlineLevel="0" collapsed="false">
      <c r="A186" s="2" t="s">
        <v>1128</v>
      </c>
      <c r="B186" s="9" t="s">
        <v>1129</v>
      </c>
      <c r="C186" s="2" t="s">
        <v>1125</v>
      </c>
      <c r="D186" s="43" t="n">
        <v>0.25</v>
      </c>
      <c r="E186" s="2" t="s">
        <v>24</v>
      </c>
      <c r="F186" s="2" t="s">
        <v>440</v>
      </c>
      <c r="G186" s="2" t="s">
        <v>1126</v>
      </c>
      <c r="H186" s="2" t="s">
        <v>322</v>
      </c>
      <c r="I186" s="2" t="s">
        <v>434</v>
      </c>
      <c r="J186" s="2" t="s">
        <v>339</v>
      </c>
      <c r="K186" s="2" t="s">
        <v>1127</v>
      </c>
      <c r="L186" s="2" t="s">
        <v>428</v>
      </c>
    </row>
    <row r="187" customFormat="false" ht="15" hidden="false" customHeight="false" outlineLevel="0" collapsed="false">
      <c r="A187" s="2" t="s">
        <v>1130</v>
      </c>
      <c r="B187" s="9" t="s">
        <v>1131</v>
      </c>
      <c r="C187" s="2" t="s">
        <v>1132</v>
      </c>
      <c r="D187" s="33" t="s">
        <v>1133</v>
      </c>
      <c r="E187" s="2" t="s">
        <v>720</v>
      </c>
      <c r="F187" s="2" t="s">
        <v>1134</v>
      </c>
      <c r="G187" s="2" t="s">
        <v>1135</v>
      </c>
      <c r="H187" s="2" t="s">
        <v>1136</v>
      </c>
      <c r="I187" s="2" t="s">
        <v>1137</v>
      </c>
      <c r="J187" s="2" t="s">
        <v>339</v>
      </c>
      <c r="K187" s="2" t="s">
        <v>1138</v>
      </c>
      <c r="L187" s="2" t="s">
        <v>436</v>
      </c>
    </row>
    <row r="188" customFormat="false" ht="15" hidden="false" customHeight="false" outlineLevel="0" collapsed="false">
      <c r="A188" s="2" t="s">
        <v>1139</v>
      </c>
      <c r="B188" s="9" t="s">
        <v>1140</v>
      </c>
      <c r="C188" s="2" t="s">
        <v>1141</v>
      </c>
      <c r="D188" s="37" t="n">
        <v>13000</v>
      </c>
      <c r="E188" s="2" t="s">
        <v>18</v>
      </c>
      <c r="F188" s="2" t="s">
        <v>440</v>
      </c>
      <c r="G188" s="2" t="s">
        <v>1142</v>
      </c>
      <c r="H188" s="2" t="s">
        <v>322</v>
      </c>
      <c r="I188" s="2" t="s">
        <v>434</v>
      </c>
      <c r="J188" s="2" t="s">
        <v>339</v>
      </c>
      <c r="K188" s="2" t="s">
        <v>882</v>
      </c>
      <c r="L188" s="2" t="s">
        <v>1143</v>
      </c>
    </row>
    <row r="189" customFormat="false" ht="15" hidden="false" customHeight="false" outlineLevel="0" collapsed="false">
      <c r="A189" s="2" t="s">
        <v>1144</v>
      </c>
      <c r="B189" s="9" t="s">
        <v>1145</v>
      </c>
      <c r="C189" s="2" t="s">
        <v>1146</v>
      </c>
      <c r="D189" s="37" t="n">
        <v>11900</v>
      </c>
      <c r="E189" s="2" t="s">
        <v>18</v>
      </c>
      <c r="F189" s="2" t="s">
        <v>440</v>
      </c>
      <c r="G189" s="2" t="s">
        <v>1147</v>
      </c>
      <c r="H189" s="2" t="s">
        <v>322</v>
      </c>
      <c r="I189" s="2" t="s">
        <v>434</v>
      </c>
      <c r="J189" s="2" t="s">
        <v>339</v>
      </c>
      <c r="K189" s="2" t="s">
        <v>882</v>
      </c>
      <c r="L189" s="2" t="s">
        <v>1143</v>
      </c>
    </row>
    <row r="190" customFormat="false" ht="15" hidden="false" customHeight="false" outlineLevel="0" collapsed="false">
      <c r="A190" s="2" t="s">
        <v>1148</v>
      </c>
      <c r="B190" s="9" t="s">
        <v>1149</v>
      </c>
      <c r="C190" s="2" t="s">
        <v>1150</v>
      </c>
      <c r="D190" s="33" t="s">
        <v>1151</v>
      </c>
      <c r="E190" s="2" t="s">
        <v>720</v>
      </c>
      <c r="F190" s="2" t="s">
        <v>320</v>
      </c>
      <c r="G190" s="2" t="s">
        <v>1152</v>
      </c>
      <c r="H190" s="2" t="s">
        <v>322</v>
      </c>
      <c r="I190" s="2" t="s">
        <v>323</v>
      </c>
      <c r="J190" s="2" t="s">
        <v>324</v>
      </c>
      <c r="K190" s="2" t="s">
        <v>1153</v>
      </c>
      <c r="L190" s="2" t="s">
        <v>1154</v>
      </c>
    </row>
    <row r="191" customFormat="false" ht="15" hidden="false" customHeight="false" outlineLevel="0" collapsed="false">
      <c r="A191" s="2" t="s">
        <v>1155</v>
      </c>
      <c r="B191" s="9" t="s">
        <v>1156</v>
      </c>
      <c r="C191" s="2" t="s">
        <v>1157</v>
      </c>
      <c r="D191" s="33" t="s">
        <v>1158</v>
      </c>
      <c r="E191" s="2" t="s">
        <v>720</v>
      </c>
      <c r="F191" s="2" t="s">
        <v>320</v>
      </c>
      <c r="G191" s="2" t="s">
        <v>784</v>
      </c>
      <c r="H191" s="2" t="s">
        <v>322</v>
      </c>
      <c r="I191" s="2" t="s">
        <v>323</v>
      </c>
      <c r="J191" s="2" t="s">
        <v>324</v>
      </c>
      <c r="K191" s="2" t="s">
        <v>1153</v>
      </c>
      <c r="L191" s="2" t="s">
        <v>1154</v>
      </c>
    </row>
    <row r="192" customFormat="false" ht="15" hidden="false" customHeight="false" outlineLevel="0" collapsed="false">
      <c r="A192" s="2" t="s">
        <v>1159</v>
      </c>
      <c r="B192" s="9" t="s">
        <v>1160</v>
      </c>
      <c r="C192" s="2" t="s">
        <v>1161</v>
      </c>
      <c r="D192" s="37" t="n">
        <v>1000</v>
      </c>
      <c r="E192" s="2" t="s">
        <v>14</v>
      </c>
      <c r="F192" s="2" t="s">
        <v>1162</v>
      </c>
      <c r="G192" s="2" t="s">
        <v>1163</v>
      </c>
      <c r="H192" s="2" t="s">
        <v>322</v>
      </c>
      <c r="I192" s="2" t="s">
        <v>323</v>
      </c>
      <c r="J192" s="2" t="s">
        <v>324</v>
      </c>
      <c r="K192" s="2" t="s">
        <v>1164</v>
      </c>
      <c r="L192" s="2" t="s">
        <v>1154</v>
      </c>
    </row>
    <row r="193" customFormat="false" ht="15" hidden="false" customHeight="false" outlineLevel="0" collapsed="false">
      <c r="A193" s="2" t="s">
        <v>1165</v>
      </c>
      <c r="B193" s="9" t="s">
        <v>1166</v>
      </c>
      <c r="C193" s="2" t="s">
        <v>1167</v>
      </c>
      <c r="D193" s="38" t="n">
        <v>1000</v>
      </c>
      <c r="E193" s="2" t="s">
        <v>18</v>
      </c>
      <c r="F193" s="2" t="s">
        <v>1168</v>
      </c>
      <c r="G193" s="2" t="s">
        <v>1169</v>
      </c>
      <c r="H193" s="2" t="s">
        <v>338</v>
      </c>
      <c r="I193" s="2" t="s">
        <v>323</v>
      </c>
      <c r="J193" s="2" t="s">
        <v>339</v>
      </c>
      <c r="K193" s="2" t="s">
        <v>347</v>
      </c>
      <c r="L193" s="2" t="s">
        <v>526</v>
      </c>
    </row>
    <row r="194" customFormat="false" ht="15" hidden="false" customHeight="false" outlineLevel="0" collapsed="false">
      <c r="A194" s="2" t="s">
        <v>1170</v>
      </c>
      <c r="B194" s="9" t="s">
        <v>1171</v>
      </c>
      <c r="C194" s="2" t="s">
        <v>1172</v>
      </c>
      <c r="D194" s="38" t="n">
        <v>10</v>
      </c>
      <c r="E194" s="2" t="s">
        <v>18</v>
      </c>
      <c r="F194" s="2" t="s">
        <v>511</v>
      </c>
      <c r="G194" s="2" t="s">
        <v>1169</v>
      </c>
      <c r="H194" s="2" t="s">
        <v>338</v>
      </c>
      <c r="I194" s="2" t="s">
        <v>323</v>
      </c>
      <c r="J194" s="2" t="s">
        <v>339</v>
      </c>
      <c r="K194" s="2" t="s">
        <v>347</v>
      </c>
      <c r="L194" s="2" t="s">
        <v>526</v>
      </c>
    </row>
    <row r="195" customFormat="false" ht="15" hidden="false" customHeight="false" outlineLevel="0" collapsed="false">
      <c r="A195" s="2" t="s">
        <v>1173</v>
      </c>
      <c r="B195" s="9" t="s">
        <v>1174</v>
      </c>
      <c r="C195" s="2" t="s">
        <v>1175</v>
      </c>
      <c r="D195" s="38" t="n">
        <v>2000</v>
      </c>
      <c r="E195" s="2" t="s">
        <v>18</v>
      </c>
      <c r="F195" s="2" t="s">
        <v>1176</v>
      </c>
      <c r="G195" s="2" t="s">
        <v>1169</v>
      </c>
      <c r="H195" s="2" t="s">
        <v>338</v>
      </c>
      <c r="I195" s="2" t="s">
        <v>323</v>
      </c>
      <c r="J195" s="2" t="s">
        <v>339</v>
      </c>
      <c r="K195" s="2" t="s">
        <v>347</v>
      </c>
      <c r="L195" s="2" t="s">
        <v>526</v>
      </c>
    </row>
    <row r="196" customFormat="false" ht="15" hidden="false" customHeight="false" outlineLevel="0" collapsed="false">
      <c r="A196" s="2" t="s">
        <v>1177</v>
      </c>
      <c r="B196" s="9" t="s">
        <v>1178</v>
      </c>
      <c r="C196" s="2" t="s">
        <v>1179</v>
      </c>
      <c r="D196" s="38" t="n">
        <v>10000</v>
      </c>
      <c r="E196" s="2" t="s">
        <v>18</v>
      </c>
      <c r="F196" s="2" t="s">
        <v>1180</v>
      </c>
      <c r="G196" s="2" t="s">
        <v>1169</v>
      </c>
      <c r="H196" s="2" t="s">
        <v>338</v>
      </c>
      <c r="I196" s="2" t="s">
        <v>323</v>
      </c>
      <c r="J196" s="2" t="s">
        <v>339</v>
      </c>
      <c r="K196" s="2" t="s">
        <v>347</v>
      </c>
      <c r="L196" s="2" t="s">
        <v>526</v>
      </c>
    </row>
    <row r="197" customFormat="false" ht="15" hidden="false" customHeight="false" outlineLevel="0" collapsed="false">
      <c r="A197" s="2" t="s">
        <v>1181</v>
      </c>
      <c r="B197" s="9" t="s">
        <v>1182</v>
      </c>
      <c r="C197" s="2" t="s">
        <v>1183</v>
      </c>
      <c r="D197" s="38" t="n">
        <v>300</v>
      </c>
      <c r="E197" s="2" t="s">
        <v>18</v>
      </c>
      <c r="F197" s="2" t="s">
        <v>1184</v>
      </c>
      <c r="G197" s="2" t="s">
        <v>1169</v>
      </c>
      <c r="H197" s="2" t="s">
        <v>338</v>
      </c>
      <c r="I197" s="2" t="s">
        <v>323</v>
      </c>
      <c r="J197" s="2" t="s">
        <v>339</v>
      </c>
      <c r="K197" s="2" t="s">
        <v>347</v>
      </c>
      <c r="L197" s="2" t="s">
        <v>526</v>
      </c>
    </row>
    <row r="198" customFormat="false" ht="15" hidden="false" customHeight="false" outlineLevel="0" collapsed="false">
      <c r="A198" s="2" t="s">
        <v>1185</v>
      </c>
      <c r="B198" s="9" t="s">
        <v>1186</v>
      </c>
      <c r="C198" s="2" t="s">
        <v>1187</v>
      </c>
      <c r="D198" s="38" t="n">
        <v>6600</v>
      </c>
      <c r="E198" s="2" t="s">
        <v>18</v>
      </c>
      <c r="F198" s="2" t="s">
        <v>1188</v>
      </c>
      <c r="G198" s="2" t="s">
        <v>1169</v>
      </c>
      <c r="H198" s="2" t="s">
        <v>338</v>
      </c>
      <c r="I198" s="2" t="s">
        <v>323</v>
      </c>
      <c r="J198" s="2" t="s">
        <v>339</v>
      </c>
      <c r="K198" s="2" t="s">
        <v>347</v>
      </c>
      <c r="L198" s="2" t="s">
        <v>526</v>
      </c>
    </row>
    <row r="199" customFormat="false" ht="15" hidden="false" customHeight="false" outlineLevel="0" collapsed="false">
      <c r="A199" s="2" t="s">
        <v>1189</v>
      </c>
      <c r="B199" s="9" t="s">
        <v>1190</v>
      </c>
      <c r="C199" s="2" t="s">
        <v>1191</v>
      </c>
      <c r="D199" s="38" t="n">
        <v>40000</v>
      </c>
      <c r="E199" s="2" t="s">
        <v>18</v>
      </c>
      <c r="F199" s="2" t="s">
        <v>1192</v>
      </c>
      <c r="G199" s="2" t="s">
        <v>1169</v>
      </c>
      <c r="H199" s="2" t="s">
        <v>338</v>
      </c>
      <c r="I199" s="2" t="s">
        <v>323</v>
      </c>
      <c r="J199" s="2" t="s">
        <v>339</v>
      </c>
      <c r="K199" s="2" t="s">
        <v>347</v>
      </c>
      <c r="L199" s="2" t="s">
        <v>526</v>
      </c>
    </row>
    <row r="200" customFormat="false" ht="15" hidden="false" customHeight="false" outlineLevel="0" collapsed="false">
      <c r="A200" s="2" t="s">
        <v>1193</v>
      </c>
      <c r="B200" s="9" t="s">
        <v>1194</v>
      </c>
      <c r="C200" s="2" t="s">
        <v>1195</v>
      </c>
      <c r="D200" s="38" t="n">
        <v>6.5</v>
      </c>
      <c r="E200" s="2" t="s">
        <v>18</v>
      </c>
      <c r="F200" s="2" t="s">
        <v>1196</v>
      </c>
      <c r="G200" s="2" t="s">
        <v>1169</v>
      </c>
      <c r="H200" s="2" t="s">
        <v>338</v>
      </c>
      <c r="I200" s="2" t="s">
        <v>323</v>
      </c>
      <c r="J200" s="2" t="s">
        <v>339</v>
      </c>
      <c r="K200" s="2" t="s">
        <v>347</v>
      </c>
      <c r="L200" s="2" t="s">
        <v>526</v>
      </c>
    </row>
    <row r="201" customFormat="false" ht="15" hidden="false" customHeight="false" outlineLevel="0" collapsed="false">
      <c r="A201" s="2" t="s">
        <v>1197</v>
      </c>
      <c r="B201" s="9" t="s">
        <v>1198</v>
      </c>
      <c r="C201" s="2" t="s">
        <v>1199</v>
      </c>
      <c r="D201" s="38" t="n">
        <v>121300</v>
      </c>
      <c r="E201" s="2" t="s">
        <v>18</v>
      </c>
      <c r="F201" s="2" t="s">
        <v>345</v>
      </c>
      <c r="G201" s="2" t="s">
        <v>1169</v>
      </c>
      <c r="H201" s="2" t="s">
        <v>338</v>
      </c>
      <c r="I201" s="2" t="s">
        <v>323</v>
      </c>
      <c r="J201" s="2" t="s">
        <v>339</v>
      </c>
      <c r="K201" s="2" t="s">
        <v>347</v>
      </c>
      <c r="L201" s="2" t="s">
        <v>526</v>
      </c>
    </row>
    <row r="202" customFormat="false" ht="15" hidden="false" customHeight="false" outlineLevel="0" collapsed="false">
      <c r="A202" s="24" t="s">
        <v>1200</v>
      </c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</row>
    <row r="203" customFormat="false" ht="15" hidden="false" customHeight="false" outlineLevel="0" collapsed="false">
      <c r="A203" s="2" t="s">
        <v>1201</v>
      </c>
      <c r="B203" s="9" t="s">
        <v>1202</v>
      </c>
      <c r="C203" s="2" t="s">
        <v>1203</v>
      </c>
      <c r="D203" s="37" t="n">
        <v>100000</v>
      </c>
      <c r="E203" s="2" t="s">
        <v>18</v>
      </c>
      <c r="F203" s="2" t="s">
        <v>793</v>
      </c>
      <c r="G203" s="2" t="s">
        <v>1204</v>
      </c>
      <c r="H203" s="2" t="s">
        <v>322</v>
      </c>
      <c r="I203" s="2" t="s">
        <v>434</v>
      </c>
      <c r="J203" s="2" t="s">
        <v>339</v>
      </c>
      <c r="K203" s="2" t="s">
        <v>795</v>
      </c>
      <c r="L203" s="2" t="s">
        <v>428</v>
      </c>
    </row>
    <row r="204" customFormat="false" ht="15" hidden="false" customHeight="false" outlineLevel="0" collapsed="false">
      <c r="A204" s="2" t="s">
        <v>1205</v>
      </c>
      <c r="B204" s="9" t="s">
        <v>1206</v>
      </c>
      <c r="C204" s="2" t="s">
        <v>1207</v>
      </c>
      <c r="D204" s="40" t="n">
        <v>10</v>
      </c>
      <c r="E204" s="2" t="s">
        <v>51</v>
      </c>
      <c r="F204" s="2" t="s">
        <v>793</v>
      </c>
      <c r="G204" s="2" t="s">
        <v>1208</v>
      </c>
      <c r="H204" s="2" t="s">
        <v>322</v>
      </c>
      <c r="I204" s="2" t="s">
        <v>434</v>
      </c>
      <c r="J204" s="2" t="s">
        <v>339</v>
      </c>
      <c r="K204" s="2" t="s">
        <v>795</v>
      </c>
      <c r="L204" s="2" t="s">
        <v>428</v>
      </c>
    </row>
    <row r="205" customFormat="false" ht="15" hidden="false" customHeight="false" outlineLevel="0" collapsed="false">
      <c r="A205" s="2" t="s">
        <v>1209</v>
      </c>
      <c r="B205" s="9" t="s">
        <v>1210</v>
      </c>
      <c r="C205" s="2" t="s">
        <v>1211</v>
      </c>
      <c r="D205" s="39" t="n">
        <v>5</v>
      </c>
      <c r="E205" s="2" t="s">
        <v>713</v>
      </c>
      <c r="F205" s="2" t="s">
        <v>793</v>
      </c>
      <c r="G205" s="2" t="s">
        <v>784</v>
      </c>
      <c r="H205" s="2" t="s">
        <v>322</v>
      </c>
      <c r="I205" s="2" t="s">
        <v>434</v>
      </c>
      <c r="J205" s="2" t="s">
        <v>339</v>
      </c>
      <c r="K205" s="2" t="s">
        <v>795</v>
      </c>
      <c r="L205" s="2" t="s">
        <v>428</v>
      </c>
    </row>
    <row r="206" customFormat="false" ht="15" hidden="false" customHeight="false" outlineLevel="0" collapsed="false">
      <c r="A206" s="2" t="s">
        <v>1212</v>
      </c>
      <c r="B206" s="9" t="s">
        <v>1213</v>
      </c>
      <c r="C206" s="2" t="s">
        <v>1214</v>
      </c>
      <c r="D206" s="37" t="n">
        <v>30000</v>
      </c>
      <c r="E206" s="2" t="s">
        <v>18</v>
      </c>
      <c r="F206" s="2" t="s">
        <v>1215</v>
      </c>
      <c r="G206" s="2" t="s">
        <v>1216</v>
      </c>
      <c r="H206" s="2" t="s">
        <v>322</v>
      </c>
      <c r="I206" s="2" t="s">
        <v>434</v>
      </c>
      <c r="J206" s="2" t="s">
        <v>339</v>
      </c>
      <c r="K206" s="2" t="s">
        <v>1217</v>
      </c>
      <c r="L206" s="2" t="s">
        <v>428</v>
      </c>
    </row>
    <row r="207" customFormat="false" ht="15" hidden="false" customHeight="false" outlineLevel="0" collapsed="false">
      <c r="A207" s="2" t="s">
        <v>1218</v>
      </c>
      <c r="B207" s="9" t="s">
        <v>1219</v>
      </c>
      <c r="C207" s="2" t="s">
        <v>1220</v>
      </c>
      <c r="D207" s="39" t="n">
        <v>1</v>
      </c>
      <c r="E207" s="2" t="s">
        <v>713</v>
      </c>
      <c r="F207" s="2" t="s">
        <v>1215</v>
      </c>
      <c r="G207" s="2" t="s">
        <v>784</v>
      </c>
      <c r="H207" s="2" t="s">
        <v>322</v>
      </c>
      <c r="I207" s="2" t="s">
        <v>434</v>
      </c>
      <c r="J207" s="2" t="s">
        <v>339</v>
      </c>
      <c r="K207" s="2" t="s">
        <v>1217</v>
      </c>
      <c r="L207" s="2" t="s">
        <v>428</v>
      </c>
    </row>
    <row r="208" customFormat="false" ht="15" hidden="false" customHeight="false" outlineLevel="0" collapsed="false">
      <c r="A208" s="2" t="s">
        <v>1221</v>
      </c>
      <c r="B208" s="9" t="s">
        <v>1222</v>
      </c>
      <c r="C208" s="2" t="s">
        <v>1223</v>
      </c>
      <c r="D208" s="37" t="n">
        <v>1250</v>
      </c>
      <c r="E208" s="2" t="s">
        <v>956</v>
      </c>
      <c r="F208" s="2" t="s">
        <v>875</v>
      </c>
      <c r="G208" s="2" t="s">
        <v>1224</v>
      </c>
      <c r="H208" s="2" t="s">
        <v>322</v>
      </c>
      <c r="I208" s="2" t="s">
        <v>434</v>
      </c>
      <c r="J208" s="2" t="s">
        <v>339</v>
      </c>
      <c r="K208" s="2" t="s">
        <v>1225</v>
      </c>
      <c r="L208" s="2" t="s">
        <v>428</v>
      </c>
    </row>
    <row r="209" customFormat="false" ht="15" hidden="false" customHeight="false" outlineLevel="0" collapsed="false">
      <c r="A209" s="2" t="s">
        <v>1226</v>
      </c>
      <c r="B209" s="9" t="s">
        <v>1227</v>
      </c>
      <c r="C209" s="2" t="s">
        <v>1228</v>
      </c>
      <c r="D209" s="46" t="n">
        <v>47269</v>
      </c>
      <c r="E209" s="2" t="s">
        <v>128</v>
      </c>
      <c r="F209" s="2" t="s">
        <v>875</v>
      </c>
      <c r="G209" s="2" t="s">
        <v>1229</v>
      </c>
      <c r="H209" s="2" t="s">
        <v>322</v>
      </c>
      <c r="I209" s="2" t="s">
        <v>434</v>
      </c>
      <c r="J209" s="2" t="s">
        <v>339</v>
      </c>
      <c r="K209" s="2" t="s">
        <v>1225</v>
      </c>
      <c r="L209" s="2" t="s">
        <v>428</v>
      </c>
    </row>
    <row r="210" customFormat="false" ht="15" hidden="false" customHeight="false" outlineLevel="0" collapsed="false">
      <c r="A210" s="2" t="s">
        <v>1230</v>
      </c>
      <c r="B210" s="9" t="s">
        <v>1231</v>
      </c>
      <c r="C210" s="2" t="s">
        <v>1232</v>
      </c>
      <c r="D210" s="40" t="n">
        <v>3</v>
      </c>
      <c r="E210" s="2" t="s">
        <v>1233</v>
      </c>
      <c r="F210" s="2" t="s">
        <v>875</v>
      </c>
      <c r="G210" s="2" t="s">
        <v>1234</v>
      </c>
      <c r="H210" s="2" t="s">
        <v>322</v>
      </c>
      <c r="I210" s="2" t="s">
        <v>434</v>
      </c>
      <c r="J210" s="2" t="s">
        <v>339</v>
      </c>
      <c r="K210" s="2" t="s">
        <v>1225</v>
      </c>
      <c r="L210" s="2" t="s">
        <v>428</v>
      </c>
    </row>
    <row r="211" customFormat="false" ht="15" hidden="false" customHeight="false" outlineLevel="0" collapsed="false">
      <c r="A211" s="2" t="s">
        <v>1235</v>
      </c>
      <c r="B211" s="9" t="s">
        <v>1236</v>
      </c>
      <c r="C211" s="2" t="s">
        <v>1237</v>
      </c>
      <c r="D211" s="37" t="n">
        <v>50000</v>
      </c>
      <c r="E211" s="2" t="s">
        <v>18</v>
      </c>
      <c r="F211" s="2" t="s">
        <v>1238</v>
      </c>
      <c r="G211" s="2" t="s">
        <v>1239</v>
      </c>
      <c r="H211" s="2" t="s">
        <v>322</v>
      </c>
      <c r="I211" s="2" t="s">
        <v>434</v>
      </c>
      <c r="J211" s="2" t="s">
        <v>339</v>
      </c>
      <c r="K211" s="2" t="s">
        <v>1240</v>
      </c>
      <c r="L211" s="2" t="s">
        <v>428</v>
      </c>
    </row>
    <row r="212" customFormat="false" ht="15" hidden="false" customHeight="false" outlineLevel="0" collapsed="false">
      <c r="A212" s="2" t="s">
        <v>1241</v>
      </c>
      <c r="B212" s="9" t="s">
        <v>1242</v>
      </c>
      <c r="C212" s="2" t="s">
        <v>1243</v>
      </c>
      <c r="D212" s="44" t="s">
        <v>1244</v>
      </c>
      <c r="E212" s="2" t="s">
        <v>720</v>
      </c>
      <c r="F212" s="2" t="s">
        <v>1238</v>
      </c>
      <c r="G212" s="2" t="s">
        <v>1245</v>
      </c>
      <c r="H212" s="2" t="s">
        <v>322</v>
      </c>
      <c r="I212" s="2" t="s">
        <v>434</v>
      </c>
      <c r="J212" s="2" t="s">
        <v>339</v>
      </c>
      <c r="K212" s="2" t="s">
        <v>1246</v>
      </c>
      <c r="L212" s="2" t="s">
        <v>428</v>
      </c>
    </row>
    <row r="213" customFormat="false" ht="15" hidden="false" customHeight="false" outlineLevel="0" collapsed="false">
      <c r="A213" s="2" t="s">
        <v>1247</v>
      </c>
      <c r="B213" s="9" t="s">
        <v>1248</v>
      </c>
      <c r="C213" s="2" t="s">
        <v>1249</v>
      </c>
      <c r="D213" s="37" t="n">
        <v>45000</v>
      </c>
      <c r="E213" s="2" t="s">
        <v>18</v>
      </c>
      <c r="F213" s="2" t="s">
        <v>1250</v>
      </c>
      <c r="G213" s="2" t="s">
        <v>1251</v>
      </c>
      <c r="H213" s="2" t="s">
        <v>322</v>
      </c>
      <c r="I213" s="2" t="s">
        <v>323</v>
      </c>
      <c r="J213" s="2" t="s">
        <v>339</v>
      </c>
      <c r="K213" s="2" t="s">
        <v>1252</v>
      </c>
      <c r="L213" s="2" t="s">
        <v>428</v>
      </c>
    </row>
    <row r="214" customFormat="false" ht="15" hidden="false" customHeight="false" outlineLevel="0" collapsed="false">
      <c r="A214" s="2" t="s">
        <v>1253</v>
      </c>
      <c r="B214" s="9" t="s">
        <v>1254</v>
      </c>
      <c r="C214" s="2" t="s">
        <v>1255</v>
      </c>
      <c r="D214" s="40" t="n">
        <v>6</v>
      </c>
      <c r="E214" s="2" t="s">
        <v>51</v>
      </c>
      <c r="F214" s="2" t="s">
        <v>1250</v>
      </c>
      <c r="G214" s="2" t="s">
        <v>1256</v>
      </c>
      <c r="H214" s="2" t="s">
        <v>322</v>
      </c>
      <c r="I214" s="2" t="s">
        <v>323</v>
      </c>
      <c r="J214" s="2" t="s">
        <v>339</v>
      </c>
      <c r="K214" s="2" t="s">
        <v>1252</v>
      </c>
      <c r="L214" s="2" t="s">
        <v>428</v>
      </c>
    </row>
    <row r="215" customFormat="false" ht="15" hidden="false" customHeight="false" outlineLevel="0" collapsed="false">
      <c r="A215" s="2" t="s">
        <v>1257</v>
      </c>
      <c r="B215" s="9" t="s">
        <v>1258</v>
      </c>
      <c r="C215" s="2" t="s">
        <v>1259</v>
      </c>
      <c r="D215" s="40" t="n">
        <v>460</v>
      </c>
      <c r="E215" s="2" t="s">
        <v>463</v>
      </c>
      <c r="F215" s="2" t="s">
        <v>1250</v>
      </c>
      <c r="G215" s="2" t="s">
        <v>1260</v>
      </c>
      <c r="H215" s="2" t="s">
        <v>338</v>
      </c>
      <c r="I215" s="2" t="s">
        <v>426</v>
      </c>
      <c r="J215" s="2" t="s">
        <v>339</v>
      </c>
      <c r="K215" s="2" t="s">
        <v>1252</v>
      </c>
      <c r="L215" s="2" t="s">
        <v>428</v>
      </c>
    </row>
    <row r="216" customFormat="false" ht="15" hidden="false" customHeight="false" outlineLevel="0" collapsed="false">
      <c r="A216" s="2" t="s">
        <v>1261</v>
      </c>
      <c r="B216" s="9" t="s">
        <v>1262</v>
      </c>
      <c r="C216" s="2" t="s">
        <v>1263</v>
      </c>
      <c r="D216" s="37" t="n">
        <v>35000</v>
      </c>
      <c r="E216" s="2" t="s">
        <v>18</v>
      </c>
      <c r="F216" s="2" t="s">
        <v>1162</v>
      </c>
      <c r="G216" s="2" t="s">
        <v>1264</v>
      </c>
      <c r="H216" s="2" t="s">
        <v>322</v>
      </c>
      <c r="I216" s="2" t="s">
        <v>323</v>
      </c>
      <c r="J216" s="2" t="s">
        <v>339</v>
      </c>
      <c r="K216" s="2" t="s">
        <v>1265</v>
      </c>
      <c r="L216" s="2" t="s">
        <v>428</v>
      </c>
    </row>
    <row r="217" customFormat="false" ht="15" hidden="false" customHeight="false" outlineLevel="0" collapsed="false">
      <c r="A217" s="2" t="s">
        <v>1266</v>
      </c>
      <c r="B217" s="9" t="s">
        <v>1267</v>
      </c>
      <c r="C217" s="2" t="s">
        <v>1268</v>
      </c>
      <c r="D217" s="40" t="n">
        <v>350</v>
      </c>
      <c r="E217" s="2" t="s">
        <v>463</v>
      </c>
      <c r="F217" s="2" t="s">
        <v>1162</v>
      </c>
      <c r="G217" s="2" t="s">
        <v>1269</v>
      </c>
      <c r="H217" s="2" t="s">
        <v>338</v>
      </c>
      <c r="I217" s="2" t="s">
        <v>497</v>
      </c>
      <c r="J217" s="2" t="s">
        <v>339</v>
      </c>
      <c r="K217" s="2" t="s">
        <v>1265</v>
      </c>
      <c r="L217" s="2" t="s">
        <v>428</v>
      </c>
    </row>
    <row r="218" customFormat="false" ht="15" hidden="false" customHeight="false" outlineLevel="0" collapsed="false">
      <c r="A218" s="2" t="s">
        <v>1270</v>
      </c>
      <c r="B218" s="9" t="s">
        <v>1271</v>
      </c>
      <c r="C218" s="2" t="s">
        <v>1272</v>
      </c>
      <c r="D218" s="40" t="n">
        <v>15</v>
      </c>
      <c r="E218" s="2" t="s">
        <v>51</v>
      </c>
      <c r="F218" s="2" t="s">
        <v>740</v>
      </c>
      <c r="G218" s="2" t="s">
        <v>1273</v>
      </c>
      <c r="H218" s="2" t="s">
        <v>322</v>
      </c>
      <c r="I218" s="2" t="s">
        <v>434</v>
      </c>
      <c r="J218" s="2" t="s">
        <v>339</v>
      </c>
      <c r="K218" s="2" t="s">
        <v>1274</v>
      </c>
      <c r="L218" s="2" t="s">
        <v>436</v>
      </c>
    </row>
    <row r="219" customFormat="false" ht="15" hidden="false" customHeight="false" outlineLevel="0" collapsed="false">
      <c r="A219" s="2" t="s">
        <v>1275</v>
      </c>
      <c r="B219" s="9" t="s">
        <v>1276</v>
      </c>
      <c r="C219" s="2" t="s">
        <v>1277</v>
      </c>
      <c r="D219" s="40" t="n">
        <v>704</v>
      </c>
      <c r="E219" s="2" t="s">
        <v>463</v>
      </c>
      <c r="F219" s="2" t="s">
        <v>740</v>
      </c>
      <c r="G219" s="2" t="s">
        <v>1278</v>
      </c>
      <c r="H219" s="2" t="s">
        <v>322</v>
      </c>
      <c r="I219" s="2" t="s">
        <v>434</v>
      </c>
      <c r="J219" s="2" t="s">
        <v>339</v>
      </c>
      <c r="K219" s="2" t="s">
        <v>1274</v>
      </c>
      <c r="L219" s="2" t="s">
        <v>436</v>
      </c>
    </row>
    <row r="220" customFormat="false" ht="15" hidden="false" customHeight="false" outlineLevel="0" collapsed="false">
      <c r="A220" s="2" t="s">
        <v>1279</v>
      </c>
      <c r="B220" s="9" t="s">
        <v>1280</v>
      </c>
      <c r="C220" s="2" t="s">
        <v>1277</v>
      </c>
      <c r="D220" s="37" t="n">
        <v>19600</v>
      </c>
      <c r="E220" s="2" t="s">
        <v>18</v>
      </c>
      <c r="F220" s="2" t="s">
        <v>740</v>
      </c>
      <c r="G220" s="2" t="s">
        <v>1278</v>
      </c>
      <c r="H220" s="2" t="s">
        <v>322</v>
      </c>
      <c r="I220" s="2" t="s">
        <v>434</v>
      </c>
      <c r="J220" s="2" t="s">
        <v>339</v>
      </c>
      <c r="K220" s="2" t="s">
        <v>1274</v>
      </c>
      <c r="L220" s="2" t="s">
        <v>436</v>
      </c>
    </row>
    <row r="221" customFormat="false" ht="15" hidden="false" customHeight="false" outlineLevel="0" collapsed="false">
      <c r="A221" s="2" t="s">
        <v>1281</v>
      </c>
      <c r="B221" s="9" t="s">
        <v>1282</v>
      </c>
      <c r="C221" s="2" t="s">
        <v>1277</v>
      </c>
      <c r="D221" s="37" t="n">
        <v>50200</v>
      </c>
      <c r="E221" s="2" t="s">
        <v>18</v>
      </c>
      <c r="F221" s="2" t="s">
        <v>740</v>
      </c>
      <c r="G221" s="2" t="s">
        <v>1278</v>
      </c>
      <c r="H221" s="2" t="s">
        <v>322</v>
      </c>
      <c r="I221" s="2" t="s">
        <v>434</v>
      </c>
      <c r="J221" s="2" t="s">
        <v>339</v>
      </c>
      <c r="K221" s="2" t="s">
        <v>1274</v>
      </c>
      <c r="L221" s="2" t="s">
        <v>703</v>
      </c>
    </row>
    <row r="222" customFormat="false" ht="15" hidden="false" customHeight="false" outlineLevel="0" collapsed="false">
      <c r="A222" s="2" t="s">
        <v>1283</v>
      </c>
      <c r="B222" s="9" t="s">
        <v>1284</v>
      </c>
      <c r="C222" s="2" t="s">
        <v>1285</v>
      </c>
      <c r="D222" s="37" t="n">
        <v>10000</v>
      </c>
      <c r="E222" s="2" t="s">
        <v>18</v>
      </c>
      <c r="F222" s="2" t="s">
        <v>1286</v>
      </c>
      <c r="G222" s="2" t="s">
        <v>1287</v>
      </c>
      <c r="H222" s="2" t="s">
        <v>338</v>
      </c>
      <c r="I222" s="2" t="s">
        <v>426</v>
      </c>
      <c r="J222" s="2" t="s">
        <v>339</v>
      </c>
      <c r="K222" s="2" t="s">
        <v>1288</v>
      </c>
      <c r="L222" s="2" t="s">
        <v>428</v>
      </c>
    </row>
    <row r="223" customFormat="false" ht="15" hidden="false" customHeight="false" outlineLevel="0" collapsed="false">
      <c r="A223" s="2" t="s">
        <v>1289</v>
      </c>
      <c r="B223" s="9" t="s">
        <v>1290</v>
      </c>
      <c r="C223" s="2" t="s">
        <v>1291</v>
      </c>
      <c r="D223" s="40" t="n">
        <v>6</v>
      </c>
      <c r="E223" s="2" t="s">
        <v>51</v>
      </c>
      <c r="F223" s="2" t="s">
        <v>1286</v>
      </c>
      <c r="G223" s="2" t="s">
        <v>1256</v>
      </c>
      <c r="H223" s="2" t="s">
        <v>338</v>
      </c>
      <c r="I223" s="2" t="s">
        <v>426</v>
      </c>
      <c r="J223" s="2" t="s">
        <v>339</v>
      </c>
      <c r="K223" s="2" t="s">
        <v>1288</v>
      </c>
      <c r="L223" s="2" t="s">
        <v>428</v>
      </c>
    </row>
    <row r="224" customFormat="false" ht="15" hidden="false" customHeight="false" outlineLevel="0" collapsed="false">
      <c r="A224" s="2" t="s">
        <v>1292</v>
      </c>
      <c r="B224" s="9" t="s">
        <v>1293</v>
      </c>
      <c r="C224" s="2" t="s">
        <v>1294</v>
      </c>
      <c r="D224" s="40" t="n">
        <v>133</v>
      </c>
      <c r="E224" s="2" t="s">
        <v>463</v>
      </c>
      <c r="F224" s="2" t="s">
        <v>1286</v>
      </c>
      <c r="G224" s="2" t="s">
        <v>1295</v>
      </c>
      <c r="H224" s="2" t="s">
        <v>338</v>
      </c>
      <c r="I224" s="2" t="s">
        <v>426</v>
      </c>
      <c r="J224" s="2" t="s">
        <v>339</v>
      </c>
      <c r="K224" s="2" t="s">
        <v>1288</v>
      </c>
      <c r="L224" s="2" t="s">
        <v>428</v>
      </c>
    </row>
    <row r="225" customFormat="false" ht="15" hidden="false" customHeight="false" outlineLevel="0" collapsed="false">
      <c r="A225" s="2" t="s">
        <v>1296</v>
      </c>
      <c r="B225" s="9" t="s">
        <v>1297</v>
      </c>
      <c r="C225" s="2" t="s">
        <v>1298</v>
      </c>
      <c r="D225" s="37" t="n">
        <v>9100</v>
      </c>
      <c r="E225" s="2" t="s">
        <v>18</v>
      </c>
      <c r="F225" s="2" t="s">
        <v>1299</v>
      </c>
      <c r="G225" s="2" t="s">
        <v>1300</v>
      </c>
      <c r="H225" s="2" t="s">
        <v>322</v>
      </c>
      <c r="I225" s="2" t="s">
        <v>323</v>
      </c>
      <c r="J225" s="2" t="s">
        <v>339</v>
      </c>
      <c r="K225" s="2" t="s">
        <v>1301</v>
      </c>
      <c r="L225" s="2" t="s">
        <v>428</v>
      </c>
    </row>
    <row r="226" customFormat="false" ht="15" hidden="false" customHeight="false" outlineLevel="0" collapsed="false">
      <c r="A226" s="2" t="s">
        <v>1302</v>
      </c>
      <c r="B226" s="9" t="s">
        <v>1303</v>
      </c>
      <c r="C226" s="2" t="s">
        <v>1304</v>
      </c>
      <c r="D226" s="40" t="n">
        <v>20</v>
      </c>
      <c r="E226" s="2" t="s">
        <v>51</v>
      </c>
      <c r="F226" s="2" t="s">
        <v>1299</v>
      </c>
      <c r="G226" s="2" t="s">
        <v>1305</v>
      </c>
      <c r="H226" s="2" t="s">
        <v>322</v>
      </c>
      <c r="I226" s="2" t="s">
        <v>323</v>
      </c>
      <c r="J226" s="2" t="s">
        <v>339</v>
      </c>
      <c r="K226" s="2" t="s">
        <v>1301</v>
      </c>
      <c r="L226" s="2" t="s">
        <v>428</v>
      </c>
    </row>
    <row r="227" customFormat="false" ht="15" hidden="false" customHeight="false" outlineLevel="0" collapsed="false">
      <c r="A227" s="2" t="s">
        <v>1306</v>
      </c>
      <c r="B227" s="9" t="s">
        <v>1307</v>
      </c>
      <c r="C227" s="2" t="s">
        <v>1308</v>
      </c>
      <c r="D227" s="40" t="n">
        <v>191</v>
      </c>
      <c r="E227" s="2" t="s">
        <v>463</v>
      </c>
      <c r="F227" s="2" t="s">
        <v>1299</v>
      </c>
      <c r="G227" s="2" t="s">
        <v>1309</v>
      </c>
      <c r="H227" s="2" t="s">
        <v>322</v>
      </c>
      <c r="I227" s="2" t="s">
        <v>323</v>
      </c>
      <c r="J227" s="2" t="s">
        <v>339</v>
      </c>
      <c r="K227" s="2" t="s">
        <v>1301</v>
      </c>
      <c r="L227" s="2" t="s">
        <v>428</v>
      </c>
    </row>
    <row r="228" customFormat="false" ht="15" hidden="false" customHeight="false" outlineLevel="0" collapsed="false">
      <c r="A228" s="2" t="s">
        <v>1310</v>
      </c>
      <c r="B228" s="9" t="s">
        <v>1311</v>
      </c>
      <c r="C228" s="2" t="s">
        <v>1312</v>
      </c>
      <c r="D228" s="37" t="n">
        <v>16100</v>
      </c>
      <c r="E228" s="2" t="s">
        <v>18</v>
      </c>
      <c r="F228" s="2" t="s">
        <v>1299</v>
      </c>
      <c r="G228" s="2" t="s">
        <v>1313</v>
      </c>
      <c r="H228" s="2" t="s">
        <v>322</v>
      </c>
      <c r="I228" s="2" t="s">
        <v>323</v>
      </c>
      <c r="J228" s="2" t="s">
        <v>339</v>
      </c>
      <c r="K228" s="2" t="s">
        <v>1301</v>
      </c>
      <c r="L228" s="2" t="s">
        <v>428</v>
      </c>
    </row>
    <row r="229" customFormat="false" ht="15" hidden="false" customHeight="false" outlineLevel="0" collapsed="false">
      <c r="A229" s="2" t="s">
        <v>1314</v>
      </c>
      <c r="B229" s="9" t="s">
        <v>1315</v>
      </c>
      <c r="C229" s="2" t="s">
        <v>1316</v>
      </c>
      <c r="D229" s="39" t="n">
        <v>5</v>
      </c>
      <c r="E229" s="2" t="s">
        <v>713</v>
      </c>
      <c r="F229" s="2" t="s">
        <v>541</v>
      </c>
      <c r="G229" s="2" t="s">
        <v>1317</v>
      </c>
      <c r="H229" s="2" t="s">
        <v>322</v>
      </c>
      <c r="I229" s="2" t="s">
        <v>323</v>
      </c>
      <c r="J229" s="2" t="s">
        <v>339</v>
      </c>
      <c r="K229" s="2" t="s">
        <v>802</v>
      </c>
      <c r="L229" s="2" t="s">
        <v>428</v>
      </c>
    </row>
    <row r="230" customFormat="false" ht="15" hidden="false" customHeight="false" outlineLevel="0" collapsed="false">
      <c r="A230" s="2" t="s">
        <v>1318</v>
      </c>
      <c r="B230" s="9" t="s">
        <v>1319</v>
      </c>
      <c r="C230" s="2" t="s">
        <v>1320</v>
      </c>
      <c r="D230" s="39" t="n">
        <v>1</v>
      </c>
      <c r="E230" s="2" t="s">
        <v>713</v>
      </c>
      <c r="F230" s="2" t="s">
        <v>1321</v>
      </c>
      <c r="G230" s="2" t="s">
        <v>1322</v>
      </c>
      <c r="H230" s="2" t="s">
        <v>322</v>
      </c>
      <c r="I230" s="2" t="s">
        <v>434</v>
      </c>
      <c r="J230" s="2" t="s">
        <v>339</v>
      </c>
      <c r="K230" s="2" t="s">
        <v>1323</v>
      </c>
      <c r="L230" s="2" t="s">
        <v>428</v>
      </c>
    </row>
    <row r="231" customFormat="false" ht="15" hidden="false" customHeight="false" outlineLevel="0" collapsed="false">
      <c r="A231" s="2" t="s">
        <v>1324</v>
      </c>
      <c r="B231" s="9" t="s">
        <v>1325</v>
      </c>
      <c r="C231" s="2" t="s">
        <v>1326</v>
      </c>
      <c r="D231" s="39" t="n">
        <v>5</v>
      </c>
      <c r="E231" s="2" t="s">
        <v>713</v>
      </c>
      <c r="F231" s="2" t="s">
        <v>1321</v>
      </c>
      <c r="G231" s="2" t="s">
        <v>1327</v>
      </c>
      <c r="H231" s="2" t="s">
        <v>322</v>
      </c>
      <c r="I231" s="2" t="s">
        <v>434</v>
      </c>
      <c r="J231" s="2" t="s">
        <v>339</v>
      </c>
      <c r="K231" s="2" t="s">
        <v>1323</v>
      </c>
      <c r="L231" s="2" t="s">
        <v>1328</v>
      </c>
    </row>
    <row r="232" customFormat="false" ht="15" hidden="false" customHeight="false" outlineLevel="0" collapsed="false">
      <c r="A232" s="2" t="s">
        <v>1329</v>
      </c>
      <c r="B232" s="9" t="s">
        <v>1330</v>
      </c>
      <c r="C232" s="2" t="s">
        <v>1326</v>
      </c>
      <c r="D232" s="39" t="n">
        <v>10</v>
      </c>
      <c r="E232" s="2" t="s">
        <v>713</v>
      </c>
      <c r="F232" s="2" t="s">
        <v>1321</v>
      </c>
      <c r="G232" s="2" t="s">
        <v>1327</v>
      </c>
      <c r="H232" s="2" t="s">
        <v>322</v>
      </c>
      <c r="I232" s="2" t="s">
        <v>434</v>
      </c>
      <c r="J232" s="2" t="s">
        <v>339</v>
      </c>
      <c r="K232" s="2" t="s">
        <v>1323</v>
      </c>
      <c r="L232" s="2" t="s">
        <v>1328</v>
      </c>
    </row>
    <row r="233" customFormat="false" ht="15" hidden="false" customHeight="false" outlineLevel="0" collapsed="false">
      <c r="A233" s="2" t="s">
        <v>1331</v>
      </c>
      <c r="B233" s="9" t="s">
        <v>1332</v>
      </c>
      <c r="C233" s="2" t="s">
        <v>1333</v>
      </c>
      <c r="D233" s="39" t="n">
        <v>1.3</v>
      </c>
      <c r="E233" s="2" t="s">
        <v>713</v>
      </c>
      <c r="F233" s="2" t="s">
        <v>1321</v>
      </c>
      <c r="G233" s="2" t="s">
        <v>1327</v>
      </c>
      <c r="H233" s="2" t="s">
        <v>322</v>
      </c>
      <c r="I233" s="2" t="s">
        <v>434</v>
      </c>
      <c r="J233" s="2" t="s">
        <v>339</v>
      </c>
      <c r="K233" s="2" t="s">
        <v>1334</v>
      </c>
      <c r="L233" s="2" t="s">
        <v>428</v>
      </c>
    </row>
    <row r="234" customFormat="false" ht="15" hidden="false" customHeight="false" outlineLevel="0" collapsed="false">
      <c r="A234" s="2" t="s">
        <v>1335</v>
      </c>
      <c r="B234" s="9" t="s">
        <v>1336</v>
      </c>
      <c r="C234" s="2" t="s">
        <v>1333</v>
      </c>
      <c r="D234" s="39" t="n">
        <v>5</v>
      </c>
      <c r="E234" s="2" t="s">
        <v>713</v>
      </c>
      <c r="F234" s="2" t="s">
        <v>1321</v>
      </c>
      <c r="G234" s="2" t="s">
        <v>1327</v>
      </c>
      <c r="H234" s="2" t="s">
        <v>322</v>
      </c>
      <c r="I234" s="2" t="s">
        <v>434</v>
      </c>
      <c r="J234" s="2" t="s">
        <v>339</v>
      </c>
      <c r="K234" s="2" t="s">
        <v>1334</v>
      </c>
      <c r="L234" s="2" t="s">
        <v>428</v>
      </c>
    </row>
    <row r="235" customFormat="false" ht="15" hidden="false" customHeight="false" outlineLevel="0" collapsed="false">
      <c r="A235" s="2" t="s">
        <v>1337</v>
      </c>
      <c r="B235" s="9" t="s">
        <v>1338</v>
      </c>
      <c r="C235" s="2" t="s">
        <v>1339</v>
      </c>
      <c r="D235" s="39" t="n">
        <v>2</v>
      </c>
      <c r="E235" s="2" t="s">
        <v>713</v>
      </c>
      <c r="F235" s="2" t="s">
        <v>412</v>
      </c>
      <c r="G235" s="2" t="s">
        <v>1340</v>
      </c>
      <c r="H235" s="2" t="s">
        <v>322</v>
      </c>
      <c r="I235" s="2" t="s">
        <v>434</v>
      </c>
      <c r="J235" s="2" t="s">
        <v>339</v>
      </c>
      <c r="K235" s="2" t="s">
        <v>807</v>
      </c>
      <c r="L235" s="2" t="s">
        <v>428</v>
      </c>
    </row>
    <row r="236" customFormat="false" ht="15" hidden="false" customHeight="false" outlineLevel="0" collapsed="false">
      <c r="A236" s="2" t="s">
        <v>1341</v>
      </c>
      <c r="B236" s="9" t="s">
        <v>1342</v>
      </c>
      <c r="C236" s="2" t="s">
        <v>1343</v>
      </c>
      <c r="D236" s="37" t="n">
        <v>300000</v>
      </c>
      <c r="E236" s="2" t="s">
        <v>18</v>
      </c>
      <c r="F236" s="2" t="s">
        <v>412</v>
      </c>
      <c r="G236" s="2" t="s">
        <v>1344</v>
      </c>
      <c r="H236" s="2" t="s">
        <v>338</v>
      </c>
      <c r="I236" s="2" t="s">
        <v>323</v>
      </c>
      <c r="J236" s="2" t="s">
        <v>339</v>
      </c>
      <c r="K236" s="2" t="s">
        <v>1345</v>
      </c>
      <c r="L236" s="2" t="s">
        <v>428</v>
      </c>
    </row>
    <row r="237" customFormat="false" ht="15" hidden="false" customHeight="false" outlineLevel="0" collapsed="false">
      <c r="A237" s="2" t="s">
        <v>1346</v>
      </c>
      <c r="B237" s="9" t="s">
        <v>1347</v>
      </c>
      <c r="C237" s="2" t="s">
        <v>1348</v>
      </c>
      <c r="D237" s="40" t="n">
        <v>5</v>
      </c>
      <c r="E237" s="2" t="s">
        <v>51</v>
      </c>
      <c r="F237" s="2" t="s">
        <v>412</v>
      </c>
      <c r="G237" s="2" t="s">
        <v>1349</v>
      </c>
      <c r="H237" s="2" t="s">
        <v>338</v>
      </c>
      <c r="I237" s="2" t="s">
        <v>323</v>
      </c>
      <c r="J237" s="2" t="s">
        <v>339</v>
      </c>
      <c r="K237" s="2" t="s">
        <v>1345</v>
      </c>
      <c r="L237" s="2" t="s">
        <v>428</v>
      </c>
    </row>
    <row r="238" customFormat="false" ht="15" hidden="false" customHeight="false" outlineLevel="0" collapsed="false">
      <c r="A238" s="2" t="s">
        <v>1350</v>
      </c>
      <c r="B238" s="9" t="s">
        <v>1351</v>
      </c>
      <c r="C238" s="2" t="s">
        <v>1352</v>
      </c>
      <c r="D238" s="39" t="n">
        <v>4.5</v>
      </c>
      <c r="E238" s="2" t="s">
        <v>713</v>
      </c>
      <c r="F238" s="2" t="s">
        <v>412</v>
      </c>
      <c r="G238" s="2" t="s">
        <v>1353</v>
      </c>
      <c r="H238" s="2" t="s">
        <v>338</v>
      </c>
      <c r="I238" s="2" t="s">
        <v>323</v>
      </c>
      <c r="J238" s="2" t="s">
        <v>339</v>
      </c>
      <c r="K238" s="2" t="s">
        <v>1345</v>
      </c>
      <c r="L238" s="2" t="s">
        <v>428</v>
      </c>
    </row>
    <row r="239" customFormat="false" ht="15" hidden="false" customHeight="false" outlineLevel="0" collapsed="false">
      <c r="A239" s="2" t="s">
        <v>1354</v>
      </c>
      <c r="B239" s="9" t="s">
        <v>1355</v>
      </c>
      <c r="C239" s="2" t="s">
        <v>1356</v>
      </c>
      <c r="D239" s="37" t="n">
        <v>638000</v>
      </c>
      <c r="E239" s="2" t="s">
        <v>18</v>
      </c>
      <c r="F239" s="2" t="s">
        <v>1357</v>
      </c>
      <c r="G239" s="2" t="s">
        <v>1358</v>
      </c>
      <c r="H239" s="2" t="s">
        <v>322</v>
      </c>
      <c r="I239" s="2" t="s">
        <v>434</v>
      </c>
      <c r="J239" s="2" t="s">
        <v>339</v>
      </c>
      <c r="K239" s="2" t="s">
        <v>1359</v>
      </c>
      <c r="L239" s="2" t="s">
        <v>428</v>
      </c>
    </row>
    <row r="240" customFormat="false" ht="15" hidden="false" customHeight="false" outlineLevel="0" collapsed="false">
      <c r="A240" s="2" t="s">
        <v>1360</v>
      </c>
      <c r="B240" s="9" t="s">
        <v>1361</v>
      </c>
      <c r="C240" s="2" t="s">
        <v>1352</v>
      </c>
      <c r="D240" s="37" t="n">
        <v>38000</v>
      </c>
      <c r="E240" s="2" t="s">
        <v>18</v>
      </c>
      <c r="F240" s="2" t="s">
        <v>412</v>
      </c>
      <c r="G240" s="2" t="s">
        <v>1353</v>
      </c>
      <c r="H240" s="2" t="s">
        <v>338</v>
      </c>
      <c r="I240" s="2" t="s">
        <v>323</v>
      </c>
      <c r="J240" s="2" t="s">
        <v>339</v>
      </c>
      <c r="K240" s="2" t="s">
        <v>1345</v>
      </c>
      <c r="L240" s="2" t="s">
        <v>428</v>
      </c>
    </row>
    <row r="241" customFormat="false" ht="15" hidden="false" customHeight="false" outlineLevel="0" collapsed="false">
      <c r="A241" s="2" t="s">
        <v>1362</v>
      </c>
      <c r="B241" s="9" t="s">
        <v>1363</v>
      </c>
      <c r="C241" s="2" t="s">
        <v>1364</v>
      </c>
      <c r="D241" s="37" t="n">
        <v>100000</v>
      </c>
      <c r="E241" s="2" t="s">
        <v>18</v>
      </c>
      <c r="F241" s="2" t="s">
        <v>1365</v>
      </c>
      <c r="G241" s="2" t="s">
        <v>1366</v>
      </c>
      <c r="H241" s="2" t="s">
        <v>338</v>
      </c>
      <c r="I241" s="2" t="s">
        <v>1367</v>
      </c>
      <c r="J241" s="2" t="s">
        <v>339</v>
      </c>
      <c r="K241" s="2" t="s">
        <v>1345</v>
      </c>
      <c r="L241" s="2" t="s">
        <v>428</v>
      </c>
    </row>
    <row r="242" customFormat="false" ht="15" hidden="false" customHeight="false" outlineLevel="0" collapsed="false">
      <c r="A242" s="2" t="s">
        <v>1368</v>
      </c>
      <c r="B242" s="9" t="s">
        <v>1369</v>
      </c>
      <c r="C242" s="2" t="s">
        <v>1370</v>
      </c>
      <c r="D242" s="31" t="n">
        <f aca="false">01_Data!$D$240+01_Data!$D$241</f>
        <v>138000</v>
      </c>
      <c r="E242" s="2" t="s">
        <v>18</v>
      </c>
      <c r="F242" s="2" t="s">
        <v>1365</v>
      </c>
      <c r="G242" s="2" t="s">
        <v>1371</v>
      </c>
      <c r="H242" s="2" t="s">
        <v>338</v>
      </c>
      <c r="I242" s="2" t="s">
        <v>1367</v>
      </c>
      <c r="J242" s="2" t="s">
        <v>339</v>
      </c>
      <c r="K242" s="2" t="s">
        <v>1345</v>
      </c>
      <c r="L242" s="2" t="s">
        <v>428</v>
      </c>
    </row>
    <row r="243" customFormat="false" ht="15" hidden="false" customHeight="false" outlineLevel="0" collapsed="false">
      <c r="A243" s="2" t="s">
        <v>1372</v>
      </c>
      <c r="B243" s="9" t="s">
        <v>1373</v>
      </c>
      <c r="C243" s="2" t="s">
        <v>1374</v>
      </c>
      <c r="D243" s="40" t="n">
        <v>8</v>
      </c>
      <c r="E243" s="2" t="s">
        <v>51</v>
      </c>
      <c r="F243" s="2" t="s">
        <v>1365</v>
      </c>
      <c r="G243" s="2" t="s">
        <v>1375</v>
      </c>
      <c r="H243" s="2" t="s">
        <v>338</v>
      </c>
      <c r="I243" s="2" t="s">
        <v>1367</v>
      </c>
      <c r="J243" s="2" t="s">
        <v>339</v>
      </c>
      <c r="K243" s="2" t="s">
        <v>1345</v>
      </c>
      <c r="L243" s="2" t="s">
        <v>428</v>
      </c>
    </row>
    <row r="244" customFormat="false" ht="15" hidden="false" customHeight="false" outlineLevel="0" collapsed="false">
      <c r="A244" s="2" t="s">
        <v>1376</v>
      </c>
      <c r="B244" s="9" t="s">
        <v>1377</v>
      </c>
      <c r="C244" s="2" t="s">
        <v>1378</v>
      </c>
      <c r="D244" s="39" t="n">
        <v>2</v>
      </c>
      <c r="E244" s="2" t="s">
        <v>713</v>
      </c>
      <c r="F244" s="2" t="s">
        <v>1365</v>
      </c>
      <c r="G244" s="2" t="s">
        <v>1353</v>
      </c>
      <c r="H244" s="2" t="s">
        <v>338</v>
      </c>
      <c r="I244" s="2" t="s">
        <v>497</v>
      </c>
      <c r="J244" s="2" t="s">
        <v>339</v>
      </c>
      <c r="K244" s="2" t="s">
        <v>1345</v>
      </c>
      <c r="L244" s="2" t="s">
        <v>428</v>
      </c>
    </row>
    <row r="245" customFormat="false" ht="15" hidden="false" customHeight="false" outlineLevel="0" collapsed="false">
      <c r="A245" s="2" t="s">
        <v>1379</v>
      </c>
      <c r="B245" s="9" t="s">
        <v>1380</v>
      </c>
      <c r="C245" s="2" t="s">
        <v>1381</v>
      </c>
      <c r="D245" s="37" t="n">
        <v>22400</v>
      </c>
      <c r="E245" s="2" t="s">
        <v>18</v>
      </c>
      <c r="F245" s="2" t="s">
        <v>440</v>
      </c>
      <c r="G245" s="2" t="s">
        <v>1382</v>
      </c>
      <c r="H245" s="2" t="s">
        <v>322</v>
      </c>
      <c r="I245" s="2" t="s">
        <v>1383</v>
      </c>
      <c r="J245" s="2" t="s">
        <v>339</v>
      </c>
      <c r="K245" s="2" t="s">
        <v>1384</v>
      </c>
      <c r="L245" s="2" t="s">
        <v>428</v>
      </c>
    </row>
    <row r="246" customFormat="false" ht="15" hidden="false" customHeight="false" outlineLevel="0" collapsed="false">
      <c r="A246" s="2" t="s">
        <v>1385</v>
      </c>
      <c r="B246" s="9" t="s">
        <v>1386</v>
      </c>
      <c r="C246" s="2" t="s">
        <v>1387</v>
      </c>
      <c r="D246" s="37" t="n">
        <v>6500</v>
      </c>
      <c r="E246" s="2" t="s">
        <v>18</v>
      </c>
      <c r="F246" s="2" t="s">
        <v>440</v>
      </c>
      <c r="G246" s="2" t="s">
        <v>1388</v>
      </c>
      <c r="H246" s="2" t="s">
        <v>322</v>
      </c>
      <c r="I246" s="2" t="s">
        <v>434</v>
      </c>
      <c r="J246" s="2" t="s">
        <v>339</v>
      </c>
      <c r="K246" s="2" t="s">
        <v>1384</v>
      </c>
      <c r="L246" s="2" t="s">
        <v>428</v>
      </c>
    </row>
    <row r="247" customFormat="false" ht="15" hidden="false" customHeight="false" outlineLevel="0" collapsed="false">
      <c r="A247" s="2" t="s">
        <v>1389</v>
      </c>
      <c r="B247" s="9" t="s">
        <v>1390</v>
      </c>
      <c r="C247" s="2" t="s">
        <v>1387</v>
      </c>
      <c r="D247" s="46" t="n">
        <v>47999</v>
      </c>
      <c r="E247" s="2" t="s">
        <v>128</v>
      </c>
      <c r="F247" s="2" t="s">
        <v>440</v>
      </c>
      <c r="G247" s="2" t="s">
        <v>1388</v>
      </c>
      <c r="H247" s="2" t="s">
        <v>322</v>
      </c>
      <c r="I247" s="2" t="s">
        <v>434</v>
      </c>
      <c r="J247" s="2" t="s">
        <v>339</v>
      </c>
      <c r="K247" s="2" t="s">
        <v>1384</v>
      </c>
      <c r="L247" s="2" t="s">
        <v>428</v>
      </c>
    </row>
    <row r="248" customFormat="false" ht="15" hidden="false" customHeight="false" outlineLevel="0" collapsed="false">
      <c r="A248" s="2" t="s">
        <v>1391</v>
      </c>
      <c r="B248" s="9" t="s">
        <v>1392</v>
      </c>
      <c r="C248" s="2" t="s">
        <v>1393</v>
      </c>
      <c r="D248" s="37" t="n">
        <v>20000</v>
      </c>
      <c r="E248" s="2" t="s">
        <v>18</v>
      </c>
      <c r="F248" s="2" t="s">
        <v>1106</v>
      </c>
      <c r="G248" s="2" t="s">
        <v>1394</v>
      </c>
      <c r="H248" s="2" t="s">
        <v>322</v>
      </c>
      <c r="I248" s="2" t="s">
        <v>434</v>
      </c>
      <c r="J248" s="2" t="s">
        <v>339</v>
      </c>
      <c r="K248" s="2" t="s">
        <v>1395</v>
      </c>
      <c r="L248" s="2" t="s">
        <v>428</v>
      </c>
    </row>
    <row r="249" customFormat="false" ht="15" hidden="false" customHeight="false" outlineLevel="0" collapsed="false">
      <c r="A249" s="2" t="s">
        <v>1396</v>
      </c>
      <c r="B249" s="9" t="s">
        <v>1397</v>
      </c>
      <c r="C249" s="2" t="s">
        <v>1393</v>
      </c>
      <c r="D249" s="40" t="n">
        <v>4</v>
      </c>
      <c r="E249" s="2" t="s">
        <v>51</v>
      </c>
      <c r="F249" s="2" t="s">
        <v>1106</v>
      </c>
      <c r="G249" s="2" t="s">
        <v>1394</v>
      </c>
      <c r="H249" s="2" t="s">
        <v>322</v>
      </c>
      <c r="I249" s="2" t="s">
        <v>434</v>
      </c>
      <c r="J249" s="2" t="s">
        <v>339</v>
      </c>
      <c r="K249" s="2" t="s">
        <v>1395</v>
      </c>
      <c r="L249" s="2" t="s">
        <v>428</v>
      </c>
    </row>
    <row r="250" customFormat="false" ht="15" hidden="false" customHeight="false" outlineLevel="0" collapsed="false">
      <c r="A250" s="2" t="s">
        <v>1398</v>
      </c>
      <c r="B250" s="9" t="s">
        <v>1399</v>
      </c>
      <c r="C250" s="2" t="s">
        <v>1400</v>
      </c>
      <c r="D250" s="40" t="n">
        <v>750</v>
      </c>
      <c r="E250" s="2" t="s">
        <v>463</v>
      </c>
      <c r="F250" s="2" t="s">
        <v>1106</v>
      </c>
      <c r="G250" s="2" t="s">
        <v>1401</v>
      </c>
      <c r="H250" s="2" t="s">
        <v>322</v>
      </c>
      <c r="I250" s="2" t="s">
        <v>434</v>
      </c>
      <c r="J250" s="2" t="s">
        <v>339</v>
      </c>
      <c r="K250" s="2" t="s">
        <v>1395</v>
      </c>
      <c r="L250" s="2" t="s">
        <v>428</v>
      </c>
    </row>
    <row r="251" customFormat="false" ht="15" hidden="false" customHeight="false" outlineLevel="0" collapsed="false">
      <c r="A251" s="2" t="s">
        <v>1402</v>
      </c>
      <c r="B251" s="9" t="s">
        <v>1403</v>
      </c>
      <c r="C251" s="2" t="s">
        <v>1404</v>
      </c>
      <c r="D251" s="39" t="n">
        <v>1.25</v>
      </c>
      <c r="E251" s="2" t="s">
        <v>713</v>
      </c>
      <c r="F251" s="2" t="s">
        <v>1106</v>
      </c>
      <c r="G251" s="2" t="s">
        <v>1405</v>
      </c>
      <c r="H251" s="2" t="s">
        <v>322</v>
      </c>
      <c r="I251" s="2" t="s">
        <v>434</v>
      </c>
      <c r="J251" s="2" t="s">
        <v>339</v>
      </c>
      <c r="K251" s="2" t="s">
        <v>1395</v>
      </c>
      <c r="L251" s="2" t="s">
        <v>428</v>
      </c>
    </row>
    <row r="252" customFormat="false" ht="15" hidden="false" customHeight="false" outlineLevel="0" collapsed="false">
      <c r="A252" s="2" t="s">
        <v>1406</v>
      </c>
      <c r="B252" s="9" t="s">
        <v>1407</v>
      </c>
      <c r="C252" s="2" t="s">
        <v>1408</v>
      </c>
      <c r="D252" s="37" t="n">
        <v>1000</v>
      </c>
      <c r="E252" s="2" t="s">
        <v>18</v>
      </c>
      <c r="F252" s="2" t="s">
        <v>1106</v>
      </c>
      <c r="G252" s="2" t="s">
        <v>1409</v>
      </c>
      <c r="H252" s="2" t="s">
        <v>322</v>
      </c>
      <c r="I252" s="2" t="s">
        <v>434</v>
      </c>
      <c r="J252" s="2" t="s">
        <v>339</v>
      </c>
      <c r="K252" s="2" t="s">
        <v>1395</v>
      </c>
      <c r="L252" s="2" t="s">
        <v>428</v>
      </c>
    </row>
    <row r="253" customFormat="false" ht="15" hidden="false" customHeight="false" outlineLevel="0" collapsed="false">
      <c r="A253" s="2" t="s">
        <v>1410</v>
      </c>
      <c r="B253" s="9" t="s">
        <v>1411</v>
      </c>
      <c r="C253" s="2" t="s">
        <v>1412</v>
      </c>
      <c r="D253" s="39" t="n">
        <v>6</v>
      </c>
      <c r="E253" s="2" t="s">
        <v>713</v>
      </c>
      <c r="F253" s="2" t="s">
        <v>1413</v>
      </c>
      <c r="G253" s="2" t="s">
        <v>1414</v>
      </c>
      <c r="H253" s="2" t="s">
        <v>322</v>
      </c>
      <c r="I253" s="2" t="s">
        <v>434</v>
      </c>
      <c r="J253" s="2" t="s">
        <v>339</v>
      </c>
      <c r="K253" s="2" t="s">
        <v>1415</v>
      </c>
      <c r="L253" s="2" t="s">
        <v>428</v>
      </c>
    </row>
    <row r="254" customFormat="false" ht="15" hidden="false" customHeight="false" outlineLevel="0" collapsed="false">
      <c r="A254" s="2" t="s">
        <v>1416</v>
      </c>
      <c r="B254" s="9" t="s">
        <v>1417</v>
      </c>
      <c r="C254" s="2" t="s">
        <v>1418</v>
      </c>
      <c r="D254" s="37" t="n">
        <v>100000</v>
      </c>
      <c r="E254" s="2" t="s">
        <v>18</v>
      </c>
      <c r="F254" s="2" t="s">
        <v>1419</v>
      </c>
      <c r="G254" s="2" t="s">
        <v>1420</v>
      </c>
      <c r="H254" s="2" t="s">
        <v>322</v>
      </c>
      <c r="I254" s="2" t="s">
        <v>323</v>
      </c>
      <c r="J254" s="2" t="s">
        <v>339</v>
      </c>
      <c r="K254" s="2" t="s">
        <v>1421</v>
      </c>
      <c r="L254" s="2" t="s">
        <v>428</v>
      </c>
    </row>
    <row r="255" customFormat="false" ht="15" hidden="false" customHeight="false" outlineLevel="0" collapsed="false">
      <c r="A255" s="2" t="s">
        <v>1422</v>
      </c>
      <c r="B255" s="9" t="s">
        <v>1423</v>
      </c>
      <c r="C255" s="2" t="s">
        <v>1424</v>
      </c>
      <c r="D255" s="37" t="n">
        <v>30000</v>
      </c>
      <c r="E255" s="2" t="s">
        <v>18</v>
      </c>
      <c r="F255" s="2" t="s">
        <v>1419</v>
      </c>
      <c r="G255" s="2" t="s">
        <v>1425</v>
      </c>
      <c r="H255" s="2" t="s">
        <v>322</v>
      </c>
      <c r="I255" s="2" t="s">
        <v>323</v>
      </c>
      <c r="J255" s="2" t="s">
        <v>339</v>
      </c>
      <c r="K255" s="2" t="s">
        <v>1421</v>
      </c>
      <c r="L255" s="2" t="s">
        <v>436</v>
      </c>
    </row>
    <row r="256" customFormat="false" ht="15" hidden="false" customHeight="false" outlineLevel="0" collapsed="false">
      <c r="A256" s="2" t="s">
        <v>1426</v>
      </c>
      <c r="B256" s="9" t="s">
        <v>1427</v>
      </c>
      <c r="C256" s="2" t="s">
        <v>1428</v>
      </c>
      <c r="D256" s="39" t="n">
        <v>9</v>
      </c>
      <c r="E256" s="2" t="s">
        <v>713</v>
      </c>
      <c r="F256" s="2" t="s">
        <v>1429</v>
      </c>
      <c r="G256" s="2" t="s">
        <v>1430</v>
      </c>
      <c r="H256" s="2" t="s">
        <v>338</v>
      </c>
      <c r="I256" s="2" t="s">
        <v>426</v>
      </c>
      <c r="J256" s="2" t="s">
        <v>339</v>
      </c>
      <c r="K256" s="2" t="s">
        <v>1431</v>
      </c>
      <c r="L256" s="2" t="s">
        <v>428</v>
      </c>
    </row>
    <row r="257" customFormat="false" ht="15" hidden="false" customHeight="false" outlineLevel="0" collapsed="false">
      <c r="A257" s="2" t="s">
        <v>1432</v>
      </c>
      <c r="B257" s="9" t="s">
        <v>1433</v>
      </c>
      <c r="C257" s="2" t="s">
        <v>1434</v>
      </c>
      <c r="D257" s="37" t="n">
        <v>2560</v>
      </c>
      <c r="E257" s="2" t="s">
        <v>18</v>
      </c>
      <c r="F257" s="2" t="s">
        <v>351</v>
      </c>
      <c r="G257" s="2" t="s">
        <v>1435</v>
      </c>
      <c r="H257" s="2" t="s">
        <v>322</v>
      </c>
      <c r="I257" s="2" t="s">
        <v>323</v>
      </c>
      <c r="J257" s="2" t="s">
        <v>324</v>
      </c>
      <c r="K257" s="2" t="s">
        <v>1436</v>
      </c>
      <c r="L257" s="2" t="s">
        <v>1437</v>
      </c>
    </row>
    <row r="258" customFormat="false" ht="15" hidden="false" customHeight="false" outlineLevel="0" collapsed="false">
      <c r="A258" s="24" t="s">
        <v>1438</v>
      </c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</row>
    <row r="259" customFormat="false" ht="15" hidden="false" customHeight="false" outlineLevel="0" collapsed="false">
      <c r="A259" s="2" t="s">
        <v>1439</v>
      </c>
      <c r="B259" s="9" t="s">
        <v>1440</v>
      </c>
      <c r="C259" s="2" t="s">
        <v>1441</v>
      </c>
      <c r="D259" s="12" t="n">
        <v>250000</v>
      </c>
      <c r="E259" s="2" t="s">
        <v>18</v>
      </c>
      <c r="F259" s="2" t="s">
        <v>1112</v>
      </c>
      <c r="G259" s="2" t="s">
        <v>1442</v>
      </c>
      <c r="H259" s="2" t="s">
        <v>689</v>
      </c>
      <c r="I259" s="2" t="s">
        <v>497</v>
      </c>
      <c r="J259" s="2" t="s">
        <v>339</v>
      </c>
      <c r="K259" s="2" t="s">
        <v>1443</v>
      </c>
      <c r="L259" s="2" t="s">
        <v>1444</v>
      </c>
    </row>
    <row r="260" customFormat="false" ht="15" hidden="false" customHeight="false" outlineLevel="0" collapsed="false">
      <c r="A260" s="2" t="s">
        <v>1445</v>
      </c>
      <c r="B260" s="9" t="s">
        <v>1446</v>
      </c>
      <c r="C260" s="2" t="s">
        <v>1447</v>
      </c>
      <c r="D260" s="12" t="n">
        <v>90000</v>
      </c>
      <c r="E260" s="2" t="s">
        <v>18</v>
      </c>
      <c r="F260" s="2" t="s">
        <v>1448</v>
      </c>
      <c r="G260" s="2" t="s">
        <v>1449</v>
      </c>
      <c r="H260" s="2" t="s">
        <v>689</v>
      </c>
      <c r="I260" s="2" t="s">
        <v>497</v>
      </c>
      <c r="J260" s="2" t="s">
        <v>339</v>
      </c>
      <c r="K260" s="2" t="s">
        <v>1450</v>
      </c>
      <c r="L260" s="2" t="s">
        <v>1444</v>
      </c>
    </row>
    <row r="261" customFormat="false" ht="15" hidden="false" customHeight="false" outlineLevel="0" collapsed="false">
      <c r="A261" s="2" t="s">
        <v>1451</v>
      </c>
      <c r="B261" s="9" t="s">
        <v>1452</v>
      </c>
      <c r="C261" s="2" t="s">
        <v>1453</v>
      </c>
      <c r="D261" s="12" t="n">
        <v>350000</v>
      </c>
      <c r="E261" s="2" t="s">
        <v>18</v>
      </c>
      <c r="F261" s="2" t="s">
        <v>1448</v>
      </c>
      <c r="G261" s="2" t="s">
        <v>1454</v>
      </c>
      <c r="H261" s="2" t="s">
        <v>689</v>
      </c>
      <c r="I261" s="2" t="s">
        <v>497</v>
      </c>
      <c r="J261" s="2" t="s">
        <v>339</v>
      </c>
      <c r="K261" s="2" t="s">
        <v>1455</v>
      </c>
      <c r="L261" s="2" t="s">
        <v>1444</v>
      </c>
    </row>
    <row r="262" customFormat="false" ht="15" hidden="false" customHeight="false" outlineLevel="0" collapsed="false">
      <c r="A262" s="2" t="s">
        <v>1456</v>
      </c>
      <c r="B262" s="9" t="s">
        <v>1457</v>
      </c>
      <c r="C262" s="2" t="s">
        <v>1458</v>
      </c>
      <c r="D262" s="12" t="n">
        <v>517000</v>
      </c>
      <c r="E262" s="2" t="s">
        <v>18</v>
      </c>
      <c r="F262" s="2" t="s">
        <v>1162</v>
      </c>
      <c r="G262" s="2" t="s">
        <v>1459</v>
      </c>
      <c r="H262" s="2" t="s">
        <v>338</v>
      </c>
      <c r="I262" s="2" t="s">
        <v>497</v>
      </c>
      <c r="J262" s="2" t="s">
        <v>483</v>
      </c>
      <c r="K262" s="2" t="s">
        <v>1460</v>
      </c>
      <c r="L262" s="2" t="s">
        <v>1461</v>
      </c>
    </row>
    <row r="263" customFormat="false" ht="15" hidden="false" customHeight="false" outlineLevel="0" collapsed="false">
      <c r="A263" s="2" t="s">
        <v>1462</v>
      </c>
      <c r="B263" s="9" t="s">
        <v>1463</v>
      </c>
      <c r="C263" s="2" t="s">
        <v>1464</v>
      </c>
      <c r="D263" s="12" t="n">
        <v>80000</v>
      </c>
      <c r="E263" s="2" t="s">
        <v>18</v>
      </c>
      <c r="F263" s="2" t="s">
        <v>1465</v>
      </c>
      <c r="G263" s="2" t="s">
        <v>1466</v>
      </c>
      <c r="H263" s="2" t="s">
        <v>496</v>
      </c>
      <c r="I263" s="2" t="s">
        <v>497</v>
      </c>
      <c r="J263" s="2" t="s">
        <v>483</v>
      </c>
      <c r="K263" s="2" t="s">
        <v>1460</v>
      </c>
      <c r="L263" s="2" t="s">
        <v>1461</v>
      </c>
    </row>
    <row r="264" customFormat="false" ht="15" hidden="false" customHeight="false" outlineLevel="0" collapsed="false">
      <c r="A264" s="2" t="s">
        <v>1467</v>
      </c>
      <c r="B264" s="9" t="s">
        <v>1468</v>
      </c>
      <c r="C264" s="2" t="s">
        <v>1469</v>
      </c>
      <c r="D264" s="12" t="n">
        <v>1150000</v>
      </c>
      <c r="E264" s="2" t="s">
        <v>18</v>
      </c>
      <c r="F264" s="2" t="s">
        <v>1470</v>
      </c>
      <c r="G264" s="2" t="s">
        <v>1471</v>
      </c>
      <c r="H264" s="2" t="s">
        <v>496</v>
      </c>
      <c r="I264" s="2" t="s">
        <v>497</v>
      </c>
      <c r="J264" s="2" t="s">
        <v>339</v>
      </c>
      <c r="K264" s="2" t="s">
        <v>1472</v>
      </c>
      <c r="L264" s="2" t="s">
        <v>1473</v>
      </c>
    </row>
    <row r="265" customFormat="false" ht="15" hidden="false" customHeight="false" outlineLevel="0" collapsed="false">
      <c r="A265" s="2" t="s">
        <v>1474</v>
      </c>
      <c r="B265" s="9" t="s">
        <v>1475</v>
      </c>
      <c r="C265" s="2" t="s">
        <v>1476</v>
      </c>
      <c r="D265" s="37" t="n">
        <v>1400000</v>
      </c>
      <c r="E265" s="2" t="s">
        <v>18</v>
      </c>
      <c r="F265" s="2" t="s">
        <v>998</v>
      </c>
      <c r="G265" s="2" t="s">
        <v>1477</v>
      </c>
      <c r="H265" s="2" t="s">
        <v>338</v>
      </c>
      <c r="I265" s="2" t="s">
        <v>1478</v>
      </c>
      <c r="J265" s="2" t="s">
        <v>339</v>
      </c>
      <c r="K265" s="2" t="s">
        <v>1479</v>
      </c>
      <c r="L265" s="2" t="s">
        <v>1473</v>
      </c>
    </row>
    <row r="266" customFormat="false" ht="15" hidden="false" customHeight="false" outlineLevel="0" collapsed="false">
      <c r="A266" s="24" t="s">
        <v>1480</v>
      </c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</row>
    <row r="267" customFormat="false" ht="15" hidden="false" customHeight="false" outlineLevel="0" collapsed="false">
      <c r="A267" s="2" t="s">
        <v>1481</v>
      </c>
      <c r="B267" s="9" t="s">
        <v>1482</v>
      </c>
      <c r="C267" s="2" t="s">
        <v>1483</v>
      </c>
      <c r="D267" s="41" t="n">
        <v>0.09</v>
      </c>
      <c r="E267" s="2" t="s">
        <v>24</v>
      </c>
      <c r="F267" s="2" t="s">
        <v>440</v>
      </c>
      <c r="G267" s="2" t="s">
        <v>1388</v>
      </c>
      <c r="H267" s="2" t="s">
        <v>322</v>
      </c>
      <c r="I267" s="2" t="s">
        <v>434</v>
      </c>
      <c r="J267" s="2" t="s">
        <v>339</v>
      </c>
      <c r="K267" s="2" t="s">
        <v>1484</v>
      </c>
      <c r="L267" s="2" t="s">
        <v>703</v>
      </c>
    </row>
    <row r="268" customFormat="false" ht="15" hidden="false" customHeight="false" outlineLevel="0" collapsed="false">
      <c r="A268" s="2" t="s">
        <v>1485</v>
      </c>
      <c r="B268" s="9" t="s">
        <v>1486</v>
      </c>
      <c r="C268" s="2" t="s">
        <v>1483</v>
      </c>
      <c r="D268" s="41" t="n">
        <v>0.0975</v>
      </c>
      <c r="E268" s="2" t="s">
        <v>24</v>
      </c>
      <c r="F268" s="2" t="s">
        <v>440</v>
      </c>
      <c r="G268" s="2" t="s">
        <v>1388</v>
      </c>
      <c r="H268" s="2" t="s">
        <v>322</v>
      </c>
      <c r="I268" s="2" t="s">
        <v>434</v>
      </c>
      <c r="J268" s="2" t="s">
        <v>339</v>
      </c>
      <c r="K268" s="2" t="s">
        <v>1484</v>
      </c>
      <c r="L268" s="2" t="s">
        <v>703</v>
      </c>
    </row>
    <row r="269" customFormat="false" ht="15" hidden="false" customHeight="false" outlineLevel="0" collapsed="false">
      <c r="A269" s="2" t="s">
        <v>1487</v>
      </c>
      <c r="B269" s="9" t="s">
        <v>1488</v>
      </c>
      <c r="C269" s="2" t="s">
        <v>1483</v>
      </c>
      <c r="D269" s="41" t="n">
        <v>0.09625</v>
      </c>
      <c r="E269" s="2" t="s">
        <v>24</v>
      </c>
      <c r="F269" s="2" t="s">
        <v>440</v>
      </c>
      <c r="G269" s="2" t="s">
        <v>1388</v>
      </c>
      <c r="H269" s="2" t="s">
        <v>322</v>
      </c>
      <c r="I269" s="2" t="s">
        <v>434</v>
      </c>
      <c r="J269" s="2" t="s">
        <v>339</v>
      </c>
      <c r="K269" s="2" t="s">
        <v>1484</v>
      </c>
      <c r="L269" s="2" t="s">
        <v>703</v>
      </c>
    </row>
    <row r="270" customFormat="false" ht="15" hidden="false" customHeight="false" outlineLevel="0" collapsed="false">
      <c r="A270" s="2" t="s">
        <v>1489</v>
      </c>
      <c r="B270" s="9" t="s">
        <v>1490</v>
      </c>
      <c r="C270" s="2" t="s">
        <v>1491</v>
      </c>
      <c r="D270" s="37" t="n">
        <v>14000</v>
      </c>
      <c r="E270" s="2" t="s">
        <v>18</v>
      </c>
      <c r="F270" s="2" t="s">
        <v>1492</v>
      </c>
      <c r="G270" s="2" t="s">
        <v>1493</v>
      </c>
      <c r="H270" s="2" t="s">
        <v>322</v>
      </c>
      <c r="I270" s="2" t="s">
        <v>434</v>
      </c>
      <c r="J270" s="2" t="s">
        <v>339</v>
      </c>
      <c r="K270" s="2" t="s">
        <v>1494</v>
      </c>
      <c r="L270" s="2" t="s">
        <v>1495</v>
      </c>
    </row>
    <row r="271" customFormat="false" ht="15" hidden="false" customHeight="false" outlineLevel="0" collapsed="false">
      <c r="A271" s="2" t="s">
        <v>1496</v>
      </c>
      <c r="B271" s="9" t="s">
        <v>1497</v>
      </c>
      <c r="C271" s="2" t="s">
        <v>1498</v>
      </c>
      <c r="D271" s="40" t="n">
        <v>530</v>
      </c>
      <c r="E271" s="2" t="s">
        <v>463</v>
      </c>
      <c r="F271" s="2" t="s">
        <v>1492</v>
      </c>
      <c r="G271" s="2" t="s">
        <v>1499</v>
      </c>
      <c r="H271" s="2" t="s">
        <v>322</v>
      </c>
      <c r="I271" s="2" t="s">
        <v>434</v>
      </c>
      <c r="J271" s="2" t="s">
        <v>339</v>
      </c>
      <c r="K271" s="2" t="s">
        <v>1494</v>
      </c>
      <c r="L271" s="2" t="s">
        <v>703</v>
      </c>
    </row>
    <row r="272" customFormat="false" ht="15" hidden="false" customHeight="false" outlineLevel="0" collapsed="false">
      <c r="A272" s="2" t="s">
        <v>1500</v>
      </c>
      <c r="B272" s="9" t="s">
        <v>1501</v>
      </c>
      <c r="C272" s="2" t="s">
        <v>1502</v>
      </c>
      <c r="D272" s="40" t="n">
        <v>15</v>
      </c>
      <c r="E272" s="2" t="s">
        <v>51</v>
      </c>
      <c r="F272" s="2" t="s">
        <v>1492</v>
      </c>
      <c r="G272" s="2" t="s">
        <v>1503</v>
      </c>
      <c r="H272" s="2" t="s">
        <v>322</v>
      </c>
      <c r="I272" s="2" t="s">
        <v>434</v>
      </c>
      <c r="J272" s="2" t="s">
        <v>339</v>
      </c>
      <c r="K272" s="2" t="s">
        <v>1494</v>
      </c>
      <c r="L272" s="2" t="s">
        <v>703</v>
      </c>
    </row>
    <row r="273" customFormat="false" ht="15" hidden="false" customHeight="false" outlineLevel="0" collapsed="false">
      <c r="A273" s="2" t="s">
        <v>1504</v>
      </c>
      <c r="B273" s="9" t="s">
        <v>1505</v>
      </c>
      <c r="C273" s="2" t="s">
        <v>1506</v>
      </c>
      <c r="D273" s="37" t="n">
        <v>4100</v>
      </c>
      <c r="E273" s="2" t="s">
        <v>18</v>
      </c>
      <c r="F273" s="2" t="s">
        <v>1507</v>
      </c>
      <c r="G273" s="2" t="s">
        <v>1508</v>
      </c>
      <c r="H273" s="2" t="s">
        <v>322</v>
      </c>
      <c r="I273" s="2" t="s">
        <v>434</v>
      </c>
      <c r="J273" s="2" t="s">
        <v>339</v>
      </c>
      <c r="K273" s="2" t="s">
        <v>1509</v>
      </c>
      <c r="L273" s="2" t="s">
        <v>703</v>
      </c>
    </row>
    <row r="274" customFormat="false" ht="15" hidden="false" customHeight="false" outlineLevel="0" collapsed="false">
      <c r="A274" s="2" t="s">
        <v>1510</v>
      </c>
      <c r="B274" s="9" t="s">
        <v>1511</v>
      </c>
      <c r="C274" s="2" t="s">
        <v>1506</v>
      </c>
      <c r="D274" s="37" t="n">
        <v>9500</v>
      </c>
      <c r="E274" s="2" t="s">
        <v>18</v>
      </c>
      <c r="F274" s="2" t="s">
        <v>1507</v>
      </c>
      <c r="G274" s="2" t="s">
        <v>1508</v>
      </c>
      <c r="H274" s="2" t="s">
        <v>322</v>
      </c>
      <c r="I274" s="2" t="s">
        <v>434</v>
      </c>
      <c r="J274" s="2" t="s">
        <v>339</v>
      </c>
      <c r="K274" s="2" t="s">
        <v>1509</v>
      </c>
      <c r="L274" s="2" t="s">
        <v>703</v>
      </c>
    </row>
    <row r="275" customFormat="false" ht="15" hidden="false" customHeight="false" outlineLevel="0" collapsed="false">
      <c r="A275" s="2" t="s">
        <v>1512</v>
      </c>
      <c r="B275" s="9" t="s">
        <v>1513</v>
      </c>
      <c r="C275" s="2" t="s">
        <v>1514</v>
      </c>
      <c r="D275" s="37" t="n">
        <v>2573</v>
      </c>
      <c r="E275" s="2" t="s">
        <v>18</v>
      </c>
      <c r="F275" s="2" t="s">
        <v>440</v>
      </c>
      <c r="G275" s="2" t="s">
        <v>1515</v>
      </c>
      <c r="H275" s="2" t="s">
        <v>322</v>
      </c>
      <c r="I275" s="2" t="s">
        <v>434</v>
      </c>
      <c r="J275" s="2" t="s">
        <v>339</v>
      </c>
      <c r="K275" s="2" t="s">
        <v>1516</v>
      </c>
      <c r="L275" s="2" t="s">
        <v>703</v>
      </c>
    </row>
    <row r="276" customFormat="false" ht="15" hidden="false" customHeight="false" outlineLevel="0" collapsed="false">
      <c r="A276" s="2" t="s">
        <v>1517</v>
      </c>
      <c r="B276" s="9" t="s">
        <v>1518</v>
      </c>
      <c r="C276" s="2" t="s">
        <v>1519</v>
      </c>
      <c r="D276" s="37" t="n">
        <v>6500</v>
      </c>
      <c r="E276" s="2" t="s">
        <v>18</v>
      </c>
      <c r="F276" s="2" t="s">
        <v>1520</v>
      </c>
      <c r="G276" s="2" t="s">
        <v>441</v>
      </c>
      <c r="H276" s="2" t="s">
        <v>322</v>
      </c>
      <c r="I276" s="2" t="s">
        <v>434</v>
      </c>
      <c r="J276" s="2" t="s">
        <v>339</v>
      </c>
      <c r="K276" s="2" t="s">
        <v>435</v>
      </c>
      <c r="L276" s="2" t="s">
        <v>703</v>
      </c>
    </row>
    <row r="277" customFormat="false" ht="15" hidden="false" customHeight="false" outlineLevel="0" collapsed="false">
      <c r="A277" s="2" t="s">
        <v>1521</v>
      </c>
      <c r="B277" s="9" t="s">
        <v>1522</v>
      </c>
      <c r="C277" s="2" t="s">
        <v>1523</v>
      </c>
      <c r="D277" s="37" t="n">
        <v>175000</v>
      </c>
      <c r="E277" s="2" t="s">
        <v>18</v>
      </c>
      <c r="F277" s="2" t="s">
        <v>1524</v>
      </c>
      <c r="G277" s="2" t="s">
        <v>1126</v>
      </c>
      <c r="H277" s="2" t="s">
        <v>322</v>
      </c>
      <c r="I277" s="2" t="s">
        <v>434</v>
      </c>
      <c r="J277" s="2" t="s">
        <v>324</v>
      </c>
      <c r="K277" s="2" t="s">
        <v>1525</v>
      </c>
      <c r="L277" s="2" t="s">
        <v>1526</v>
      </c>
    </row>
    <row r="278" customFormat="false" ht="15" hidden="false" customHeight="false" outlineLevel="0" collapsed="false">
      <c r="A278" s="2" t="s">
        <v>1527</v>
      </c>
      <c r="B278" s="9" t="s">
        <v>1528</v>
      </c>
      <c r="C278" s="2" t="s">
        <v>1529</v>
      </c>
      <c r="D278" s="37" t="n">
        <v>125000</v>
      </c>
      <c r="E278" s="2" t="s">
        <v>18</v>
      </c>
      <c r="F278" s="2" t="s">
        <v>1530</v>
      </c>
      <c r="G278" s="2" t="s">
        <v>1531</v>
      </c>
      <c r="H278" s="2" t="s">
        <v>322</v>
      </c>
      <c r="I278" s="2" t="s">
        <v>323</v>
      </c>
      <c r="J278" s="2" t="s">
        <v>324</v>
      </c>
      <c r="K278" s="2" t="s">
        <v>1532</v>
      </c>
      <c r="L278" s="2" t="s">
        <v>1526</v>
      </c>
    </row>
    <row r="279" customFormat="false" ht="15" hidden="false" customHeight="false" outlineLevel="0" collapsed="false">
      <c r="A279" s="2" t="s">
        <v>1533</v>
      </c>
      <c r="B279" s="9" t="s">
        <v>1534</v>
      </c>
      <c r="C279" s="2" t="s">
        <v>1529</v>
      </c>
      <c r="D279" s="37" t="n">
        <v>145000</v>
      </c>
      <c r="E279" s="2" t="s">
        <v>18</v>
      </c>
      <c r="F279" s="2" t="s">
        <v>1530</v>
      </c>
      <c r="G279" s="2" t="s">
        <v>1531</v>
      </c>
      <c r="H279" s="2" t="s">
        <v>322</v>
      </c>
      <c r="I279" s="2" t="s">
        <v>323</v>
      </c>
      <c r="J279" s="2" t="s">
        <v>324</v>
      </c>
      <c r="K279" s="2" t="s">
        <v>1532</v>
      </c>
      <c r="L279" s="2" t="s">
        <v>1526</v>
      </c>
    </row>
    <row r="280" customFormat="false" ht="15" hidden="false" customHeight="false" outlineLevel="0" collapsed="false">
      <c r="A280" s="2" t="s">
        <v>1535</v>
      </c>
      <c r="B280" s="9" t="s">
        <v>1536</v>
      </c>
      <c r="C280" s="2" t="s">
        <v>1537</v>
      </c>
      <c r="D280" s="47" t="n">
        <v>160</v>
      </c>
      <c r="E280" s="2" t="s">
        <v>1538</v>
      </c>
      <c r="F280" s="2" t="s">
        <v>1413</v>
      </c>
      <c r="G280" s="2" t="s">
        <v>1508</v>
      </c>
      <c r="H280" s="2" t="s">
        <v>322</v>
      </c>
      <c r="I280" s="2" t="s">
        <v>434</v>
      </c>
      <c r="J280" s="2" t="s">
        <v>339</v>
      </c>
      <c r="K280" s="2" t="s">
        <v>1415</v>
      </c>
      <c r="L280" s="2" t="s">
        <v>703</v>
      </c>
    </row>
    <row r="281" customFormat="false" ht="15" hidden="false" customHeight="false" outlineLevel="0" collapsed="false">
      <c r="A281" s="2" t="s">
        <v>1539</v>
      </c>
      <c r="B281" s="9" t="s">
        <v>1540</v>
      </c>
      <c r="C281" s="2" t="s">
        <v>1541</v>
      </c>
      <c r="D281" s="39" t="n">
        <v>3.991809</v>
      </c>
      <c r="E281" s="2" t="s">
        <v>1538</v>
      </c>
      <c r="F281" s="2" t="s">
        <v>446</v>
      </c>
      <c r="G281" s="2" t="s">
        <v>1515</v>
      </c>
      <c r="H281" s="2" t="s">
        <v>322</v>
      </c>
      <c r="I281" s="2" t="s">
        <v>434</v>
      </c>
      <c r="J281" s="2" t="s">
        <v>339</v>
      </c>
      <c r="K281" s="2" t="s">
        <v>453</v>
      </c>
      <c r="L281" s="2" t="s">
        <v>703</v>
      </c>
    </row>
    <row r="282" customFormat="false" ht="15" hidden="false" customHeight="false" outlineLevel="0" collapsed="false">
      <c r="A282" s="2" t="s">
        <v>1542</v>
      </c>
      <c r="B282" s="9" t="s">
        <v>1543</v>
      </c>
      <c r="C282" s="2" t="s">
        <v>1393</v>
      </c>
      <c r="D282" s="39" t="n">
        <v>33.445026</v>
      </c>
      <c r="E282" s="2" t="s">
        <v>1538</v>
      </c>
      <c r="F282" s="2" t="s">
        <v>1106</v>
      </c>
      <c r="G282" s="2" t="s">
        <v>1394</v>
      </c>
      <c r="H282" s="2" t="s">
        <v>322</v>
      </c>
      <c r="I282" s="2" t="s">
        <v>434</v>
      </c>
      <c r="J282" s="2" t="s">
        <v>339</v>
      </c>
      <c r="K282" s="2" t="s">
        <v>1395</v>
      </c>
      <c r="L282" s="2" t="s">
        <v>703</v>
      </c>
    </row>
    <row r="283" customFormat="false" ht="15" hidden="false" customHeight="false" outlineLevel="0" collapsed="false">
      <c r="A283" s="2" t="s">
        <v>1544</v>
      </c>
      <c r="B283" s="9" t="s">
        <v>1545</v>
      </c>
      <c r="C283" s="2" t="s">
        <v>1546</v>
      </c>
      <c r="D283" s="33" t="s">
        <v>1547</v>
      </c>
      <c r="E283" s="2" t="s">
        <v>720</v>
      </c>
      <c r="F283" s="2" t="s">
        <v>1419</v>
      </c>
      <c r="G283" s="2" t="s">
        <v>1548</v>
      </c>
      <c r="H283" s="2" t="s">
        <v>322</v>
      </c>
      <c r="I283" s="2" t="s">
        <v>323</v>
      </c>
      <c r="J283" s="2" t="s">
        <v>339</v>
      </c>
      <c r="K283" s="2" t="s">
        <v>1421</v>
      </c>
      <c r="L283" s="2" t="s">
        <v>703</v>
      </c>
    </row>
    <row r="284" customFormat="false" ht="15" hidden="false" customHeight="false" outlineLevel="0" collapsed="false">
      <c r="A284" s="2" t="s">
        <v>1549</v>
      </c>
      <c r="B284" s="9" t="s">
        <v>1550</v>
      </c>
      <c r="C284" s="2" t="s">
        <v>1551</v>
      </c>
      <c r="D284" s="48" t="n">
        <f aca="false">01_Data!$D$213/01_Data!$D$215/01_Data!$D$214</f>
        <v>16.304347826087</v>
      </c>
      <c r="E284" s="2" t="s">
        <v>1552</v>
      </c>
      <c r="F284" s="2" t="s">
        <v>1553</v>
      </c>
      <c r="G284" s="2" t="s">
        <v>1554</v>
      </c>
      <c r="H284" s="2" t="s">
        <v>338</v>
      </c>
      <c r="I284" s="2" t="s">
        <v>1555</v>
      </c>
      <c r="J284" s="2" t="s">
        <v>483</v>
      </c>
      <c r="K284" s="2" t="s">
        <v>1556</v>
      </c>
      <c r="L284" s="2" t="s">
        <v>1557</v>
      </c>
    </row>
    <row r="285" customFormat="false" ht="15" hidden="false" customHeight="false" outlineLevel="0" collapsed="false">
      <c r="A285" s="2" t="s">
        <v>1558</v>
      </c>
      <c r="B285" s="9" t="s">
        <v>1559</v>
      </c>
      <c r="C285" s="2" t="s">
        <v>1560</v>
      </c>
      <c r="D285" s="48" t="n">
        <f aca="false">01_Data!$D$222/01_Data!$D$224/01_Data!$D$223</f>
        <v>12.531328320802</v>
      </c>
      <c r="E285" s="2" t="s">
        <v>1552</v>
      </c>
      <c r="F285" s="2" t="s">
        <v>1553</v>
      </c>
      <c r="G285" s="2" t="s">
        <v>1554</v>
      </c>
      <c r="H285" s="2" t="s">
        <v>338</v>
      </c>
      <c r="I285" s="2" t="s">
        <v>1555</v>
      </c>
      <c r="J285" s="2" t="s">
        <v>483</v>
      </c>
      <c r="K285" s="2" t="s">
        <v>1561</v>
      </c>
      <c r="L285" s="2" t="s">
        <v>1557</v>
      </c>
    </row>
    <row r="286" customFormat="false" ht="15" hidden="false" customHeight="false" outlineLevel="0" collapsed="false">
      <c r="A286" s="2" t="s">
        <v>1562</v>
      </c>
      <c r="B286" s="9" t="s">
        <v>1563</v>
      </c>
      <c r="C286" s="2" t="s">
        <v>1564</v>
      </c>
      <c r="D286" s="48" t="n">
        <f aca="false">01_Data!$D$225/01_Data!$D$227/01_Data!$D$226</f>
        <v>2.38219895287958</v>
      </c>
      <c r="E286" s="2" t="s">
        <v>1552</v>
      </c>
      <c r="F286" s="2" t="s">
        <v>1299</v>
      </c>
      <c r="G286" s="2" t="s">
        <v>1554</v>
      </c>
      <c r="H286" s="2" t="s">
        <v>322</v>
      </c>
      <c r="I286" s="2" t="s">
        <v>1565</v>
      </c>
      <c r="J286" s="2" t="s">
        <v>483</v>
      </c>
      <c r="K286" s="2" t="s">
        <v>1301</v>
      </c>
      <c r="L286" s="2" t="s">
        <v>1566</v>
      </c>
    </row>
    <row r="287" customFormat="false" ht="15" hidden="false" customHeight="false" outlineLevel="0" collapsed="false">
      <c r="A287" s="2" t="s">
        <v>1567</v>
      </c>
      <c r="B287" s="9" t="s">
        <v>1568</v>
      </c>
      <c r="C287" s="2" t="s">
        <v>1569</v>
      </c>
      <c r="D287" s="48" t="n">
        <f aca="false">01_Data!$D$220/01_Data!$D$219/01_Data!$D$218</f>
        <v>1.85606060606061</v>
      </c>
      <c r="E287" s="2" t="s">
        <v>1552</v>
      </c>
      <c r="F287" s="2" t="s">
        <v>740</v>
      </c>
      <c r="G287" s="2" t="s">
        <v>1570</v>
      </c>
      <c r="H287" s="2" t="s">
        <v>322</v>
      </c>
      <c r="I287" s="2" t="s">
        <v>1571</v>
      </c>
      <c r="J287" s="2" t="s">
        <v>483</v>
      </c>
      <c r="K287" s="2" t="s">
        <v>1274</v>
      </c>
      <c r="L287" s="2" t="s">
        <v>1495</v>
      </c>
    </row>
    <row r="288" customFormat="false" ht="15" hidden="false" customHeight="false" outlineLevel="0" collapsed="false">
      <c r="A288" s="2" t="s">
        <v>1572</v>
      </c>
      <c r="B288" s="9" t="s">
        <v>1573</v>
      </c>
      <c r="C288" s="2" t="s">
        <v>1574</v>
      </c>
      <c r="D288" s="48" t="n">
        <f aca="false">01_Data!$D$270/01_Data!$D$271/01_Data!$D$272</f>
        <v>1.76100628930818</v>
      </c>
      <c r="E288" s="2" t="s">
        <v>1552</v>
      </c>
      <c r="F288" s="2" t="s">
        <v>1492</v>
      </c>
      <c r="G288" s="2" t="s">
        <v>1554</v>
      </c>
      <c r="H288" s="2" t="s">
        <v>322</v>
      </c>
      <c r="I288" s="2" t="s">
        <v>1571</v>
      </c>
      <c r="J288" s="2" t="s">
        <v>483</v>
      </c>
      <c r="K288" s="2" t="s">
        <v>1494</v>
      </c>
      <c r="L288" s="2" t="s">
        <v>703</v>
      </c>
    </row>
    <row r="289" customFormat="false" ht="15" hidden="false" customHeight="false" outlineLevel="0" collapsed="false">
      <c r="A289" s="2" t="s">
        <v>1575</v>
      </c>
      <c r="B289" s="9" t="s">
        <v>1576</v>
      </c>
      <c r="C289" s="2" t="s">
        <v>1577</v>
      </c>
      <c r="D289" s="48" t="n">
        <f aca="false">01_Data!$D$82/(01_Data!$D$86*1000)/01_Data!$D$85</f>
        <v>6.9</v>
      </c>
      <c r="E289" s="2" t="s">
        <v>1552</v>
      </c>
      <c r="F289" s="2" t="s">
        <v>721</v>
      </c>
      <c r="G289" s="2" t="s">
        <v>1578</v>
      </c>
      <c r="H289" s="2" t="s">
        <v>338</v>
      </c>
      <c r="I289" s="2" t="s">
        <v>1555</v>
      </c>
      <c r="J289" s="2" t="s">
        <v>483</v>
      </c>
      <c r="K289" s="2" t="s">
        <v>697</v>
      </c>
      <c r="L289" s="2" t="s">
        <v>1328</v>
      </c>
    </row>
    <row r="290" customFormat="false" ht="15" hidden="false" customHeight="false" outlineLevel="0" collapsed="false">
      <c r="A290" s="2" t="s">
        <v>1579</v>
      </c>
      <c r="B290" s="9" t="s">
        <v>1580</v>
      </c>
      <c r="C290" s="2" t="s">
        <v>1581</v>
      </c>
      <c r="D290" s="49" t="n">
        <f aca="false">ROUND(01_Data!$D$289,1)</f>
        <v>6.9</v>
      </c>
      <c r="E290" s="2" t="s">
        <v>1552</v>
      </c>
      <c r="F290" s="2" t="s">
        <v>721</v>
      </c>
      <c r="G290" s="2" t="s">
        <v>1582</v>
      </c>
      <c r="H290" s="2" t="s">
        <v>338</v>
      </c>
      <c r="I290" s="2" t="s">
        <v>1555</v>
      </c>
      <c r="J290" s="2" t="s">
        <v>483</v>
      </c>
      <c r="K290" s="2" t="s">
        <v>697</v>
      </c>
      <c r="L290" s="2" t="s">
        <v>1583</v>
      </c>
    </row>
    <row r="291" customFormat="false" ht="15" hidden="false" customHeight="false" outlineLevel="0" collapsed="false">
      <c r="A291" s="2" t="s">
        <v>1584</v>
      </c>
      <c r="B291" s="9" t="s">
        <v>1585</v>
      </c>
      <c r="C291" s="2" t="s">
        <v>1586</v>
      </c>
      <c r="D291" s="49" t="n">
        <f aca="false">ROUND(01_Data!$D$289,1)+ROUND(01_Data!$D$286,1)</f>
        <v>9.3</v>
      </c>
      <c r="E291" s="2" t="s">
        <v>1552</v>
      </c>
      <c r="F291" s="2" t="s">
        <v>1553</v>
      </c>
      <c r="G291" s="2" t="s">
        <v>1587</v>
      </c>
      <c r="H291" s="2" t="s">
        <v>338</v>
      </c>
      <c r="I291" s="2" t="s">
        <v>1555</v>
      </c>
      <c r="J291" s="2" t="s">
        <v>483</v>
      </c>
      <c r="K291" s="2" t="s">
        <v>1588</v>
      </c>
      <c r="L291" s="2" t="s">
        <v>1583</v>
      </c>
    </row>
    <row r="292" customFormat="false" ht="15" hidden="false" customHeight="false" outlineLevel="0" collapsed="false">
      <c r="A292" s="2" t="s">
        <v>1589</v>
      </c>
      <c r="B292" s="9" t="s">
        <v>1590</v>
      </c>
      <c r="C292" s="2" t="s">
        <v>1591</v>
      </c>
      <c r="D292" s="49" t="n">
        <f aca="false">ROUND(01_Data!$D$285,1)</f>
        <v>12.5</v>
      </c>
      <c r="E292" s="2" t="s">
        <v>1552</v>
      </c>
      <c r="F292" s="2" t="s">
        <v>1553</v>
      </c>
      <c r="G292" s="2" t="s">
        <v>1592</v>
      </c>
      <c r="H292" s="2" t="s">
        <v>338</v>
      </c>
      <c r="I292" s="2" t="s">
        <v>1555</v>
      </c>
      <c r="J292" s="2" t="s">
        <v>483</v>
      </c>
      <c r="K292" s="2" t="s">
        <v>1593</v>
      </c>
      <c r="L292" s="2" t="s">
        <v>1583</v>
      </c>
    </row>
    <row r="293" customFormat="false" ht="15" hidden="false" customHeight="false" outlineLevel="0" collapsed="false">
      <c r="A293" s="2" t="s">
        <v>1594</v>
      </c>
      <c r="B293" s="9" t="s">
        <v>1595</v>
      </c>
      <c r="C293" s="2" t="s">
        <v>1591</v>
      </c>
      <c r="D293" s="49" t="n">
        <f aca="false">ROUND(01_Data!$D$284,1)</f>
        <v>16.3</v>
      </c>
      <c r="E293" s="2" t="s">
        <v>1552</v>
      </c>
      <c r="F293" s="2" t="s">
        <v>1553</v>
      </c>
      <c r="G293" s="2" t="s">
        <v>1592</v>
      </c>
      <c r="H293" s="2" t="s">
        <v>338</v>
      </c>
      <c r="I293" s="2" t="s">
        <v>1555</v>
      </c>
      <c r="J293" s="2" t="s">
        <v>483</v>
      </c>
      <c r="K293" s="2" t="s">
        <v>1593</v>
      </c>
      <c r="L293" s="2" t="s">
        <v>1583</v>
      </c>
    </row>
    <row r="294" customFormat="false" ht="15" hidden="false" customHeight="false" outlineLevel="0" collapsed="false">
      <c r="A294" s="2" t="s">
        <v>1596</v>
      </c>
      <c r="B294" s="9" t="s">
        <v>1597</v>
      </c>
      <c r="C294" s="2" t="s">
        <v>1598</v>
      </c>
      <c r="D294" s="50" t="n">
        <f aca="false">01_Data!$D$121/01_Data!$D$122/(01_Data!$D$229*1000)</f>
        <v>8</v>
      </c>
      <c r="E294" s="2" t="s">
        <v>1552</v>
      </c>
      <c r="F294" s="2" t="s">
        <v>405</v>
      </c>
      <c r="G294" s="2" t="s">
        <v>1599</v>
      </c>
      <c r="H294" s="2" t="s">
        <v>338</v>
      </c>
      <c r="I294" s="2" t="s">
        <v>847</v>
      </c>
      <c r="J294" s="2" t="s">
        <v>483</v>
      </c>
      <c r="K294" s="2" t="s">
        <v>1600</v>
      </c>
      <c r="L294" s="2" t="s">
        <v>428</v>
      </c>
    </row>
    <row r="295" customFormat="false" ht="15" hidden="false" customHeight="false" outlineLevel="0" collapsed="false">
      <c r="A295" s="2" t="s">
        <v>1601</v>
      </c>
      <c r="B295" s="9" t="s">
        <v>1602</v>
      </c>
      <c r="C295" s="2" t="s">
        <v>1603</v>
      </c>
      <c r="D295" s="50" t="n">
        <f aca="false">01_Data!$D$121/01_Data!$D$122/((01_Data!$D$230+01_Data!$D$231+01_Data!$D$232)*1000)</f>
        <v>2.5</v>
      </c>
      <c r="E295" s="2" t="s">
        <v>1552</v>
      </c>
      <c r="F295" s="2" t="s">
        <v>405</v>
      </c>
      <c r="G295" s="2" t="s">
        <v>1599</v>
      </c>
      <c r="H295" s="2" t="s">
        <v>338</v>
      </c>
      <c r="I295" s="2" t="s">
        <v>847</v>
      </c>
      <c r="J295" s="2" t="s">
        <v>483</v>
      </c>
      <c r="K295" s="2" t="s">
        <v>1604</v>
      </c>
      <c r="L295" s="2" t="s">
        <v>428</v>
      </c>
    </row>
    <row r="296" customFormat="false" ht="15" hidden="false" customHeight="false" outlineLevel="0" collapsed="false">
      <c r="A296" s="24" t="s">
        <v>1605</v>
      </c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</row>
    <row r="297" customFormat="false" ht="15" hidden="false" customHeight="false" outlineLevel="0" collapsed="false">
      <c r="A297" s="2" t="s">
        <v>1606</v>
      </c>
      <c r="B297" s="9" t="s">
        <v>1607</v>
      </c>
      <c r="C297" s="2" t="s">
        <v>1608</v>
      </c>
      <c r="D297" s="37" t="n">
        <v>500</v>
      </c>
      <c r="E297" s="2" t="s">
        <v>18</v>
      </c>
      <c r="F297" s="2" t="s">
        <v>1609</v>
      </c>
      <c r="G297" s="2" t="s">
        <v>1610</v>
      </c>
      <c r="H297" s="2" t="s">
        <v>338</v>
      </c>
      <c r="I297" s="2" t="s">
        <v>426</v>
      </c>
      <c r="J297" s="2" t="s">
        <v>339</v>
      </c>
      <c r="K297" s="2" t="s">
        <v>1611</v>
      </c>
      <c r="L297" s="2" t="s">
        <v>1612</v>
      </c>
    </row>
    <row r="298" customFormat="false" ht="15" hidden="false" customHeight="false" outlineLevel="0" collapsed="false">
      <c r="A298" s="2" t="s">
        <v>1613</v>
      </c>
      <c r="B298" s="9" t="s">
        <v>1614</v>
      </c>
      <c r="C298" s="2" t="s">
        <v>1608</v>
      </c>
      <c r="D298" s="37" t="n">
        <v>200</v>
      </c>
      <c r="E298" s="2" t="s">
        <v>18</v>
      </c>
      <c r="F298" s="2" t="s">
        <v>1609</v>
      </c>
      <c r="G298" s="2" t="s">
        <v>1610</v>
      </c>
      <c r="H298" s="2" t="s">
        <v>338</v>
      </c>
      <c r="I298" s="2" t="s">
        <v>426</v>
      </c>
      <c r="J298" s="2" t="s">
        <v>339</v>
      </c>
      <c r="K298" s="2" t="s">
        <v>1611</v>
      </c>
      <c r="L298" s="2" t="s">
        <v>1612</v>
      </c>
    </row>
    <row r="299" customFormat="false" ht="15" hidden="false" customHeight="false" outlineLevel="0" collapsed="false">
      <c r="A299" s="2" t="s">
        <v>1615</v>
      </c>
      <c r="B299" s="9" t="s">
        <v>1616</v>
      </c>
      <c r="C299" s="2" t="s">
        <v>1608</v>
      </c>
      <c r="D299" s="37" t="n">
        <v>2</v>
      </c>
      <c r="E299" s="2" t="s">
        <v>18</v>
      </c>
      <c r="F299" s="2" t="s">
        <v>1609</v>
      </c>
      <c r="G299" s="2" t="s">
        <v>1610</v>
      </c>
      <c r="H299" s="2" t="s">
        <v>338</v>
      </c>
      <c r="I299" s="2" t="s">
        <v>426</v>
      </c>
      <c r="J299" s="2" t="s">
        <v>339</v>
      </c>
      <c r="K299" s="2" t="s">
        <v>1611</v>
      </c>
      <c r="L299" s="2" t="s">
        <v>1612</v>
      </c>
    </row>
    <row r="300" customFormat="false" ht="15" hidden="false" customHeight="false" outlineLevel="0" collapsed="false">
      <c r="A300" s="2" t="s">
        <v>1617</v>
      </c>
      <c r="B300" s="9" t="s">
        <v>1618</v>
      </c>
      <c r="C300" s="2" t="s">
        <v>1608</v>
      </c>
      <c r="D300" s="37" t="n">
        <v>78</v>
      </c>
      <c r="E300" s="2" t="s">
        <v>18</v>
      </c>
      <c r="F300" s="2" t="s">
        <v>1609</v>
      </c>
      <c r="G300" s="2" t="s">
        <v>1610</v>
      </c>
      <c r="H300" s="2" t="s">
        <v>338</v>
      </c>
      <c r="I300" s="2" t="s">
        <v>426</v>
      </c>
      <c r="J300" s="2" t="s">
        <v>339</v>
      </c>
      <c r="K300" s="2" t="s">
        <v>1611</v>
      </c>
      <c r="L300" s="2" t="s">
        <v>1612</v>
      </c>
    </row>
    <row r="301" customFormat="false" ht="15" hidden="false" customHeight="false" outlineLevel="0" collapsed="false">
      <c r="A301" s="2" t="s">
        <v>1619</v>
      </c>
      <c r="B301" s="9" t="s">
        <v>1620</v>
      </c>
      <c r="C301" s="2" t="s">
        <v>1608</v>
      </c>
      <c r="D301" s="37" t="n">
        <v>191</v>
      </c>
      <c r="E301" s="2" t="s">
        <v>18</v>
      </c>
      <c r="F301" s="2" t="s">
        <v>1609</v>
      </c>
      <c r="G301" s="2" t="s">
        <v>1610</v>
      </c>
      <c r="H301" s="2" t="s">
        <v>338</v>
      </c>
      <c r="I301" s="2" t="s">
        <v>426</v>
      </c>
      <c r="J301" s="2" t="s">
        <v>339</v>
      </c>
      <c r="K301" s="2" t="s">
        <v>1611</v>
      </c>
      <c r="L301" s="2" t="s">
        <v>1612</v>
      </c>
    </row>
    <row r="302" customFormat="false" ht="15" hidden="false" customHeight="false" outlineLevel="0" collapsed="false">
      <c r="A302" s="2" t="s">
        <v>1621</v>
      </c>
      <c r="B302" s="9" t="s">
        <v>1622</v>
      </c>
      <c r="C302" s="2" t="s">
        <v>1608</v>
      </c>
      <c r="D302" s="37" t="n">
        <v>170</v>
      </c>
      <c r="E302" s="2" t="s">
        <v>18</v>
      </c>
      <c r="F302" s="2" t="s">
        <v>1609</v>
      </c>
      <c r="G302" s="2" t="s">
        <v>1610</v>
      </c>
      <c r="H302" s="2" t="s">
        <v>338</v>
      </c>
      <c r="I302" s="2" t="s">
        <v>426</v>
      </c>
      <c r="J302" s="2" t="s">
        <v>339</v>
      </c>
      <c r="K302" s="2" t="s">
        <v>1611</v>
      </c>
      <c r="L302" s="2" t="s">
        <v>1612</v>
      </c>
    </row>
    <row r="303" customFormat="false" ht="15" hidden="false" customHeight="false" outlineLevel="0" collapsed="false">
      <c r="A303" s="2" t="s">
        <v>1623</v>
      </c>
      <c r="B303" s="9" t="s">
        <v>1624</v>
      </c>
      <c r="C303" s="2" t="s">
        <v>1625</v>
      </c>
      <c r="D303" s="47" t="n">
        <v>2.4</v>
      </c>
      <c r="E303" s="2" t="s">
        <v>1626</v>
      </c>
      <c r="F303" s="2" t="s">
        <v>1627</v>
      </c>
      <c r="G303" s="2" t="s">
        <v>722</v>
      </c>
      <c r="H303" s="2" t="s">
        <v>338</v>
      </c>
      <c r="I303" s="2" t="s">
        <v>426</v>
      </c>
      <c r="J303" s="2" t="s">
        <v>339</v>
      </c>
      <c r="K303" s="2" t="s">
        <v>1611</v>
      </c>
      <c r="L303" s="2" t="s">
        <v>749</v>
      </c>
    </row>
    <row r="304" customFormat="false" ht="15" hidden="false" customHeight="false" outlineLevel="0" collapsed="false">
      <c r="A304" s="2" t="s">
        <v>1628</v>
      </c>
      <c r="B304" s="9" t="s">
        <v>1629</v>
      </c>
      <c r="C304" s="2" t="s">
        <v>1625</v>
      </c>
      <c r="D304" s="37" t="n">
        <v>1000</v>
      </c>
      <c r="E304" s="2" t="s">
        <v>18</v>
      </c>
      <c r="F304" s="2" t="s">
        <v>1627</v>
      </c>
      <c r="G304" s="2" t="s">
        <v>722</v>
      </c>
      <c r="H304" s="2" t="s">
        <v>338</v>
      </c>
      <c r="I304" s="2" t="s">
        <v>426</v>
      </c>
      <c r="J304" s="2" t="s">
        <v>339</v>
      </c>
      <c r="K304" s="2" t="s">
        <v>1611</v>
      </c>
      <c r="L304" s="2" t="s">
        <v>749</v>
      </c>
    </row>
    <row r="305" customFormat="false" ht="15" hidden="false" customHeight="false" outlineLevel="0" collapsed="false">
      <c r="A305" s="2" t="s">
        <v>1630</v>
      </c>
      <c r="B305" s="9" t="s">
        <v>1631</v>
      </c>
      <c r="C305" s="2" t="s">
        <v>1632</v>
      </c>
      <c r="D305" s="37" t="n">
        <v>58000</v>
      </c>
      <c r="E305" s="2" t="s">
        <v>18</v>
      </c>
      <c r="F305" s="2" t="s">
        <v>1321</v>
      </c>
      <c r="G305" s="2" t="s">
        <v>1633</v>
      </c>
      <c r="H305" s="2" t="s">
        <v>322</v>
      </c>
      <c r="I305" s="2" t="s">
        <v>434</v>
      </c>
      <c r="J305" s="2" t="s">
        <v>324</v>
      </c>
      <c r="K305" s="2" t="s">
        <v>1634</v>
      </c>
      <c r="L305" s="2" t="s">
        <v>1045</v>
      </c>
    </row>
    <row r="306" customFormat="false" ht="15" hidden="false" customHeight="false" outlineLevel="0" collapsed="false">
      <c r="A306" s="2" t="s">
        <v>1635</v>
      </c>
      <c r="B306" s="9" t="s">
        <v>1636</v>
      </c>
      <c r="C306" s="2" t="s">
        <v>1632</v>
      </c>
      <c r="D306" s="37" t="n">
        <v>115000</v>
      </c>
      <c r="E306" s="2" t="s">
        <v>18</v>
      </c>
      <c r="F306" s="2" t="s">
        <v>1321</v>
      </c>
      <c r="G306" s="2" t="s">
        <v>1633</v>
      </c>
      <c r="H306" s="2" t="s">
        <v>322</v>
      </c>
      <c r="I306" s="2" t="s">
        <v>434</v>
      </c>
      <c r="J306" s="2" t="s">
        <v>324</v>
      </c>
      <c r="K306" s="2" t="s">
        <v>1634</v>
      </c>
      <c r="L306" s="2" t="s">
        <v>1045</v>
      </c>
    </row>
    <row r="307" customFormat="false" ht="15" hidden="false" customHeight="false" outlineLevel="0" collapsed="false">
      <c r="A307" s="2" t="s">
        <v>1637</v>
      </c>
      <c r="B307" s="9" t="s">
        <v>1638</v>
      </c>
      <c r="C307" s="2" t="s">
        <v>1632</v>
      </c>
      <c r="D307" s="37" t="n">
        <v>230000</v>
      </c>
      <c r="E307" s="2" t="s">
        <v>18</v>
      </c>
      <c r="F307" s="2" t="s">
        <v>1321</v>
      </c>
      <c r="G307" s="2" t="s">
        <v>1633</v>
      </c>
      <c r="H307" s="2" t="s">
        <v>322</v>
      </c>
      <c r="I307" s="2" t="s">
        <v>434</v>
      </c>
      <c r="J307" s="2" t="s">
        <v>324</v>
      </c>
      <c r="K307" s="2" t="s">
        <v>1634</v>
      </c>
      <c r="L307" s="2" t="s">
        <v>1045</v>
      </c>
    </row>
    <row r="308" customFormat="false" ht="15" hidden="false" customHeight="false" outlineLevel="0" collapsed="false">
      <c r="A308" s="2" t="s">
        <v>1639</v>
      </c>
      <c r="B308" s="9" t="s">
        <v>1640</v>
      </c>
      <c r="C308" s="2" t="s">
        <v>1641</v>
      </c>
      <c r="D308" s="47" t="n">
        <v>17.6</v>
      </c>
      <c r="E308" s="2" t="s">
        <v>1642</v>
      </c>
      <c r="F308" s="2" t="s">
        <v>677</v>
      </c>
      <c r="G308" s="2" t="s">
        <v>1643</v>
      </c>
      <c r="H308" s="2" t="s">
        <v>322</v>
      </c>
      <c r="I308" s="2" t="s">
        <v>323</v>
      </c>
      <c r="J308" s="2" t="s">
        <v>339</v>
      </c>
      <c r="K308" s="2" t="s">
        <v>1644</v>
      </c>
      <c r="L308" s="2" t="s">
        <v>1045</v>
      </c>
    </row>
    <row r="309" customFormat="false" ht="15" hidden="false" customHeight="false" outlineLevel="0" collapsed="false">
      <c r="A309" s="2" t="s">
        <v>1645</v>
      </c>
      <c r="B309" s="9" t="s">
        <v>1646</v>
      </c>
      <c r="C309" s="2" t="s">
        <v>1647</v>
      </c>
      <c r="D309" s="43" t="n">
        <v>0.21</v>
      </c>
      <c r="E309" s="2" t="s">
        <v>24</v>
      </c>
      <c r="F309" s="2" t="s">
        <v>677</v>
      </c>
      <c r="G309" s="2" t="s">
        <v>1648</v>
      </c>
      <c r="H309" s="2" t="s">
        <v>322</v>
      </c>
      <c r="I309" s="2" t="s">
        <v>323</v>
      </c>
      <c r="J309" s="2" t="s">
        <v>339</v>
      </c>
      <c r="K309" s="2" t="s">
        <v>1644</v>
      </c>
      <c r="L309" s="2" t="s">
        <v>1045</v>
      </c>
    </row>
    <row r="310" customFormat="false" ht="15" hidden="false" customHeight="false" outlineLevel="0" collapsed="false">
      <c r="A310" s="2" t="s">
        <v>1649</v>
      </c>
      <c r="B310" s="9" t="s">
        <v>1650</v>
      </c>
      <c r="C310" s="2" t="s">
        <v>1651</v>
      </c>
      <c r="D310" s="40" t="n">
        <v>25000</v>
      </c>
      <c r="E310" s="2" t="s">
        <v>1652</v>
      </c>
      <c r="F310" s="2" t="s">
        <v>1653</v>
      </c>
      <c r="G310" s="2" t="s">
        <v>1654</v>
      </c>
      <c r="H310" s="2" t="s">
        <v>338</v>
      </c>
      <c r="I310" s="2" t="s">
        <v>497</v>
      </c>
      <c r="J310" s="2" t="s">
        <v>483</v>
      </c>
      <c r="K310" s="2" t="s">
        <v>1655</v>
      </c>
      <c r="L310" s="2" t="s">
        <v>1045</v>
      </c>
    </row>
    <row r="311" customFormat="false" ht="15" hidden="false" customHeight="false" outlineLevel="0" collapsed="false">
      <c r="A311" s="2" t="s">
        <v>1656</v>
      </c>
      <c r="B311" s="9" t="s">
        <v>1657</v>
      </c>
      <c r="C311" s="2" t="s">
        <v>1651</v>
      </c>
      <c r="D311" s="40" t="n">
        <v>40000</v>
      </c>
      <c r="E311" s="2" t="s">
        <v>1652</v>
      </c>
      <c r="F311" s="2" t="s">
        <v>1653</v>
      </c>
      <c r="G311" s="2" t="s">
        <v>1654</v>
      </c>
      <c r="H311" s="2" t="s">
        <v>338</v>
      </c>
      <c r="I311" s="2" t="s">
        <v>497</v>
      </c>
      <c r="J311" s="2" t="s">
        <v>483</v>
      </c>
      <c r="K311" s="2" t="s">
        <v>1655</v>
      </c>
      <c r="L311" s="2" t="s">
        <v>1045</v>
      </c>
    </row>
    <row r="312" customFormat="false" ht="15" hidden="false" customHeight="false" outlineLevel="0" collapsed="false">
      <c r="A312" s="2" t="s">
        <v>1658</v>
      </c>
      <c r="B312" s="9" t="s">
        <v>1659</v>
      </c>
      <c r="C312" s="2" t="s">
        <v>1651</v>
      </c>
      <c r="D312" s="40" t="n">
        <v>8200</v>
      </c>
      <c r="E312" s="2" t="s">
        <v>1652</v>
      </c>
      <c r="F312" s="2" t="s">
        <v>1653</v>
      </c>
      <c r="G312" s="2" t="s">
        <v>1654</v>
      </c>
      <c r="H312" s="2" t="s">
        <v>338</v>
      </c>
      <c r="I312" s="2" t="s">
        <v>497</v>
      </c>
      <c r="J312" s="2" t="s">
        <v>483</v>
      </c>
      <c r="K312" s="2" t="s">
        <v>1655</v>
      </c>
      <c r="L312" s="2" t="s">
        <v>1045</v>
      </c>
    </row>
    <row r="313" customFormat="false" ht="15" hidden="false" customHeight="false" outlineLevel="0" collapsed="false">
      <c r="A313" s="2" t="s">
        <v>1660</v>
      </c>
      <c r="B313" s="9" t="s">
        <v>1661</v>
      </c>
      <c r="C313" s="2" t="s">
        <v>1651</v>
      </c>
      <c r="D313" s="40" t="n">
        <v>25000</v>
      </c>
      <c r="E313" s="2" t="s">
        <v>1652</v>
      </c>
      <c r="F313" s="2" t="s">
        <v>1653</v>
      </c>
      <c r="G313" s="2" t="s">
        <v>1654</v>
      </c>
      <c r="H313" s="2" t="s">
        <v>338</v>
      </c>
      <c r="I313" s="2" t="s">
        <v>497</v>
      </c>
      <c r="J313" s="2" t="s">
        <v>483</v>
      </c>
      <c r="K313" s="2" t="s">
        <v>1655</v>
      </c>
      <c r="L313" s="2" t="s">
        <v>1045</v>
      </c>
    </row>
    <row r="314" customFormat="false" ht="15" hidden="false" customHeight="false" outlineLevel="0" collapsed="false">
      <c r="A314" s="2" t="s">
        <v>1662</v>
      </c>
      <c r="B314" s="9" t="s">
        <v>1663</v>
      </c>
      <c r="C314" s="2" t="s">
        <v>1523</v>
      </c>
      <c r="D314" s="40" t="n">
        <v>15</v>
      </c>
      <c r="E314" s="2" t="s">
        <v>51</v>
      </c>
      <c r="F314" s="2" t="s">
        <v>1524</v>
      </c>
      <c r="G314" s="2" t="s">
        <v>1126</v>
      </c>
      <c r="H314" s="2" t="s">
        <v>322</v>
      </c>
      <c r="I314" s="2" t="s">
        <v>434</v>
      </c>
      <c r="J314" s="2" t="s">
        <v>339</v>
      </c>
      <c r="K314" s="2" t="s">
        <v>1525</v>
      </c>
      <c r="L314" s="2" t="s">
        <v>1045</v>
      </c>
    </row>
    <row r="315" customFormat="false" ht="15" hidden="false" customHeight="false" outlineLevel="0" collapsed="false">
      <c r="A315" s="2" t="s">
        <v>1664</v>
      </c>
      <c r="B315" s="9" t="s">
        <v>1665</v>
      </c>
      <c r="C315" s="2" t="s">
        <v>1523</v>
      </c>
      <c r="D315" s="40" t="n">
        <v>25</v>
      </c>
      <c r="E315" s="2" t="s">
        <v>51</v>
      </c>
      <c r="F315" s="2" t="s">
        <v>1524</v>
      </c>
      <c r="G315" s="2" t="s">
        <v>1126</v>
      </c>
      <c r="H315" s="2" t="s">
        <v>322</v>
      </c>
      <c r="I315" s="2" t="s">
        <v>434</v>
      </c>
      <c r="J315" s="2" t="s">
        <v>339</v>
      </c>
      <c r="K315" s="2" t="s">
        <v>1525</v>
      </c>
      <c r="L315" s="2" t="s">
        <v>1045</v>
      </c>
    </row>
    <row r="316" customFormat="false" ht="15" hidden="false" customHeight="false" outlineLevel="0" collapsed="false">
      <c r="A316" s="2" t="s">
        <v>1666</v>
      </c>
      <c r="B316" s="9" t="s">
        <v>1667</v>
      </c>
      <c r="C316" s="2" t="s">
        <v>1668</v>
      </c>
      <c r="D316" s="39" t="n">
        <v>0.3</v>
      </c>
      <c r="E316" s="2" t="s">
        <v>713</v>
      </c>
      <c r="F316" s="2" t="s">
        <v>1429</v>
      </c>
      <c r="G316" s="2" t="s">
        <v>722</v>
      </c>
      <c r="H316" s="2" t="s">
        <v>338</v>
      </c>
      <c r="I316" s="2" t="s">
        <v>426</v>
      </c>
      <c r="J316" s="2" t="s">
        <v>324</v>
      </c>
      <c r="K316" s="2" t="s">
        <v>1431</v>
      </c>
      <c r="L316" s="2" t="s">
        <v>1045</v>
      </c>
    </row>
    <row r="317" customFormat="false" ht="15" hidden="false" customHeight="false" outlineLevel="0" collapsed="false">
      <c r="A317" s="2" t="s">
        <v>1669</v>
      </c>
      <c r="B317" s="9" t="s">
        <v>1670</v>
      </c>
      <c r="C317" s="2" t="s">
        <v>1668</v>
      </c>
      <c r="D317" s="39" t="n">
        <v>1.2</v>
      </c>
      <c r="E317" s="2" t="s">
        <v>713</v>
      </c>
      <c r="F317" s="2" t="s">
        <v>1429</v>
      </c>
      <c r="G317" s="2" t="s">
        <v>722</v>
      </c>
      <c r="H317" s="2" t="s">
        <v>338</v>
      </c>
      <c r="I317" s="2" t="s">
        <v>426</v>
      </c>
      <c r="J317" s="2" t="s">
        <v>324</v>
      </c>
      <c r="K317" s="2" t="s">
        <v>1431</v>
      </c>
      <c r="L317" s="2" t="s">
        <v>1045</v>
      </c>
    </row>
    <row r="318" customFormat="false" ht="15" hidden="false" customHeight="false" outlineLevel="0" collapsed="false">
      <c r="A318" s="2" t="s">
        <v>1671</v>
      </c>
      <c r="B318" s="9" t="s">
        <v>1672</v>
      </c>
      <c r="C318" s="2" t="s">
        <v>1673</v>
      </c>
      <c r="D318" s="39" t="n">
        <v>2.1</v>
      </c>
      <c r="E318" s="2" t="s">
        <v>713</v>
      </c>
      <c r="F318" s="2" t="s">
        <v>1674</v>
      </c>
      <c r="G318" s="2" t="s">
        <v>1675</v>
      </c>
      <c r="H318" s="2" t="s">
        <v>338</v>
      </c>
      <c r="I318" s="2" t="s">
        <v>497</v>
      </c>
      <c r="J318" s="2" t="s">
        <v>324</v>
      </c>
      <c r="K318" s="2" t="s">
        <v>1676</v>
      </c>
      <c r="L318" s="2" t="s">
        <v>1045</v>
      </c>
    </row>
    <row r="319" customFormat="false" ht="15" hidden="false" customHeight="false" outlineLevel="0" collapsed="false">
      <c r="A319" s="2" t="s">
        <v>1677</v>
      </c>
      <c r="B319" s="9" t="s">
        <v>1678</v>
      </c>
      <c r="C319" s="2" t="s">
        <v>1679</v>
      </c>
      <c r="D319" s="40" t="n">
        <v>7</v>
      </c>
      <c r="E319" s="2" t="s">
        <v>1233</v>
      </c>
      <c r="F319" s="2" t="s">
        <v>1524</v>
      </c>
      <c r="G319" s="2" t="s">
        <v>1680</v>
      </c>
      <c r="H319" s="2" t="s">
        <v>322</v>
      </c>
      <c r="I319" s="2" t="s">
        <v>323</v>
      </c>
      <c r="J319" s="2" t="s">
        <v>324</v>
      </c>
      <c r="K319" s="2" t="s">
        <v>1153</v>
      </c>
      <c r="L319" s="2" t="s">
        <v>1045</v>
      </c>
    </row>
    <row r="320" customFormat="false" ht="15" hidden="false" customHeight="false" outlineLevel="0" collapsed="false">
      <c r="A320" s="2" t="s">
        <v>1681</v>
      </c>
      <c r="B320" s="9" t="s">
        <v>1682</v>
      </c>
      <c r="C320" s="2" t="s">
        <v>1683</v>
      </c>
      <c r="D320" s="51" t="n">
        <f aca="false">01_Data!$D$53/55000-1</f>
        <v>0.290909090909091</v>
      </c>
      <c r="E320" s="2" t="s">
        <v>24</v>
      </c>
      <c r="F320" s="2" t="s">
        <v>687</v>
      </c>
      <c r="G320" s="2" t="s">
        <v>1684</v>
      </c>
      <c r="H320" s="2" t="s">
        <v>338</v>
      </c>
      <c r="I320" s="2" t="s">
        <v>323</v>
      </c>
      <c r="J320" s="2" t="s">
        <v>324</v>
      </c>
      <c r="K320" s="2" t="s">
        <v>1685</v>
      </c>
      <c r="L320" s="2" t="s">
        <v>1045</v>
      </c>
    </row>
    <row r="321" customFormat="false" ht="15" hidden="false" customHeight="false" outlineLevel="0" collapsed="false">
      <c r="A321" s="2" t="s">
        <v>1686</v>
      </c>
      <c r="B321" s="9" t="s">
        <v>1687</v>
      </c>
      <c r="C321" s="2" t="s">
        <v>1688</v>
      </c>
      <c r="D321" s="51" t="n">
        <f aca="false">01_Data!$D$151/30000-1</f>
        <v>0.376666666666667</v>
      </c>
      <c r="E321" s="2" t="s">
        <v>24</v>
      </c>
      <c r="F321" s="2" t="s">
        <v>687</v>
      </c>
      <c r="G321" s="2" t="s">
        <v>1689</v>
      </c>
      <c r="H321" s="2" t="s">
        <v>338</v>
      </c>
      <c r="I321" s="2" t="s">
        <v>323</v>
      </c>
      <c r="J321" s="2" t="s">
        <v>324</v>
      </c>
      <c r="K321" s="2" t="s">
        <v>1690</v>
      </c>
      <c r="L321" s="2" t="s">
        <v>1045</v>
      </c>
    </row>
    <row r="322" customFormat="false" ht="15" hidden="false" customHeight="false" outlineLevel="0" collapsed="false">
      <c r="A322" s="24" t="s">
        <v>1691</v>
      </c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</row>
    <row r="323" customFormat="false" ht="15" hidden="false" customHeight="false" outlineLevel="0" collapsed="false">
      <c r="A323" s="2" t="s">
        <v>1692</v>
      </c>
      <c r="B323" s="9" t="s">
        <v>1693</v>
      </c>
      <c r="C323" s="2" t="s">
        <v>1694</v>
      </c>
      <c r="D323" s="43" t="n">
        <v>0.4</v>
      </c>
      <c r="E323" s="2" t="s">
        <v>1695</v>
      </c>
      <c r="F323" s="2" t="s">
        <v>1696</v>
      </c>
      <c r="G323" s="2" t="s">
        <v>1697</v>
      </c>
      <c r="H323" s="2" t="s">
        <v>496</v>
      </c>
      <c r="I323" s="2" t="s">
        <v>497</v>
      </c>
      <c r="J323" s="2" t="s">
        <v>1698</v>
      </c>
      <c r="K323" s="2" t="s">
        <v>1699</v>
      </c>
      <c r="L323" s="2" t="s">
        <v>1700</v>
      </c>
    </row>
    <row r="324" customFormat="false" ht="15" hidden="false" customHeight="false" outlineLevel="0" collapsed="false">
      <c r="A324" s="2" t="s">
        <v>1701</v>
      </c>
      <c r="B324" s="9" t="s">
        <v>1702</v>
      </c>
      <c r="C324" s="2" t="s">
        <v>1694</v>
      </c>
      <c r="D324" s="43" t="n">
        <v>0.25</v>
      </c>
      <c r="E324" s="2" t="s">
        <v>1695</v>
      </c>
      <c r="F324" s="2" t="s">
        <v>1696</v>
      </c>
      <c r="G324" s="2" t="s">
        <v>1697</v>
      </c>
      <c r="H324" s="2" t="s">
        <v>496</v>
      </c>
      <c r="I324" s="2" t="s">
        <v>497</v>
      </c>
      <c r="J324" s="2" t="s">
        <v>1698</v>
      </c>
      <c r="K324" s="2" t="s">
        <v>1699</v>
      </c>
      <c r="L324" s="2" t="s">
        <v>1700</v>
      </c>
    </row>
    <row r="325" customFormat="false" ht="15" hidden="false" customHeight="false" outlineLevel="0" collapsed="false">
      <c r="A325" s="2" t="s">
        <v>1703</v>
      </c>
      <c r="B325" s="9" t="s">
        <v>1704</v>
      </c>
      <c r="C325" s="2" t="s">
        <v>1694</v>
      </c>
      <c r="D325" s="43" t="n">
        <v>0.2</v>
      </c>
      <c r="E325" s="2" t="s">
        <v>1695</v>
      </c>
      <c r="F325" s="2" t="s">
        <v>1696</v>
      </c>
      <c r="G325" s="2" t="s">
        <v>1697</v>
      </c>
      <c r="H325" s="2" t="s">
        <v>496</v>
      </c>
      <c r="I325" s="2" t="s">
        <v>497</v>
      </c>
      <c r="J325" s="2" t="s">
        <v>1698</v>
      </c>
      <c r="K325" s="2" t="s">
        <v>1699</v>
      </c>
      <c r="L325" s="2" t="s">
        <v>1700</v>
      </c>
    </row>
    <row r="326" customFormat="false" ht="15" hidden="false" customHeight="false" outlineLevel="0" collapsed="false">
      <c r="A326" s="2" t="s">
        <v>1705</v>
      </c>
      <c r="B326" s="9" t="s">
        <v>1706</v>
      </c>
      <c r="C326" s="2" t="s">
        <v>1694</v>
      </c>
      <c r="D326" s="43" t="n">
        <v>0.15</v>
      </c>
      <c r="E326" s="2" t="s">
        <v>1695</v>
      </c>
      <c r="F326" s="2" t="s">
        <v>1696</v>
      </c>
      <c r="G326" s="2" t="s">
        <v>1697</v>
      </c>
      <c r="H326" s="2" t="s">
        <v>496</v>
      </c>
      <c r="I326" s="2" t="s">
        <v>497</v>
      </c>
      <c r="J326" s="2" t="s">
        <v>1698</v>
      </c>
      <c r="K326" s="2" t="s">
        <v>1699</v>
      </c>
      <c r="L326" s="2" t="s">
        <v>1700</v>
      </c>
    </row>
    <row r="327" customFormat="false" ht="15" hidden="false" customHeight="false" outlineLevel="0" collapsed="false">
      <c r="A327" s="2" t="s">
        <v>1707</v>
      </c>
      <c r="B327" s="9" t="s">
        <v>1708</v>
      </c>
      <c r="C327" s="2" t="s">
        <v>1694</v>
      </c>
      <c r="D327" s="43" t="n">
        <v>0.3</v>
      </c>
      <c r="E327" s="2" t="s">
        <v>1695</v>
      </c>
      <c r="F327" s="2" t="s">
        <v>1696</v>
      </c>
      <c r="G327" s="2" t="s">
        <v>1697</v>
      </c>
      <c r="H327" s="2" t="s">
        <v>496</v>
      </c>
      <c r="I327" s="2" t="s">
        <v>497</v>
      </c>
      <c r="J327" s="2" t="s">
        <v>1698</v>
      </c>
      <c r="K327" s="2" t="s">
        <v>1699</v>
      </c>
      <c r="L327" s="2" t="s">
        <v>1700</v>
      </c>
    </row>
    <row r="328" customFormat="false" ht="15" hidden="false" customHeight="false" outlineLevel="0" collapsed="false">
      <c r="A328" s="2" t="s">
        <v>1709</v>
      </c>
      <c r="B328" s="9" t="s">
        <v>1710</v>
      </c>
      <c r="C328" s="2" t="s">
        <v>1694</v>
      </c>
      <c r="D328" s="43" t="n">
        <v>0.25</v>
      </c>
      <c r="E328" s="2" t="s">
        <v>1695</v>
      </c>
      <c r="F328" s="2" t="s">
        <v>1696</v>
      </c>
      <c r="G328" s="2" t="s">
        <v>1697</v>
      </c>
      <c r="H328" s="2" t="s">
        <v>496</v>
      </c>
      <c r="I328" s="2" t="s">
        <v>497</v>
      </c>
      <c r="J328" s="2" t="s">
        <v>1698</v>
      </c>
      <c r="K328" s="2" t="s">
        <v>1699</v>
      </c>
      <c r="L328" s="2" t="s">
        <v>1700</v>
      </c>
    </row>
    <row r="329" customFormat="false" ht="15" hidden="false" customHeight="false" outlineLevel="0" collapsed="false">
      <c r="A329" s="2" t="s">
        <v>1711</v>
      </c>
      <c r="B329" s="9" t="s">
        <v>1712</v>
      </c>
      <c r="C329" s="2" t="s">
        <v>1694</v>
      </c>
      <c r="D329" s="43" t="n">
        <v>0.2</v>
      </c>
      <c r="E329" s="2" t="s">
        <v>1695</v>
      </c>
      <c r="F329" s="2" t="s">
        <v>1696</v>
      </c>
      <c r="G329" s="2" t="s">
        <v>1697</v>
      </c>
      <c r="H329" s="2" t="s">
        <v>496</v>
      </c>
      <c r="I329" s="2" t="s">
        <v>497</v>
      </c>
      <c r="J329" s="2" t="s">
        <v>1698</v>
      </c>
      <c r="K329" s="2" t="s">
        <v>1699</v>
      </c>
      <c r="L329" s="2" t="s">
        <v>1700</v>
      </c>
    </row>
    <row r="330" customFormat="false" ht="15" hidden="false" customHeight="false" outlineLevel="0" collapsed="false">
      <c r="A330" s="2" t="s">
        <v>1713</v>
      </c>
      <c r="B330" s="9" t="s">
        <v>1714</v>
      </c>
      <c r="C330" s="2" t="s">
        <v>1694</v>
      </c>
      <c r="D330" s="43" t="n">
        <v>0.15</v>
      </c>
      <c r="E330" s="2" t="s">
        <v>1695</v>
      </c>
      <c r="F330" s="2" t="s">
        <v>1696</v>
      </c>
      <c r="G330" s="2" t="s">
        <v>1697</v>
      </c>
      <c r="H330" s="2" t="s">
        <v>496</v>
      </c>
      <c r="I330" s="2" t="s">
        <v>497</v>
      </c>
      <c r="J330" s="2" t="s">
        <v>1698</v>
      </c>
      <c r="K330" s="2" t="s">
        <v>1699</v>
      </c>
      <c r="L330" s="2" t="s">
        <v>1700</v>
      </c>
    </row>
    <row r="331" customFormat="false" ht="15" hidden="false" customHeight="false" outlineLevel="0" collapsed="false">
      <c r="A331" s="2" t="s">
        <v>1715</v>
      </c>
      <c r="B331" s="9" t="s">
        <v>1716</v>
      </c>
      <c r="C331" s="2" t="s">
        <v>1694</v>
      </c>
      <c r="D331" s="43" t="n">
        <v>0.1</v>
      </c>
      <c r="E331" s="2" t="s">
        <v>1695</v>
      </c>
      <c r="F331" s="2" t="s">
        <v>1696</v>
      </c>
      <c r="G331" s="2" t="s">
        <v>1697</v>
      </c>
      <c r="H331" s="2" t="s">
        <v>496</v>
      </c>
      <c r="I331" s="2" t="s">
        <v>497</v>
      </c>
      <c r="J331" s="2" t="s">
        <v>1698</v>
      </c>
      <c r="K331" s="2" t="s">
        <v>1699</v>
      </c>
      <c r="L331" s="2" t="s">
        <v>1700</v>
      </c>
    </row>
    <row r="332" customFormat="false" ht="15" hidden="false" customHeight="false" outlineLevel="0" collapsed="false">
      <c r="A332" s="2" t="s">
        <v>1717</v>
      </c>
      <c r="B332" s="9" t="s">
        <v>1718</v>
      </c>
      <c r="C332" s="2" t="s">
        <v>1694</v>
      </c>
      <c r="D332" s="43" t="n">
        <v>0.2</v>
      </c>
      <c r="E332" s="2" t="s">
        <v>1695</v>
      </c>
      <c r="F332" s="2" t="s">
        <v>1696</v>
      </c>
      <c r="G332" s="2" t="s">
        <v>1697</v>
      </c>
      <c r="H332" s="2" t="s">
        <v>496</v>
      </c>
      <c r="I332" s="2" t="s">
        <v>497</v>
      </c>
      <c r="J332" s="2" t="s">
        <v>1698</v>
      </c>
      <c r="K332" s="2" t="s">
        <v>1699</v>
      </c>
      <c r="L332" s="2" t="s">
        <v>1700</v>
      </c>
    </row>
    <row r="333" customFormat="false" ht="15" hidden="false" customHeight="false" outlineLevel="0" collapsed="false">
      <c r="A333" s="2" t="s">
        <v>1719</v>
      </c>
      <c r="B333" s="9" t="s">
        <v>1720</v>
      </c>
      <c r="C333" s="2" t="s">
        <v>1694</v>
      </c>
      <c r="D333" s="43" t="n">
        <v>0.15</v>
      </c>
      <c r="E333" s="2" t="s">
        <v>1695</v>
      </c>
      <c r="F333" s="2" t="s">
        <v>1696</v>
      </c>
      <c r="G333" s="2" t="s">
        <v>1697</v>
      </c>
      <c r="H333" s="2" t="s">
        <v>496</v>
      </c>
      <c r="I333" s="2" t="s">
        <v>497</v>
      </c>
      <c r="J333" s="2" t="s">
        <v>1698</v>
      </c>
      <c r="K333" s="2" t="s">
        <v>1699</v>
      </c>
      <c r="L333" s="2" t="s">
        <v>1700</v>
      </c>
    </row>
    <row r="334" customFormat="false" ht="15" hidden="false" customHeight="false" outlineLevel="0" collapsed="false">
      <c r="A334" s="2" t="s">
        <v>1721</v>
      </c>
      <c r="B334" s="9" t="s">
        <v>1722</v>
      </c>
      <c r="C334" s="2" t="s">
        <v>1723</v>
      </c>
      <c r="D334" s="52" t="n">
        <v>10</v>
      </c>
      <c r="E334" s="2" t="s">
        <v>1724</v>
      </c>
      <c r="F334" s="2" t="s">
        <v>1725</v>
      </c>
      <c r="G334" s="2" t="s">
        <v>1726</v>
      </c>
      <c r="H334" s="2" t="s">
        <v>496</v>
      </c>
      <c r="I334" s="2" t="s">
        <v>497</v>
      </c>
      <c r="J334" s="2" t="s">
        <v>1698</v>
      </c>
      <c r="K334" s="2" t="s">
        <v>519</v>
      </c>
      <c r="L334" s="2" t="s">
        <v>1727</v>
      </c>
    </row>
    <row r="335" customFormat="false" ht="15" hidden="false" customHeight="false" outlineLevel="0" collapsed="false">
      <c r="A335" s="2" t="s">
        <v>1728</v>
      </c>
      <c r="B335" s="9" t="s">
        <v>1729</v>
      </c>
      <c r="C335" s="2" t="s">
        <v>1723</v>
      </c>
      <c r="D335" s="52" t="n">
        <v>4</v>
      </c>
      <c r="E335" s="2" t="s">
        <v>1724</v>
      </c>
      <c r="F335" s="2" t="s">
        <v>1725</v>
      </c>
      <c r="G335" s="2" t="s">
        <v>1726</v>
      </c>
      <c r="H335" s="2" t="s">
        <v>496</v>
      </c>
      <c r="I335" s="2" t="s">
        <v>497</v>
      </c>
      <c r="J335" s="2" t="s">
        <v>1698</v>
      </c>
      <c r="K335" s="2" t="s">
        <v>519</v>
      </c>
      <c r="L335" s="2" t="s">
        <v>1727</v>
      </c>
    </row>
    <row r="336" customFormat="false" ht="15" hidden="false" customHeight="false" outlineLevel="0" collapsed="false">
      <c r="A336" s="2" t="s">
        <v>1730</v>
      </c>
      <c r="B336" s="9" t="s">
        <v>1731</v>
      </c>
      <c r="C336" s="2" t="s">
        <v>1723</v>
      </c>
      <c r="D336" s="52" t="n">
        <v>9</v>
      </c>
      <c r="E336" s="2" t="s">
        <v>1724</v>
      </c>
      <c r="F336" s="2" t="s">
        <v>1725</v>
      </c>
      <c r="G336" s="2" t="s">
        <v>1726</v>
      </c>
      <c r="H336" s="2" t="s">
        <v>496</v>
      </c>
      <c r="I336" s="2" t="s">
        <v>497</v>
      </c>
      <c r="J336" s="2" t="s">
        <v>1698</v>
      </c>
      <c r="K336" s="2" t="s">
        <v>519</v>
      </c>
      <c r="L336" s="2" t="s">
        <v>1727</v>
      </c>
    </row>
    <row r="337" customFormat="false" ht="15" hidden="false" customHeight="false" outlineLevel="0" collapsed="false">
      <c r="A337" s="2" t="s">
        <v>1732</v>
      </c>
      <c r="B337" s="9" t="s">
        <v>1733</v>
      </c>
      <c r="C337" s="2" t="s">
        <v>1723</v>
      </c>
      <c r="D337" s="52" t="n">
        <v>8</v>
      </c>
      <c r="E337" s="2" t="s">
        <v>1724</v>
      </c>
      <c r="F337" s="2" t="s">
        <v>1725</v>
      </c>
      <c r="G337" s="2" t="s">
        <v>1726</v>
      </c>
      <c r="H337" s="2" t="s">
        <v>496</v>
      </c>
      <c r="I337" s="2" t="s">
        <v>497</v>
      </c>
      <c r="J337" s="2" t="s">
        <v>1698</v>
      </c>
      <c r="K337" s="2" t="s">
        <v>519</v>
      </c>
      <c r="L337" s="2" t="s">
        <v>1727</v>
      </c>
    </row>
    <row r="338" customFormat="false" ht="15" hidden="false" customHeight="false" outlineLevel="0" collapsed="false">
      <c r="A338" s="2" t="s">
        <v>1734</v>
      </c>
      <c r="B338" s="9" t="s">
        <v>1735</v>
      </c>
      <c r="C338" s="2" t="s">
        <v>1723</v>
      </c>
      <c r="D338" s="52" t="n">
        <v>6</v>
      </c>
      <c r="E338" s="2" t="s">
        <v>1724</v>
      </c>
      <c r="F338" s="2" t="s">
        <v>1725</v>
      </c>
      <c r="G338" s="2" t="s">
        <v>1726</v>
      </c>
      <c r="H338" s="2" t="s">
        <v>496</v>
      </c>
      <c r="I338" s="2" t="s">
        <v>497</v>
      </c>
      <c r="J338" s="2" t="s">
        <v>1698</v>
      </c>
      <c r="K338" s="2" t="s">
        <v>519</v>
      </c>
      <c r="L338" s="2" t="s">
        <v>1727</v>
      </c>
    </row>
    <row r="339" customFormat="false" ht="15" hidden="false" customHeight="false" outlineLevel="0" collapsed="false">
      <c r="A339" s="2" t="s">
        <v>1736</v>
      </c>
      <c r="B339" s="9" t="s">
        <v>1737</v>
      </c>
      <c r="C339" s="2" t="s">
        <v>1723</v>
      </c>
      <c r="D339" s="52" t="n">
        <v>4</v>
      </c>
      <c r="E339" s="2" t="s">
        <v>1724</v>
      </c>
      <c r="F339" s="2" t="s">
        <v>1725</v>
      </c>
      <c r="G339" s="2" t="s">
        <v>1726</v>
      </c>
      <c r="H339" s="2" t="s">
        <v>496</v>
      </c>
      <c r="I339" s="2" t="s">
        <v>497</v>
      </c>
      <c r="J339" s="2" t="s">
        <v>1698</v>
      </c>
      <c r="K339" s="2" t="s">
        <v>519</v>
      </c>
      <c r="L339" s="2" t="s">
        <v>1727</v>
      </c>
    </row>
    <row r="340" customFormat="false" ht="15" hidden="false" customHeight="false" outlineLevel="0" collapsed="false">
      <c r="A340" s="2" t="s">
        <v>1738</v>
      </c>
      <c r="B340" s="9" t="s">
        <v>1739</v>
      </c>
      <c r="C340" s="2" t="s">
        <v>1723</v>
      </c>
      <c r="D340" s="52" t="n">
        <v>5</v>
      </c>
      <c r="E340" s="2" t="s">
        <v>1724</v>
      </c>
      <c r="F340" s="2" t="s">
        <v>1725</v>
      </c>
      <c r="G340" s="2" t="s">
        <v>1726</v>
      </c>
      <c r="H340" s="2" t="s">
        <v>496</v>
      </c>
      <c r="I340" s="2" t="s">
        <v>497</v>
      </c>
      <c r="J340" s="2" t="s">
        <v>1698</v>
      </c>
      <c r="K340" s="2" t="s">
        <v>519</v>
      </c>
      <c r="L340" s="2" t="s">
        <v>1727</v>
      </c>
    </row>
    <row r="341" customFormat="false" ht="15" hidden="false" customHeight="false" outlineLevel="0" collapsed="false">
      <c r="A341" s="2" t="s">
        <v>1740</v>
      </c>
      <c r="B341" s="9" t="s">
        <v>1741</v>
      </c>
      <c r="C341" s="2" t="s">
        <v>1723</v>
      </c>
      <c r="D341" s="52" t="n">
        <v>5</v>
      </c>
      <c r="E341" s="2" t="s">
        <v>1724</v>
      </c>
      <c r="F341" s="2" t="s">
        <v>1725</v>
      </c>
      <c r="G341" s="2" t="s">
        <v>1726</v>
      </c>
      <c r="H341" s="2" t="s">
        <v>496</v>
      </c>
      <c r="I341" s="2" t="s">
        <v>497</v>
      </c>
      <c r="J341" s="2" t="s">
        <v>1698</v>
      </c>
      <c r="K341" s="2" t="s">
        <v>519</v>
      </c>
      <c r="L341" s="2" t="s">
        <v>1727</v>
      </c>
    </row>
    <row r="342" customFormat="false" ht="15" hidden="false" customHeight="false" outlineLevel="0" collapsed="false">
      <c r="A342" s="2" t="s">
        <v>1742</v>
      </c>
      <c r="B342" s="9" t="s">
        <v>1743</v>
      </c>
      <c r="C342" s="2" t="s">
        <v>1723</v>
      </c>
      <c r="D342" s="52" t="n">
        <v>5</v>
      </c>
      <c r="E342" s="2" t="s">
        <v>1724</v>
      </c>
      <c r="F342" s="2" t="s">
        <v>1725</v>
      </c>
      <c r="G342" s="2" t="s">
        <v>1726</v>
      </c>
      <c r="H342" s="2" t="s">
        <v>496</v>
      </c>
      <c r="I342" s="2" t="s">
        <v>497</v>
      </c>
      <c r="J342" s="2" t="s">
        <v>1698</v>
      </c>
      <c r="K342" s="2" t="s">
        <v>519</v>
      </c>
      <c r="L342" s="2" t="s">
        <v>1727</v>
      </c>
    </row>
    <row r="343" customFormat="false" ht="15" hidden="false" customHeight="false" outlineLevel="0" collapsed="false">
      <c r="A343" s="2" t="s">
        <v>1744</v>
      </c>
      <c r="B343" s="9" t="s">
        <v>1745</v>
      </c>
      <c r="C343" s="2" t="s">
        <v>1723</v>
      </c>
      <c r="D343" s="52" t="n">
        <v>3</v>
      </c>
      <c r="E343" s="2" t="s">
        <v>1724</v>
      </c>
      <c r="F343" s="2" t="s">
        <v>1725</v>
      </c>
      <c r="G343" s="2" t="s">
        <v>1726</v>
      </c>
      <c r="H343" s="2" t="s">
        <v>496</v>
      </c>
      <c r="I343" s="2" t="s">
        <v>497</v>
      </c>
      <c r="J343" s="2" t="s">
        <v>1698</v>
      </c>
      <c r="K343" s="2" t="s">
        <v>519</v>
      </c>
      <c r="L343" s="2" t="s">
        <v>1727</v>
      </c>
    </row>
    <row r="344" customFormat="false" ht="15" hidden="false" customHeight="false" outlineLevel="0" collapsed="false">
      <c r="A344" s="2" t="s">
        <v>1746</v>
      </c>
      <c r="B344" s="9" t="s">
        <v>1747</v>
      </c>
      <c r="C344" s="2" t="s">
        <v>1723</v>
      </c>
      <c r="D344" s="52" t="n">
        <v>3.5</v>
      </c>
      <c r="E344" s="2" t="s">
        <v>1724</v>
      </c>
      <c r="F344" s="2" t="s">
        <v>1725</v>
      </c>
      <c r="G344" s="2" t="s">
        <v>1726</v>
      </c>
      <c r="H344" s="2" t="s">
        <v>496</v>
      </c>
      <c r="I344" s="2" t="s">
        <v>497</v>
      </c>
      <c r="J344" s="2" t="s">
        <v>1698</v>
      </c>
      <c r="K344" s="2" t="s">
        <v>519</v>
      </c>
      <c r="L344" s="2" t="s">
        <v>1727</v>
      </c>
    </row>
    <row r="345" customFormat="false" ht="15" hidden="false" customHeight="false" outlineLevel="0" collapsed="false">
      <c r="A345" s="2" t="s">
        <v>1748</v>
      </c>
      <c r="B345" s="9" t="s">
        <v>1749</v>
      </c>
      <c r="C345" s="2" t="s">
        <v>1723</v>
      </c>
      <c r="D345" s="52" t="n">
        <v>3</v>
      </c>
      <c r="E345" s="2" t="s">
        <v>1724</v>
      </c>
      <c r="F345" s="2" t="s">
        <v>1725</v>
      </c>
      <c r="G345" s="2" t="s">
        <v>1726</v>
      </c>
      <c r="H345" s="2" t="s">
        <v>496</v>
      </c>
      <c r="I345" s="2" t="s">
        <v>497</v>
      </c>
      <c r="J345" s="2" t="s">
        <v>1698</v>
      </c>
      <c r="K345" s="2" t="s">
        <v>519</v>
      </c>
      <c r="L345" s="2" t="s">
        <v>1727</v>
      </c>
    </row>
    <row r="346" customFormat="false" ht="15" hidden="false" customHeight="false" outlineLevel="0" collapsed="false">
      <c r="A346" s="2" t="s">
        <v>1750</v>
      </c>
      <c r="B346" s="9" t="s">
        <v>1751</v>
      </c>
      <c r="C346" s="2" t="s">
        <v>1723</v>
      </c>
      <c r="D346" s="52" t="n">
        <v>2.5</v>
      </c>
      <c r="E346" s="2" t="s">
        <v>1724</v>
      </c>
      <c r="F346" s="2" t="s">
        <v>1725</v>
      </c>
      <c r="G346" s="2" t="s">
        <v>1726</v>
      </c>
      <c r="H346" s="2" t="s">
        <v>496</v>
      </c>
      <c r="I346" s="2" t="s">
        <v>497</v>
      </c>
      <c r="J346" s="2" t="s">
        <v>1698</v>
      </c>
      <c r="K346" s="2" t="s">
        <v>519</v>
      </c>
      <c r="L346" s="2" t="s">
        <v>1727</v>
      </c>
    </row>
    <row r="347" customFormat="false" ht="15" hidden="false" customHeight="false" outlineLevel="0" collapsed="false">
      <c r="A347" s="2" t="s">
        <v>1752</v>
      </c>
      <c r="B347" s="9" t="s">
        <v>1753</v>
      </c>
      <c r="C347" s="2" t="s">
        <v>1723</v>
      </c>
      <c r="D347" s="52" t="n">
        <v>5.5</v>
      </c>
      <c r="E347" s="2" t="s">
        <v>1724</v>
      </c>
      <c r="F347" s="2" t="s">
        <v>1725</v>
      </c>
      <c r="G347" s="2" t="s">
        <v>1726</v>
      </c>
      <c r="H347" s="2" t="s">
        <v>496</v>
      </c>
      <c r="I347" s="2" t="s">
        <v>497</v>
      </c>
      <c r="J347" s="2" t="s">
        <v>1698</v>
      </c>
      <c r="K347" s="2" t="s">
        <v>519</v>
      </c>
      <c r="L347" s="2" t="s">
        <v>1727</v>
      </c>
    </row>
    <row r="348" customFormat="false" ht="15" hidden="false" customHeight="false" outlineLevel="0" collapsed="false">
      <c r="A348" s="2" t="s">
        <v>1754</v>
      </c>
      <c r="B348" s="9" t="s">
        <v>1755</v>
      </c>
      <c r="C348" s="2" t="s">
        <v>1723</v>
      </c>
      <c r="D348" s="52" t="n">
        <v>3</v>
      </c>
      <c r="E348" s="2" t="s">
        <v>1724</v>
      </c>
      <c r="F348" s="2" t="s">
        <v>1725</v>
      </c>
      <c r="G348" s="2" t="s">
        <v>1726</v>
      </c>
      <c r="H348" s="2" t="s">
        <v>496</v>
      </c>
      <c r="I348" s="2" t="s">
        <v>497</v>
      </c>
      <c r="J348" s="2" t="s">
        <v>1698</v>
      </c>
      <c r="K348" s="2" t="s">
        <v>519</v>
      </c>
      <c r="L348" s="2" t="s">
        <v>1727</v>
      </c>
    </row>
    <row r="349" customFormat="false" ht="15" hidden="false" customHeight="false" outlineLevel="0" collapsed="false">
      <c r="A349" s="2" t="s">
        <v>1756</v>
      </c>
      <c r="B349" s="9" t="s">
        <v>1757</v>
      </c>
      <c r="C349" s="2" t="s">
        <v>1723</v>
      </c>
      <c r="D349" s="52" t="n">
        <v>4</v>
      </c>
      <c r="E349" s="2" t="s">
        <v>1724</v>
      </c>
      <c r="F349" s="2" t="s">
        <v>1725</v>
      </c>
      <c r="G349" s="2" t="s">
        <v>1726</v>
      </c>
      <c r="H349" s="2" t="s">
        <v>496</v>
      </c>
      <c r="I349" s="2" t="s">
        <v>497</v>
      </c>
      <c r="J349" s="2" t="s">
        <v>1698</v>
      </c>
      <c r="K349" s="2" t="s">
        <v>519</v>
      </c>
      <c r="L349" s="2" t="s">
        <v>1727</v>
      </c>
    </row>
    <row r="350" customFormat="false" ht="15" hidden="false" customHeight="false" outlineLevel="0" collapsed="false">
      <c r="A350" s="2" t="s">
        <v>1758</v>
      </c>
      <c r="B350" s="9" t="s">
        <v>1759</v>
      </c>
      <c r="C350" s="2" t="s">
        <v>1723</v>
      </c>
      <c r="D350" s="52" t="n">
        <v>6</v>
      </c>
      <c r="E350" s="2" t="s">
        <v>1724</v>
      </c>
      <c r="F350" s="2" t="s">
        <v>1725</v>
      </c>
      <c r="G350" s="2" t="s">
        <v>1726</v>
      </c>
      <c r="H350" s="2" t="s">
        <v>496</v>
      </c>
      <c r="I350" s="2" t="s">
        <v>497</v>
      </c>
      <c r="J350" s="2" t="s">
        <v>1698</v>
      </c>
      <c r="K350" s="2" t="s">
        <v>519</v>
      </c>
      <c r="L350" s="2" t="s">
        <v>1727</v>
      </c>
    </row>
    <row r="351" customFormat="false" ht="15" hidden="false" customHeight="false" outlineLevel="0" collapsed="false">
      <c r="A351" s="2" t="s">
        <v>1760</v>
      </c>
      <c r="B351" s="9" t="s">
        <v>1761</v>
      </c>
      <c r="C351" s="2" t="s">
        <v>1723</v>
      </c>
      <c r="D351" s="52" t="n">
        <v>4</v>
      </c>
      <c r="E351" s="2" t="s">
        <v>1724</v>
      </c>
      <c r="F351" s="2" t="s">
        <v>1725</v>
      </c>
      <c r="G351" s="2" t="s">
        <v>1726</v>
      </c>
      <c r="H351" s="2" t="s">
        <v>496</v>
      </c>
      <c r="I351" s="2" t="s">
        <v>497</v>
      </c>
      <c r="J351" s="2" t="s">
        <v>1698</v>
      </c>
      <c r="K351" s="2" t="s">
        <v>519</v>
      </c>
      <c r="L351" s="2" t="s">
        <v>1727</v>
      </c>
    </row>
    <row r="352" customFormat="false" ht="15" hidden="false" customHeight="false" outlineLevel="0" collapsed="false">
      <c r="A352" s="2" t="s">
        <v>1762</v>
      </c>
      <c r="B352" s="9" t="s">
        <v>1763</v>
      </c>
      <c r="C352" s="2" t="s">
        <v>1723</v>
      </c>
      <c r="D352" s="52" t="n">
        <v>5.8</v>
      </c>
      <c r="E352" s="2" t="s">
        <v>1724</v>
      </c>
      <c r="F352" s="2" t="s">
        <v>1725</v>
      </c>
      <c r="G352" s="2" t="s">
        <v>1726</v>
      </c>
      <c r="H352" s="2" t="s">
        <v>496</v>
      </c>
      <c r="I352" s="2" t="s">
        <v>497</v>
      </c>
      <c r="J352" s="2" t="s">
        <v>1698</v>
      </c>
      <c r="K352" s="2" t="s">
        <v>519</v>
      </c>
      <c r="L352" s="2" t="s">
        <v>1727</v>
      </c>
    </row>
    <row r="353" customFormat="false" ht="15" hidden="false" customHeight="false" outlineLevel="0" collapsed="false">
      <c r="A353" s="2" t="s">
        <v>1764</v>
      </c>
      <c r="B353" s="9" t="s">
        <v>1765</v>
      </c>
      <c r="C353" s="2" t="s">
        <v>1723</v>
      </c>
      <c r="D353" s="52" t="n">
        <v>8.2</v>
      </c>
      <c r="E353" s="2" t="s">
        <v>1724</v>
      </c>
      <c r="F353" s="2" t="s">
        <v>1725</v>
      </c>
      <c r="G353" s="2" t="s">
        <v>1726</v>
      </c>
      <c r="H353" s="2" t="s">
        <v>496</v>
      </c>
      <c r="I353" s="2" t="s">
        <v>497</v>
      </c>
      <c r="J353" s="2" t="s">
        <v>1698</v>
      </c>
      <c r="K353" s="2" t="s">
        <v>519</v>
      </c>
      <c r="L353" s="2" t="s">
        <v>1727</v>
      </c>
    </row>
    <row r="354" customFormat="false" ht="15" hidden="false" customHeight="false" outlineLevel="0" collapsed="false">
      <c r="A354" s="2" t="s">
        <v>1766</v>
      </c>
      <c r="B354" s="9" t="s">
        <v>1767</v>
      </c>
      <c r="C354" s="2" t="s">
        <v>1723</v>
      </c>
      <c r="D354" s="52" t="n">
        <v>4.53</v>
      </c>
      <c r="E354" s="2" t="s">
        <v>1724</v>
      </c>
      <c r="F354" s="2" t="s">
        <v>1725</v>
      </c>
      <c r="G354" s="2" t="s">
        <v>1726</v>
      </c>
      <c r="H354" s="2" t="s">
        <v>496</v>
      </c>
      <c r="I354" s="2" t="s">
        <v>497</v>
      </c>
      <c r="J354" s="2" t="s">
        <v>1698</v>
      </c>
      <c r="K354" s="2" t="s">
        <v>519</v>
      </c>
      <c r="L354" s="2" t="s">
        <v>1727</v>
      </c>
    </row>
    <row r="355" customFormat="false" ht="15" hidden="false" customHeight="false" outlineLevel="0" collapsed="false">
      <c r="A355" s="2" t="s">
        <v>1768</v>
      </c>
      <c r="B355" s="9" t="s">
        <v>1769</v>
      </c>
      <c r="C355" s="2" t="s">
        <v>1770</v>
      </c>
      <c r="D355" s="15" t="n">
        <v>8</v>
      </c>
      <c r="E355" s="2" t="s">
        <v>1724</v>
      </c>
      <c r="F355" s="2" t="s">
        <v>687</v>
      </c>
      <c r="G355" s="2" t="s">
        <v>1771</v>
      </c>
      <c r="H355" s="2" t="s">
        <v>1772</v>
      </c>
      <c r="I355" s="2" t="s">
        <v>497</v>
      </c>
      <c r="J355" s="2" t="s">
        <v>1698</v>
      </c>
      <c r="K355" s="2" t="s">
        <v>1773</v>
      </c>
      <c r="L355" s="2" t="s">
        <v>1700</v>
      </c>
    </row>
    <row r="356" customFormat="false" ht="15" hidden="false" customHeight="false" outlineLevel="0" collapsed="false">
      <c r="A356" s="2" t="s">
        <v>1774</v>
      </c>
      <c r="B356" s="9" t="s">
        <v>1775</v>
      </c>
      <c r="C356" s="2" t="s">
        <v>1770</v>
      </c>
      <c r="D356" s="15" t="n">
        <v>5</v>
      </c>
      <c r="E356" s="2" t="s">
        <v>1724</v>
      </c>
      <c r="F356" s="2" t="s">
        <v>687</v>
      </c>
      <c r="G356" s="2" t="s">
        <v>1771</v>
      </c>
      <c r="H356" s="2" t="s">
        <v>1772</v>
      </c>
      <c r="I356" s="2" t="s">
        <v>497</v>
      </c>
      <c r="J356" s="2" t="s">
        <v>1698</v>
      </c>
      <c r="K356" s="2" t="s">
        <v>1773</v>
      </c>
      <c r="L356" s="2" t="s">
        <v>1700</v>
      </c>
    </row>
    <row r="357" customFormat="false" ht="15" hidden="false" customHeight="false" outlineLevel="0" collapsed="false">
      <c r="A357" s="2" t="s">
        <v>1776</v>
      </c>
      <c r="B357" s="9" t="s">
        <v>1777</v>
      </c>
      <c r="C357" s="2" t="s">
        <v>1770</v>
      </c>
      <c r="D357" s="15" t="n">
        <v>9</v>
      </c>
      <c r="E357" s="2" t="s">
        <v>1724</v>
      </c>
      <c r="F357" s="2" t="s">
        <v>687</v>
      </c>
      <c r="G357" s="2" t="s">
        <v>1771</v>
      </c>
      <c r="H357" s="2" t="s">
        <v>1772</v>
      </c>
      <c r="I357" s="2" t="s">
        <v>497</v>
      </c>
      <c r="J357" s="2" t="s">
        <v>1698</v>
      </c>
      <c r="K357" s="2" t="s">
        <v>1773</v>
      </c>
      <c r="L357" s="2" t="s">
        <v>1700</v>
      </c>
    </row>
    <row r="358" customFormat="false" ht="15" hidden="false" customHeight="false" outlineLevel="0" collapsed="false">
      <c r="A358" s="2" t="s">
        <v>1778</v>
      </c>
      <c r="B358" s="9" t="s">
        <v>1779</v>
      </c>
      <c r="C358" s="2" t="s">
        <v>1770</v>
      </c>
      <c r="D358" s="15" t="n">
        <v>7.5</v>
      </c>
      <c r="E358" s="2" t="s">
        <v>1724</v>
      </c>
      <c r="F358" s="2" t="s">
        <v>687</v>
      </c>
      <c r="G358" s="2" t="s">
        <v>1771</v>
      </c>
      <c r="H358" s="2" t="s">
        <v>1772</v>
      </c>
      <c r="I358" s="2" t="s">
        <v>497</v>
      </c>
      <c r="J358" s="2" t="s">
        <v>1698</v>
      </c>
      <c r="K358" s="2" t="s">
        <v>1773</v>
      </c>
      <c r="L358" s="2" t="s">
        <v>1700</v>
      </c>
    </row>
    <row r="359" customFormat="false" ht="15" hidden="false" customHeight="false" outlineLevel="0" collapsed="false">
      <c r="A359" s="2" t="s">
        <v>1780</v>
      </c>
      <c r="B359" s="9" t="s">
        <v>1781</v>
      </c>
      <c r="C359" s="2" t="s">
        <v>1770</v>
      </c>
      <c r="D359" s="15" t="n">
        <v>7</v>
      </c>
      <c r="E359" s="2" t="s">
        <v>1724</v>
      </c>
      <c r="F359" s="2" t="s">
        <v>687</v>
      </c>
      <c r="G359" s="2" t="s">
        <v>1771</v>
      </c>
      <c r="H359" s="2" t="s">
        <v>1772</v>
      </c>
      <c r="I359" s="2" t="s">
        <v>497</v>
      </c>
      <c r="J359" s="2" t="s">
        <v>1698</v>
      </c>
      <c r="K359" s="2" t="s">
        <v>1773</v>
      </c>
      <c r="L359" s="2" t="s">
        <v>1700</v>
      </c>
    </row>
    <row r="360" customFormat="false" ht="15" hidden="false" customHeight="false" outlineLevel="0" collapsed="false">
      <c r="A360" s="2" t="s">
        <v>1782</v>
      </c>
      <c r="B360" s="9" t="s">
        <v>1783</v>
      </c>
      <c r="C360" s="2" t="s">
        <v>1770</v>
      </c>
      <c r="D360" s="15" t="n">
        <v>7</v>
      </c>
      <c r="E360" s="2" t="s">
        <v>1724</v>
      </c>
      <c r="F360" s="2" t="s">
        <v>687</v>
      </c>
      <c r="G360" s="2" t="s">
        <v>1771</v>
      </c>
      <c r="H360" s="2" t="s">
        <v>1772</v>
      </c>
      <c r="I360" s="2" t="s">
        <v>497</v>
      </c>
      <c r="J360" s="2" t="s">
        <v>1698</v>
      </c>
      <c r="K360" s="2" t="s">
        <v>1773</v>
      </c>
      <c r="L360" s="2" t="s">
        <v>1700</v>
      </c>
    </row>
    <row r="361" customFormat="false" ht="15" hidden="false" customHeight="false" outlineLevel="0" collapsed="false">
      <c r="A361" s="2" t="s">
        <v>1784</v>
      </c>
      <c r="B361" s="9" t="s">
        <v>1785</v>
      </c>
      <c r="C361" s="2" t="s">
        <v>1770</v>
      </c>
      <c r="D361" s="15" t="n">
        <v>5</v>
      </c>
      <c r="E361" s="2" t="s">
        <v>1724</v>
      </c>
      <c r="F361" s="2" t="s">
        <v>687</v>
      </c>
      <c r="G361" s="2" t="s">
        <v>1771</v>
      </c>
      <c r="H361" s="2" t="s">
        <v>1772</v>
      </c>
      <c r="I361" s="2" t="s">
        <v>497</v>
      </c>
      <c r="J361" s="2" t="s">
        <v>1698</v>
      </c>
      <c r="K361" s="2" t="s">
        <v>1773</v>
      </c>
      <c r="L361" s="2" t="s">
        <v>1700</v>
      </c>
    </row>
    <row r="362" customFormat="false" ht="15" hidden="false" customHeight="false" outlineLevel="0" collapsed="false">
      <c r="A362" s="2" t="s">
        <v>1786</v>
      </c>
      <c r="B362" s="9" t="s">
        <v>1787</v>
      </c>
      <c r="C362" s="2" t="s">
        <v>1770</v>
      </c>
      <c r="D362" s="15" t="n">
        <v>4</v>
      </c>
      <c r="E362" s="2" t="s">
        <v>1724</v>
      </c>
      <c r="F362" s="2" t="s">
        <v>687</v>
      </c>
      <c r="G362" s="2" t="s">
        <v>1771</v>
      </c>
      <c r="H362" s="2" t="s">
        <v>1772</v>
      </c>
      <c r="I362" s="2" t="s">
        <v>497</v>
      </c>
      <c r="J362" s="2" t="s">
        <v>1698</v>
      </c>
      <c r="K362" s="2" t="s">
        <v>1773</v>
      </c>
      <c r="L362" s="2" t="s">
        <v>1700</v>
      </c>
    </row>
    <row r="363" customFormat="false" ht="15" hidden="false" customHeight="false" outlineLevel="0" collapsed="false">
      <c r="A363" s="2" t="s">
        <v>1788</v>
      </c>
      <c r="B363" s="9" t="s">
        <v>1789</v>
      </c>
      <c r="C363" s="2" t="s">
        <v>1770</v>
      </c>
      <c r="D363" s="15" t="n">
        <v>6</v>
      </c>
      <c r="E363" s="2" t="s">
        <v>1724</v>
      </c>
      <c r="F363" s="2" t="s">
        <v>687</v>
      </c>
      <c r="G363" s="2" t="s">
        <v>1771</v>
      </c>
      <c r="H363" s="2" t="s">
        <v>1772</v>
      </c>
      <c r="I363" s="2" t="s">
        <v>497</v>
      </c>
      <c r="J363" s="2" t="s">
        <v>1698</v>
      </c>
      <c r="K363" s="2" t="s">
        <v>1773</v>
      </c>
      <c r="L363" s="2" t="s">
        <v>1700</v>
      </c>
    </row>
    <row r="364" customFormat="false" ht="15" hidden="false" customHeight="false" outlineLevel="0" collapsed="false">
      <c r="A364" s="2" t="s">
        <v>1790</v>
      </c>
      <c r="B364" s="9" t="s">
        <v>1791</v>
      </c>
      <c r="C364" s="2" t="s">
        <v>1770</v>
      </c>
      <c r="D364" s="15" t="n">
        <v>5</v>
      </c>
      <c r="E364" s="2" t="s">
        <v>1724</v>
      </c>
      <c r="F364" s="2" t="s">
        <v>687</v>
      </c>
      <c r="G364" s="2" t="s">
        <v>1771</v>
      </c>
      <c r="H364" s="2" t="s">
        <v>1772</v>
      </c>
      <c r="I364" s="2" t="s">
        <v>497</v>
      </c>
      <c r="J364" s="2" t="s">
        <v>1698</v>
      </c>
      <c r="K364" s="2" t="s">
        <v>1773</v>
      </c>
      <c r="L364" s="2" t="s">
        <v>1700</v>
      </c>
    </row>
    <row r="365" customFormat="false" ht="15" hidden="false" customHeight="false" outlineLevel="0" collapsed="false">
      <c r="A365" s="2" t="s">
        <v>1792</v>
      </c>
      <c r="B365" s="9" t="s">
        <v>1793</v>
      </c>
      <c r="C365" s="2" t="s">
        <v>1770</v>
      </c>
      <c r="D365" s="15" t="n">
        <v>5</v>
      </c>
      <c r="E365" s="2" t="s">
        <v>1724</v>
      </c>
      <c r="F365" s="2" t="s">
        <v>687</v>
      </c>
      <c r="G365" s="2" t="s">
        <v>1771</v>
      </c>
      <c r="H365" s="2" t="s">
        <v>1772</v>
      </c>
      <c r="I365" s="2" t="s">
        <v>497</v>
      </c>
      <c r="J365" s="2" t="s">
        <v>1698</v>
      </c>
      <c r="K365" s="2" t="s">
        <v>1773</v>
      </c>
      <c r="L365" s="2" t="s">
        <v>1700</v>
      </c>
    </row>
    <row r="366" customFormat="false" ht="15" hidden="false" customHeight="false" outlineLevel="0" collapsed="false">
      <c r="A366" s="2" t="s">
        <v>1794</v>
      </c>
      <c r="B366" s="9" t="s">
        <v>1795</v>
      </c>
      <c r="C366" s="2" t="s">
        <v>1770</v>
      </c>
      <c r="D366" s="15" t="n">
        <v>4</v>
      </c>
      <c r="E366" s="2" t="s">
        <v>1724</v>
      </c>
      <c r="F366" s="2" t="s">
        <v>687</v>
      </c>
      <c r="G366" s="2" t="s">
        <v>1771</v>
      </c>
      <c r="H366" s="2" t="s">
        <v>1772</v>
      </c>
      <c r="I366" s="2" t="s">
        <v>497</v>
      </c>
      <c r="J366" s="2" t="s">
        <v>1698</v>
      </c>
      <c r="K366" s="2" t="s">
        <v>1773</v>
      </c>
      <c r="L366" s="2" t="s">
        <v>1700</v>
      </c>
    </row>
    <row r="367" customFormat="false" ht="15" hidden="false" customHeight="false" outlineLevel="0" collapsed="false">
      <c r="A367" s="2" t="s">
        <v>1796</v>
      </c>
      <c r="B367" s="9" t="s">
        <v>1797</v>
      </c>
      <c r="C367" s="2" t="s">
        <v>1770</v>
      </c>
      <c r="D367" s="15" t="n">
        <v>3.5</v>
      </c>
      <c r="E367" s="2" t="s">
        <v>1724</v>
      </c>
      <c r="F367" s="2" t="s">
        <v>687</v>
      </c>
      <c r="G367" s="2" t="s">
        <v>1771</v>
      </c>
      <c r="H367" s="2" t="s">
        <v>1772</v>
      </c>
      <c r="I367" s="2" t="s">
        <v>497</v>
      </c>
      <c r="J367" s="2" t="s">
        <v>1698</v>
      </c>
      <c r="K367" s="2" t="s">
        <v>1773</v>
      </c>
      <c r="L367" s="2" t="s">
        <v>1700</v>
      </c>
    </row>
    <row r="368" customFormat="false" ht="15" hidden="false" customHeight="false" outlineLevel="0" collapsed="false">
      <c r="A368" s="2" t="s">
        <v>1798</v>
      </c>
      <c r="B368" s="9" t="s">
        <v>1799</v>
      </c>
      <c r="C368" s="2" t="s">
        <v>1770</v>
      </c>
      <c r="D368" s="15" t="n">
        <v>3</v>
      </c>
      <c r="E368" s="2" t="s">
        <v>1724</v>
      </c>
      <c r="F368" s="2" t="s">
        <v>687</v>
      </c>
      <c r="G368" s="2" t="s">
        <v>1771</v>
      </c>
      <c r="H368" s="2" t="s">
        <v>1772</v>
      </c>
      <c r="I368" s="2" t="s">
        <v>497</v>
      </c>
      <c r="J368" s="2" t="s">
        <v>1698</v>
      </c>
      <c r="K368" s="2" t="s">
        <v>1773</v>
      </c>
      <c r="L368" s="2" t="s">
        <v>1700</v>
      </c>
    </row>
    <row r="369" customFormat="false" ht="15" hidden="false" customHeight="false" outlineLevel="0" collapsed="false">
      <c r="A369" s="2" t="s">
        <v>1800</v>
      </c>
      <c r="B369" s="9" t="s">
        <v>1801</v>
      </c>
      <c r="C369" s="2" t="s">
        <v>1770</v>
      </c>
      <c r="D369" s="15" t="n">
        <v>3</v>
      </c>
      <c r="E369" s="2" t="s">
        <v>1724</v>
      </c>
      <c r="F369" s="2" t="s">
        <v>687</v>
      </c>
      <c r="G369" s="2" t="s">
        <v>1771</v>
      </c>
      <c r="H369" s="2" t="s">
        <v>1772</v>
      </c>
      <c r="I369" s="2" t="s">
        <v>497</v>
      </c>
      <c r="J369" s="2" t="s">
        <v>1698</v>
      </c>
      <c r="K369" s="2" t="s">
        <v>1773</v>
      </c>
      <c r="L369" s="2" t="s">
        <v>1700</v>
      </c>
    </row>
    <row r="370" customFormat="false" ht="15" hidden="false" customHeight="false" outlineLevel="0" collapsed="false">
      <c r="A370" s="2" t="s">
        <v>1802</v>
      </c>
      <c r="B370" s="9" t="s">
        <v>1803</v>
      </c>
      <c r="C370" s="2" t="s">
        <v>1770</v>
      </c>
      <c r="D370" s="15" t="n">
        <v>6</v>
      </c>
      <c r="E370" s="2" t="s">
        <v>1724</v>
      </c>
      <c r="F370" s="2" t="s">
        <v>687</v>
      </c>
      <c r="G370" s="2" t="s">
        <v>1771</v>
      </c>
      <c r="H370" s="2" t="s">
        <v>1772</v>
      </c>
      <c r="I370" s="2" t="s">
        <v>497</v>
      </c>
      <c r="J370" s="2" t="s">
        <v>1698</v>
      </c>
      <c r="K370" s="2" t="s">
        <v>1773</v>
      </c>
      <c r="L370" s="2" t="s">
        <v>1700</v>
      </c>
    </row>
    <row r="371" customFormat="false" ht="15" hidden="false" customHeight="false" outlineLevel="0" collapsed="false">
      <c r="A371" s="2" t="s">
        <v>1804</v>
      </c>
      <c r="B371" s="9" t="s">
        <v>1805</v>
      </c>
      <c r="C371" s="2" t="s">
        <v>1770</v>
      </c>
      <c r="D371" s="15" t="n">
        <v>6</v>
      </c>
      <c r="E371" s="2" t="s">
        <v>1724</v>
      </c>
      <c r="F371" s="2" t="s">
        <v>687</v>
      </c>
      <c r="G371" s="2" t="s">
        <v>1771</v>
      </c>
      <c r="H371" s="2" t="s">
        <v>1772</v>
      </c>
      <c r="I371" s="2" t="s">
        <v>497</v>
      </c>
      <c r="J371" s="2" t="s">
        <v>1698</v>
      </c>
      <c r="K371" s="2" t="s">
        <v>1773</v>
      </c>
      <c r="L371" s="2" t="s">
        <v>1700</v>
      </c>
    </row>
    <row r="372" customFormat="false" ht="15" hidden="false" customHeight="false" outlineLevel="0" collapsed="false">
      <c r="A372" s="2" t="s">
        <v>1806</v>
      </c>
      <c r="B372" s="9" t="s">
        <v>1807</v>
      </c>
      <c r="C372" s="2" t="s">
        <v>1770</v>
      </c>
      <c r="D372" s="15" t="n">
        <v>4</v>
      </c>
      <c r="E372" s="2" t="s">
        <v>1724</v>
      </c>
      <c r="F372" s="2" t="s">
        <v>687</v>
      </c>
      <c r="G372" s="2" t="s">
        <v>1771</v>
      </c>
      <c r="H372" s="2" t="s">
        <v>1772</v>
      </c>
      <c r="I372" s="2" t="s">
        <v>497</v>
      </c>
      <c r="J372" s="2" t="s">
        <v>1698</v>
      </c>
      <c r="K372" s="2" t="s">
        <v>1773</v>
      </c>
      <c r="L372" s="2" t="s">
        <v>1700</v>
      </c>
    </row>
    <row r="373" customFormat="false" ht="15" hidden="false" customHeight="false" outlineLevel="0" collapsed="false">
      <c r="A373" s="2" t="s">
        <v>1808</v>
      </c>
      <c r="B373" s="9" t="s">
        <v>1809</v>
      </c>
      <c r="C373" s="2" t="s">
        <v>1770</v>
      </c>
      <c r="D373" s="15" t="n">
        <v>7</v>
      </c>
      <c r="E373" s="2" t="s">
        <v>1724</v>
      </c>
      <c r="F373" s="2" t="s">
        <v>687</v>
      </c>
      <c r="G373" s="2" t="s">
        <v>1771</v>
      </c>
      <c r="H373" s="2" t="s">
        <v>1772</v>
      </c>
      <c r="I373" s="2" t="s">
        <v>497</v>
      </c>
      <c r="J373" s="2" t="s">
        <v>1698</v>
      </c>
      <c r="K373" s="2" t="s">
        <v>1773</v>
      </c>
      <c r="L373" s="2" t="s">
        <v>1700</v>
      </c>
    </row>
    <row r="374" customFormat="false" ht="15" hidden="false" customHeight="false" outlineLevel="0" collapsed="false">
      <c r="A374" s="2" t="s">
        <v>1810</v>
      </c>
      <c r="B374" s="9" t="s">
        <v>1811</v>
      </c>
      <c r="C374" s="2" t="s">
        <v>1770</v>
      </c>
      <c r="D374" s="15" t="n">
        <v>4.5</v>
      </c>
      <c r="E374" s="2" t="s">
        <v>1724</v>
      </c>
      <c r="F374" s="2" t="s">
        <v>687</v>
      </c>
      <c r="G374" s="2" t="s">
        <v>1771</v>
      </c>
      <c r="H374" s="2" t="s">
        <v>1772</v>
      </c>
      <c r="I374" s="2" t="s">
        <v>497</v>
      </c>
      <c r="J374" s="2" t="s">
        <v>1698</v>
      </c>
      <c r="K374" s="2" t="s">
        <v>1773</v>
      </c>
      <c r="L374" s="2" t="s">
        <v>1700</v>
      </c>
    </row>
    <row r="375" customFormat="false" ht="15" hidden="false" customHeight="false" outlineLevel="0" collapsed="false">
      <c r="A375" s="2" t="s">
        <v>1812</v>
      </c>
      <c r="B375" s="9" t="s">
        <v>1813</v>
      </c>
      <c r="C375" s="2" t="s">
        <v>1814</v>
      </c>
      <c r="D375" s="15" t="n">
        <v>1</v>
      </c>
      <c r="E375" s="2" t="s">
        <v>24</v>
      </c>
      <c r="F375" s="2" t="s">
        <v>687</v>
      </c>
      <c r="G375" s="2" t="s">
        <v>1815</v>
      </c>
      <c r="H375" s="2" t="s">
        <v>1554</v>
      </c>
      <c r="I375" s="2" t="s">
        <v>497</v>
      </c>
      <c r="J375" s="2" t="s">
        <v>1698</v>
      </c>
      <c r="K375" s="2" t="s">
        <v>1816</v>
      </c>
      <c r="L375" s="2" t="s">
        <v>1700</v>
      </c>
    </row>
    <row r="376" customFormat="false" ht="15" hidden="false" customHeight="false" outlineLevel="0" collapsed="false">
      <c r="A376" s="2" t="s">
        <v>1817</v>
      </c>
      <c r="B376" s="9" t="s">
        <v>1818</v>
      </c>
      <c r="C376" s="2" t="s">
        <v>1819</v>
      </c>
      <c r="D376" s="15" t="n">
        <v>0</v>
      </c>
      <c r="E376" s="2" t="s">
        <v>24</v>
      </c>
      <c r="F376" s="2" t="s">
        <v>687</v>
      </c>
      <c r="G376" s="2" t="s">
        <v>1820</v>
      </c>
      <c r="H376" s="2" t="s">
        <v>1554</v>
      </c>
      <c r="I376" s="2" t="s">
        <v>497</v>
      </c>
      <c r="J376" s="2" t="s">
        <v>1698</v>
      </c>
      <c r="K376" s="2" t="s">
        <v>1821</v>
      </c>
      <c r="L376" s="2" t="s">
        <v>1700</v>
      </c>
    </row>
    <row r="377" customFormat="false" ht="15" hidden="false" customHeight="false" outlineLevel="0" collapsed="false">
      <c r="A377" s="2" t="s">
        <v>1822</v>
      </c>
      <c r="B377" s="9" t="s">
        <v>1823</v>
      </c>
      <c r="C377" s="2" t="s">
        <v>1824</v>
      </c>
      <c r="D377" s="15" t="n">
        <v>0.5</v>
      </c>
      <c r="E377" s="2" t="s">
        <v>24</v>
      </c>
      <c r="F377" s="2" t="s">
        <v>687</v>
      </c>
      <c r="G377" s="2" t="s">
        <v>1825</v>
      </c>
      <c r="H377" s="2" t="s">
        <v>1554</v>
      </c>
      <c r="I377" s="2" t="s">
        <v>497</v>
      </c>
      <c r="J377" s="2" t="s">
        <v>1698</v>
      </c>
      <c r="K377" s="2" t="s">
        <v>1821</v>
      </c>
      <c r="L377" s="2" t="s">
        <v>1700</v>
      </c>
    </row>
    <row r="378" customFormat="false" ht="15" hidden="false" customHeight="false" outlineLevel="0" collapsed="false">
      <c r="A378" s="2" t="s">
        <v>1826</v>
      </c>
      <c r="B378" s="9" t="s">
        <v>1827</v>
      </c>
      <c r="C378" s="2" t="s">
        <v>1828</v>
      </c>
      <c r="D378" s="53" t="n">
        <f aca="false">01_Data!$D$167</f>
        <v>0.33</v>
      </c>
      <c r="E378" s="2" t="s">
        <v>24</v>
      </c>
      <c r="F378" s="2" t="s">
        <v>1028</v>
      </c>
      <c r="G378" s="2" t="s">
        <v>1829</v>
      </c>
      <c r="H378" s="2" t="s">
        <v>338</v>
      </c>
      <c r="I378" s="2" t="s">
        <v>426</v>
      </c>
      <c r="J378" s="2" t="s">
        <v>1698</v>
      </c>
      <c r="K378" s="2" t="s">
        <v>1030</v>
      </c>
      <c r="L378" s="2" t="s">
        <v>1700</v>
      </c>
    </row>
    <row r="379" customFormat="false" ht="15" hidden="false" customHeight="false" outlineLevel="0" collapsed="false">
      <c r="A379" s="2" t="s">
        <v>1830</v>
      </c>
      <c r="B379" s="9" t="s">
        <v>1831</v>
      </c>
      <c r="C379" s="2" t="s">
        <v>1832</v>
      </c>
      <c r="D379" s="43" t="n">
        <v>0.4</v>
      </c>
      <c r="E379" s="2" t="s">
        <v>1695</v>
      </c>
      <c r="F379" s="2" t="s">
        <v>1696</v>
      </c>
      <c r="G379" s="2" t="s">
        <v>1833</v>
      </c>
      <c r="H379" s="2" t="s">
        <v>496</v>
      </c>
      <c r="I379" s="2" t="s">
        <v>497</v>
      </c>
      <c r="J379" s="2" t="s">
        <v>1698</v>
      </c>
      <c r="K379" s="2" t="s">
        <v>1834</v>
      </c>
      <c r="L379" s="2" t="s">
        <v>1700</v>
      </c>
    </row>
    <row r="380" customFormat="false" ht="15" hidden="false" customHeight="false" outlineLevel="0" collapsed="false">
      <c r="A380" s="2" t="s">
        <v>1835</v>
      </c>
      <c r="B380" s="9" t="s">
        <v>1836</v>
      </c>
      <c r="C380" s="2" t="s">
        <v>1832</v>
      </c>
      <c r="D380" s="43" t="n">
        <v>0.3</v>
      </c>
      <c r="E380" s="2" t="s">
        <v>1695</v>
      </c>
      <c r="F380" s="2" t="s">
        <v>1696</v>
      </c>
      <c r="G380" s="2" t="s">
        <v>1833</v>
      </c>
      <c r="H380" s="2" t="s">
        <v>496</v>
      </c>
      <c r="I380" s="2" t="s">
        <v>497</v>
      </c>
      <c r="J380" s="2" t="s">
        <v>1698</v>
      </c>
      <c r="K380" s="2" t="s">
        <v>1834</v>
      </c>
      <c r="L380" s="2" t="s">
        <v>1700</v>
      </c>
    </row>
    <row r="381" customFormat="false" ht="15" hidden="false" customHeight="false" outlineLevel="0" collapsed="false">
      <c r="A381" s="2" t="s">
        <v>1837</v>
      </c>
      <c r="B381" s="9" t="s">
        <v>1838</v>
      </c>
      <c r="C381" s="2" t="s">
        <v>1832</v>
      </c>
      <c r="D381" s="43" t="n">
        <v>0.3</v>
      </c>
      <c r="E381" s="2" t="s">
        <v>1695</v>
      </c>
      <c r="F381" s="2" t="s">
        <v>1696</v>
      </c>
      <c r="G381" s="2" t="s">
        <v>1833</v>
      </c>
      <c r="H381" s="2" t="s">
        <v>496</v>
      </c>
      <c r="I381" s="2" t="s">
        <v>497</v>
      </c>
      <c r="J381" s="2" t="s">
        <v>1698</v>
      </c>
      <c r="K381" s="2" t="s">
        <v>1834</v>
      </c>
      <c r="L381" s="2" t="s">
        <v>1700</v>
      </c>
    </row>
    <row r="382" customFormat="false" ht="15" hidden="false" customHeight="false" outlineLevel="0" collapsed="false">
      <c r="A382" s="2" t="s">
        <v>1839</v>
      </c>
      <c r="B382" s="9" t="s">
        <v>1840</v>
      </c>
      <c r="C382" s="2" t="s">
        <v>1841</v>
      </c>
      <c r="D382" s="52" t="n">
        <v>0.5</v>
      </c>
      <c r="E382" s="2" t="s">
        <v>1724</v>
      </c>
      <c r="F382" s="2" t="s">
        <v>1696</v>
      </c>
      <c r="G382" s="2" t="s">
        <v>1842</v>
      </c>
      <c r="H382" s="2" t="s">
        <v>496</v>
      </c>
      <c r="I382" s="2" t="s">
        <v>497</v>
      </c>
      <c r="J382" s="2" t="s">
        <v>1698</v>
      </c>
      <c r="K382" s="2" t="s">
        <v>1843</v>
      </c>
      <c r="L382" s="2" t="s">
        <v>1700</v>
      </c>
    </row>
    <row r="383" customFormat="false" ht="15" hidden="false" customHeight="false" outlineLevel="0" collapsed="false">
      <c r="A383" s="24" t="s">
        <v>1844</v>
      </c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</row>
    <row r="384" customFormat="false" ht="15" hidden="false" customHeight="false" outlineLevel="0" collapsed="false">
      <c r="A384" s="2" t="s">
        <v>1845</v>
      </c>
      <c r="B384" s="9" t="s">
        <v>1846</v>
      </c>
      <c r="C384" s="2" t="s">
        <v>1847</v>
      </c>
      <c r="D384" s="43" t="n">
        <v>0.7</v>
      </c>
      <c r="E384" s="2" t="s">
        <v>24</v>
      </c>
      <c r="F384" s="2" t="s">
        <v>1848</v>
      </c>
      <c r="G384" s="2" t="s">
        <v>1849</v>
      </c>
      <c r="H384" s="2" t="s">
        <v>338</v>
      </c>
      <c r="I384" s="2" t="s">
        <v>426</v>
      </c>
      <c r="J384" s="2" t="s">
        <v>498</v>
      </c>
      <c r="K384" s="2" t="s">
        <v>1850</v>
      </c>
      <c r="L384" s="2" t="s">
        <v>1851</v>
      </c>
    </row>
    <row r="385" customFormat="false" ht="15" hidden="false" customHeight="false" outlineLevel="0" collapsed="false">
      <c r="A385" s="2" t="s">
        <v>1852</v>
      </c>
      <c r="B385" s="9" t="s">
        <v>1853</v>
      </c>
      <c r="C385" s="2" t="s">
        <v>1854</v>
      </c>
      <c r="D385" s="43" t="n">
        <v>0.8</v>
      </c>
      <c r="E385" s="2" t="s">
        <v>24</v>
      </c>
      <c r="F385" s="2" t="s">
        <v>1848</v>
      </c>
      <c r="G385" s="2" t="s">
        <v>1855</v>
      </c>
      <c r="H385" s="2" t="s">
        <v>338</v>
      </c>
      <c r="I385" s="2" t="s">
        <v>426</v>
      </c>
      <c r="J385" s="2" t="s">
        <v>498</v>
      </c>
      <c r="K385" s="2" t="s">
        <v>1850</v>
      </c>
      <c r="L385" s="2" t="s">
        <v>1856</v>
      </c>
    </row>
    <row r="386" customFormat="false" ht="15" hidden="false" customHeight="false" outlineLevel="0" collapsed="false">
      <c r="A386" s="2" t="s">
        <v>1857</v>
      </c>
      <c r="B386" s="9" t="s">
        <v>1858</v>
      </c>
      <c r="C386" s="2" t="s">
        <v>1859</v>
      </c>
      <c r="D386" s="43" t="n">
        <v>0.099</v>
      </c>
      <c r="E386" s="2" t="s">
        <v>24</v>
      </c>
      <c r="F386" s="2" t="s">
        <v>1860</v>
      </c>
      <c r="G386" s="2" t="s">
        <v>1861</v>
      </c>
      <c r="H386" s="2" t="s">
        <v>322</v>
      </c>
      <c r="I386" s="2" t="s">
        <v>434</v>
      </c>
      <c r="J386" s="2" t="s">
        <v>498</v>
      </c>
      <c r="K386" s="2" t="s">
        <v>1862</v>
      </c>
      <c r="L386" s="2" t="s">
        <v>1045</v>
      </c>
    </row>
    <row r="387" customFormat="false" ht="15" hidden="false" customHeight="false" outlineLevel="0" collapsed="false">
      <c r="A387" s="2" t="s">
        <v>1863</v>
      </c>
      <c r="B387" s="9" t="s">
        <v>1864</v>
      </c>
      <c r="C387" s="2" t="s">
        <v>1865</v>
      </c>
      <c r="D387" s="43" t="n">
        <v>0.191</v>
      </c>
      <c r="E387" s="2" t="s">
        <v>24</v>
      </c>
      <c r="F387" s="2" t="s">
        <v>1866</v>
      </c>
      <c r="G387" s="2" t="s">
        <v>1861</v>
      </c>
      <c r="H387" s="2" t="s">
        <v>322</v>
      </c>
      <c r="I387" s="2" t="s">
        <v>434</v>
      </c>
      <c r="J387" s="2" t="s">
        <v>498</v>
      </c>
      <c r="K387" s="2" t="s">
        <v>1862</v>
      </c>
      <c r="L387" s="2" t="s">
        <v>1045</v>
      </c>
    </row>
    <row r="388" customFormat="false" ht="15" hidden="false" customHeight="false" outlineLevel="0" collapsed="false">
      <c r="A388" s="2" t="s">
        <v>1867</v>
      </c>
      <c r="B388" s="9" t="s">
        <v>1868</v>
      </c>
      <c r="C388" s="2" t="s">
        <v>1869</v>
      </c>
      <c r="D388" s="43" t="n">
        <v>0.254</v>
      </c>
      <c r="E388" s="2" t="s">
        <v>24</v>
      </c>
      <c r="F388" s="2" t="s">
        <v>1870</v>
      </c>
      <c r="G388" s="2" t="s">
        <v>1861</v>
      </c>
      <c r="H388" s="2" t="s">
        <v>322</v>
      </c>
      <c r="I388" s="2" t="s">
        <v>434</v>
      </c>
      <c r="J388" s="2" t="s">
        <v>498</v>
      </c>
      <c r="K388" s="2" t="s">
        <v>1862</v>
      </c>
      <c r="L388" s="2" t="s">
        <v>1045</v>
      </c>
    </row>
    <row r="389" customFormat="false" ht="15" hidden="false" customHeight="false" outlineLevel="0" collapsed="false">
      <c r="A389" s="2" t="s">
        <v>1871</v>
      </c>
      <c r="B389" s="9" t="s">
        <v>1872</v>
      </c>
      <c r="C389" s="2" t="s">
        <v>1873</v>
      </c>
      <c r="D389" s="43" t="n">
        <v>0.248</v>
      </c>
      <c r="E389" s="2" t="s">
        <v>24</v>
      </c>
      <c r="F389" s="2" t="s">
        <v>1874</v>
      </c>
      <c r="G389" s="2" t="s">
        <v>1861</v>
      </c>
      <c r="H389" s="2" t="s">
        <v>322</v>
      </c>
      <c r="I389" s="2" t="s">
        <v>434</v>
      </c>
      <c r="J389" s="2" t="s">
        <v>498</v>
      </c>
      <c r="K389" s="2" t="s">
        <v>1862</v>
      </c>
      <c r="L389" s="2" t="s">
        <v>1045</v>
      </c>
    </row>
    <row r="390" customFormat="false" ht="15" hidden="false" customHeight="false" outlineLevel="0" collapsed="false">
      <c r="A390" s="2" t="s">
        <v>1875</v>
      </c>
      <c r="B390" s="9" t="s">
        <v>1876</v>
      </c>
      <c r="C390" s="2" t="s">
        <v>1877</v>
      </c>
      <c r="D390" s="43" t="n">
        <v>0.284</v>
      </c>
      <c r="E390" s="2" t="s">
        <v>24</v>
      </c>
      <c r="F390" s="2" t="s">
        <v>1878</v>
      </c>
      <c r="G390" s="2" t="s">
        <v>1861</v>
      </c>
      <c r="H390" s="2" t="s">
        <v>322</v>
      </c>
      <c r="I390" s="2" t="s">
        <v>434</v>
      </c>
      <c r="J390" s="2" t="s">
        <v>498</v>
      </c>
      <c r="K390" s="2" t="s">
        <v>1862</v>
      </c>
      <c r="L390" s="2" t="s">
        <v>1045</v>
      </c>
    </row>
    <row r="391" customFormat="false" ht="15" hidden="false" customHeight="false" outlineLevel="0" collapsed="false">
      <c r="A391" s="2" t="s">
        <v>1879</v>
      </c>
      <c r="B391" s="9" t="s">
        <v>1880</v>
      </c>
      <c r="C391" s="2" t="s">
        <v>1881</v>
      </c>
      <c r="D391" s="43" t="n">
        <v>0.263</v>
      </c>
      <c r="E391" s="2" t="s">
        <v>24</v>
      </c>
      <c r="F391" s="2" t="s">
        <v>1882</v>
      </c>
      <c r="G391" s="2" t="s">
        <v>1861</v>
      </c>
      <c r="H391" s="2" t="s">
        <v>322</v>
      </c>
      <c r="I391" s="2" t="s">
        <v>434</v>
      </c>
      <c r="J391" s="2" t="s">
        <v>498</v>
      </c>
      <c r="K391" s="2" t="s">
        <v>1862</v>
      </c>
      <c r="L391" s="2" t="s">
        <v>1045</v>
      </c>
    </row>
    <row r="392" customFormat="false" ht="15" hidden="false" customHeight="false" outlineLevel="0" collapsed="false">
      <c r="A392" s="2" t="s">
        <v>1883</v>
      </c>
      <c r="B392" s="9" t="s">
        <v>1884</v>
      </c>
      <c r="C392" s="2" t="s">
        <v>1885</v>
      </c>
      <c r="D392" s="43" t="n">
        <v>0.298</v>
      </c>
      <c r="E392" s="2" t="s">
        <v>24</v>
      </c>
      <c r="F392" s="2" t="s">
        <v>1886</v>
      </c>
      <c r="G392" s="2" t="s">
        <v>1861</v>
      </c>
      <c r="H392" s="2" t="s">
        <v>322</v>
      </c>
      <c r="I392" s="2" t="s">
        <v>434</v>
      </c>
      <c r="J392" s="2" t="s">
        <v>498</v>
      </c>
      <c r="K392" s="2" t="s">
        <v>1862</v>
      </c>
      <c r="L392" s="2" t="s">
        <v>1045</v>
      </c>
    </row>
    <row r="393" customFormat="false" ht="15" hidden="false" customHeight="false" outlineLevel="0" collapsed="false">
      <c r="A393" s="2" t="s">
        <v>1887</v>
      </c>
      <c r="B393" s="9" t="s">
        <v>1888</v>
      </c>
      <c r="C393" s="2" t="s">
        <v>1889</v>
      </c>
      <c r="D393" s="43" t="n">
        <v>0.298</v>
      </c>
      <c r="E393" s="2" t="s">
        <v>24</v>
      </c>
      <c r="F393" s="2" t="s">
        <v>1890</v>
      </c>
      <c r="G393" s="2" t="s">
        <v>1861</v>
      </c>
      <c r="H393" s="2" t="s">
        <v>322</v>
      </c>
      <c r="I393" s="2" t="s">
        <v>434</v>
      </c>
      <c r="J393" s="2" t="s">
        <v>498</v>
      </c>
      <c r="K393" s="2" t="s">
        <v>1862</v>
      </c>
      <c r="L393" s="2" t="s">
        <v>1045</v>
      </c>
    </row>
    <row r="394" customFormat="false" ht="15" hidden="false" customHeight="false" outlineLevel="0" collapsed="false">
      <c r="A394" s="2" t="s">
        <v>1891</v>
      </c>
      <c r="B394" s="9" t="s">
        <v>1892</v>
      </c>
      <c r="C394" s="2" t="s">
        <v>1893</v>
      </c>
      <c r="D394" s="43" t="n">
        <v>0.285</v>
      </c>
      <c r="E394" s="2" t="s">
        <v>24</v>
      </c>
      <c r="F394" s="2" t="s">
        <v>1894</v>
      </c>
      <c r="G394" s="2" t="s">
        <v>1861</v>
      </c>
      <c r="H394" s="2" t="s">
        <v>322</v>
      </c>
      <c r="I394" s="2" t="s">
        <v>434</v>
      </c>
      <c r="J394" s="2" t="s">
        <v>498</v>
      </c>
      <c r="K394" s="2" t="s">
        <v>1862</v>
      </c>
      <c r="L394" s="2" t="s">
        <v>1045</v>
      </c>
    </row>
    <row r="395" customFormat="false" ht="15" hidden="false" customHeight="false" outlineLevel="0" collapsed="false">
      <c r="A395" s="2" t="s">
        <v>1895</v>
      </c>
      <c r="B395" s="9" t="s">
        <v>1896</v>
      </c>
      <c r="C395" s="2" t="s">
        <v>1897</v>
      </c>
      <c r="D395" s="43" t="n">
        <v>0.271</v>
      </c>
      <c r="E395" s="2" t="s">
        <v>24</v>
      </c>
      <c r="F395" s="2" t="s">
        <v>1898</v>
      </c>
      <c r="G395" s="2" t="s">
        <v>1861</v>
      </c>
      <c r="H395" s="2" t="s">
        <v>322</v>
      </c>
      <c r="I395" s="2" t="s">
        <v>434</v>
      </c>
      <c r="J395" s="2" t="s">
        <v>498</v>
      </c>
      <c r="K395" s="2" t="s">
        <v>1862</v>
      </c>
      <c r="L395" s="2" t="s">
        <v>1045</v>
      </c>
    </row>
    <row r="396" customFormat="false" ht="15" hidden="false" customHeight="false" outlineLevel="0" collapsed="false">
      <c r="A396" s="2" t="s">
        <v>1899</v>
      </c>
      <c r="B396" s="9" t="s">
        <v>1900</v>
      </c>
      <c r="C396" s="2" t="s">
        <v>1901</v>
      </c>
      <c r="D396" s="43" t="n">
        <v>0.37</v>
      </c>
      <c r="E396" s="2" t="s">
        <v>24</v>
      </c>
      <c r="F396" s="2" t="s">
        <v>580</v>
      </c>
      <c r="G396" s="2" t="s">
        <v>1861</v>
      </c>
      <c r="H396" s="2" t="s">
        <v>322</v>
      </c>
      <c r="I396" s="2" t="s">
        <v>434</v>
      </c>
      <c r="J396" s="2" t="s">
        <v>498</v>
      </c>
      <c r="K396" s="2" t="s">
        <v>1862</v>
      </c>
      <c r="L396" s="2" t="s">
        <v>1045</v>
      </c>
    </row>
    <row r="397" customFormat="false" ht="15" hidden="false" customHeight="false" outlineLevel="0" collapsed="false">
      <c r="A397" s="2" t="s">
        <v>1902</v>
      </c>
      <c r="B397" s="9" t="s">
        <v>1903</v>
      </c>
      <c r="C397" s="2" t="s">
        <v>1904</v>
      </c>
      <c r="D397" s="43" t="n">
        <v>0.354</v>
      </c>
      <c r="E397" s="2" t="s">
        <v>24</v>
      </c>
      <c r="F397" s="2" t="s">
        <v>596</v>
      </c>
      <c r="G397" s="2" t="s">
        <v>1861</v>
      </c>
      <c r="H397" s="2" t="s">
        <v>322</v>
      </c>
      <c r="I397" s="2" t="s">
        <v>434</v>
      </c>
      <c r="J397" s="2" t="s">
        <v>498</v>
      </c>
      <c r="K397" s="2" t="s">
        <v>1862</v>
      </c>
      <c r="L397" s="2" t="s">
        <v>1045</v>
      </c>
    </row>
    <row r="398" customFormat="false" ht="15" hidden="false" customHeight="false" outlineLevel="0" collapsed="false">
      <c r="A398" s="2" t="s">
        <v>1905</v>
      </c>
      <c r="B398" s="9" t="s">
        <v>1906</v>
      </c>
      <c r="C398" s="2" t="s">
        <v>1907</v>
      </c>
      <c r="D398" s="54" t="n">
        <v>1.3</v>
      </c>
      <c r="E398" s="2" t="s">
        <v>524</v>
      </c>
      <c r="F398" s="2" t="s">
        <v>1299</v>
      </c>
      <c r="G398" s="2" t="s">
        <v>1908</v>
      </c>
      <c r="H398" s="2" t="s">
        <v>689</v>
      </c>
      <c r="I398" s="2" t="s">
        <v>1909</v>
      </c>
      <c r="J398" s="2" t="s">
        <v>339</v>
      </c>
      <c r="K398" s="2" t="s">
        <v>1910</v>
      </c>
      <c r="L398" s="2" t="s">
        <v>1045</v>
      </c>
    </row>
    <row r="399" customFormat="false" ht="15" hidden="false" customHeight="false" outlineLevel="0" collapsed="false">
      <c r="A399" s="2" t="s">
        <v>1911</v>
      </c>
      <c r="B399" s="9" t="s">
        <v>1912</v>
      </c>
      <c r="C399" s="2" t="s">
        <v>1913</v>
      </c>
      <c r="D399" s="40" t="n">
        <v>9</v>
      </c>
      <c r="E399" s="2" t="s">
        <v>1233</v>
      </c>
      <c r="F399" s="2" t="s">
        <v>1299</v>
      </c>
      <c r="G399" s="2" t="s">
        <v>1914</v>
      </c>
      <c r="H399" s="2" t="s">
        <v>689</v>
      </c>
      <c r="I399" s="2" t="s">
        <v>1909</v>
      </c>
      <c r="J399" s="2" t="s">
        <v>339</v>
      </c>
      <c r="K399" s="2" t="s">
        <v>1910</v>
      </c>
      <c r="L399" s="2" t="s">
        <v>1045</v>
      </c>
    </row>
    <row r="400" customFormat="false" ht="15" hidden="false" customHeight="false" outlineLevel="0" collapsed="false">
      <c r="A400" s="2" t="s">
        <v>1915</v>
      </c>
      <c r="B400" s="9" t="s">
        <v>1916</v>
      </c>
      <c r="C400" s="2" t="s">
        <v>1917</v>
      </c>
      <c r="D400" s="44" t="s">
        <v>1918</v>
      </c>
      <c r="E400" s="2" t="s">
        <v>720</v>
      </c>
      <c r="F400" s="2" t="s">
        <v>1299</v>
      </c>
      <c r="G400" s="2" t="s">
        <v>686</v>
      </c>
      <c r="H400" s="2" t="s">
        <v>689</v>
      </c>
      <c r="I400" s="2" t="s">
        <v>1909</v>
      </c>
      <c r="J400" s="2" t="s">
        <v>339</v>
      </c>
      <c r="K400" s="2" t="s">
        <v>1910</v>
      </c>
      <c r="L400" s="2" t="s">
        <v>1045</v>
      </c>
    </row>
    <row r="401" customFormat="false" ht="15" hidden="false" customHeight="false" outlineLevel="0" collapsed="false">
      <c r="A401" s="2" t="s">
        <v>1919</v>
      </c>
      <c r="B401" s="9" t="s">
        <v>1920</v>
      </c>
      <c r="C401" s="2" t="s">
        <v>1921</v>
      </c>
      <c r="D401" s="33" t="s">
        <v>1922</v>
      </c>
      <c r="E401" s="2" t="s">
        <v>686</v>
      </c>
      <c r="F401" s="2" t="s">
        <v>687</v>
      </c>
      <c r="G401" s="2" t="s">
        <v>1923</v>
      </c>
      <c r="H401" s="2" t="s">
        <v>322</v>
      </c>
      <c r="I401" s="2" t="s">
        <v>434</v>
      </c>
      <c r="J401" s="2" t="s">
        <v>483</v>
      </c>
      <c r="K401" s="2" t="s">
        <v>1924</v>
      </c>
      <c r="L401" s="2" t="s">
        <v>1925</v>
      </c>
    </row>
    <row r="402" customFormat="false" ht="15" hidden="false" customHeight="false" outlineLevel="0" collapsed="false">
      <c r="A402" s="2" t="s">
        <v>1926</v>
      </c>
      <c r="B402" s="9" t="s">
        <v>1927</v>
      </c>
      <c r="C402" s="2" t="s">
        <v>1928</v>
      </c>
      <c r="D402" s="33" t="s">
        <v>1929</v>
      </c>
      <c r="E402" s="2" t="s">
        <v>128</v>
      </c>
      <c r="F402" s="2" t="s">
        <v>1929</v>
      </c>
      <c r="G402" s="2" t="s">
        <v>784</v>
      </c>
      <c r="H402" s="2" t="s">
        <v>322</v>
      </c>
      <c r="I402" s="2" t="s">
        <v>434</v>
      </c>
      <c r="J402" s="2" t="s">
        <v>339</v>
      </c>
      <c r="K402" s="2" t="s">
        <v>1930</v>
      </c>
      <c r="L402" s="2" t="s">
        <v>1925</v>
      </c>
    </row>
    <row r="403" customFormat="false" ht="15" hidden="false" customHeight="false" outlineLevel="0" collapsed="false">
      <c r="A403" s="2" t="s">
        <v>1931</v>
      </c>
      <c r="B403" s="9" t="s">
        <v>1932</v>
      </c>
      <c r="C403" s="2" t="s">
        <v>1933</v>
      </c>
      <c r="D403" s="33" t="s">
        <v>1934</v>
      </c>
      <c r="E403" s="2" t="s">
        <v>128</v>
      </c>
      <c r="F403" s="2" t="s">
        <v>1935</v>
      </c>
      <c r="G403" s="2" t="s">
        <v>1936</v>
      </c>
      <c r="H403" s="2" t="s">
        <v>322</v>
      </c>
      <c r="I403" s="2" t="s">
        <v>323</v>
      </c>
      <c r="J403" s="2" t="s">
        <v>483</v>
      </c>
      <c r="K403" s="2" t="s">
        <v>1937</v>
      </c>
      <c r="L403" s="2" t="s">
        <v>1925</v>
      </c>
    </row>
    <row r="404" customFormat="false" ht="15" hidden="false" customHeight="false" outlineLevel="0" collapsed="false">
      <c r="A404" s="2" t="s">
        <v>1938</v>
      </c>
      <c r="B404" s="9" t="s">
        <v>1939</v>
      </c>
      <c r="C404" s="2" t="s">
        <v>1940</v>
      </c>
      <c r="D404" s="33" t="s">
        <v>1941</v>
      </c>
      <c r="E404" s="2" t="s">
        <v>128</v>
      </c>
      <c r="F404" s="2" t="s">
        <v>1942</v>
      </c>
      <c r="G404" s="2" t="s">
        <v>1353</v>
      </c>
      <c r="H404" s="2" t="s">
        <v>338</v>
      </c>
      <c r="I404" s="2" t="s">
        <v>426</v>
      </c>
      <c r="J404" s="2" t="s">
        <v>483</v>
      </c>
      <c r="K404" s="2" t="s">
        <v>1943</v>
      </c>
      <c r="L404" s="2" t="s">
        <v>1925</v>
      </c>
    </row>
    <row r="405" customFormat="false" ht="15" hidden="false" customHeight="false" outlineLevel="0" collapsed="false">
      <c r="A405" s="2" t="s">
        <v>1944</v>
      </c>
      <c r="B405" s="9" t="s">
        <v>1945</v>
      </c>
      <c r="C405" s="2" t="s">
        <v>1946</v>
      </c>
      <c r="D405" s="33" t="s">
        <v>1947</v>
      </c>
      <c r="E405" s="2" t="s">
        <v>128</v>
      </c>
      <c r="F405" s="2" t="s">
        <v>1948</v>
      </c>
      <c r="G405" s="2" t="s">
        <v>1936</v>
      </c>
      <c r="H405" s="2" t="s">
        <v>322</v>
      </c>
      <c r="I405" s="2" t="s">
        <v>323</v>
      </c>
      <c r="J405" s="2" t="s">
        <v>339</v>
      </c>
      <c r="K405" s="2" t="s">
        <v>1949</v>
      </c>
      <c r="L405" s="2" t="s">
        <v>1925</v>
      </c>
    </row>
    <row r="406" customFormat="false" ht="15" hidden="false" customHeight="false" outlineLevel="0" collapsed="false">
      <c r="A406" s="2" t="s">
        <v>1950</v>
      </c>
      <c r="B406" s="9" t="s">
        <v>1951</v>
      </c>
      <c r="C406" s="2" t="s">
        <v>1952</v>
      </c>
      <c r="D406" s="33" t="s">
        <v>1953</v>
      </c>
      <c r="E406" s="2" t="s">
        <v>128</v>
      </c>
      <c r="F406" s="2" t="s">
        <v>962</v>
      </c>
      <c r="G406" s="2" t="s">
        <v>1954</v>
      </c>
      <c r="H406" s="2" t="s">
        <v>322</v>
      </c>
      <c r="I406" s="2" t="s">
        <v>323</v>
      </c>
      <c r="J406" s="2" t="s">
        <v>483</v>
      </c>
      <c r="K406" s="2" t="s">
        <v>1955</v>
      </c>
      <c r="L406" s="2" t="s">
        <v>1925</v>
      </c>
    </row>
    <row r="407" customFormat="false" ht="15" hidden="false" customHeight="false" outlineLevel="0" collapsed="false">
      <c r="A407" s="2" t="s">
        <v>1956</v>
      </c>
      <c r="B407" s="9" t="s">
        <v>1957</v>
      </c>
      <c r="C407" s="2" t="s">
        <v>1958</v>
      </c>
      <c r="D407" s="33" t="s">
        <v>1959</v>
      </c>
      <c r="E407" s="2" t="s">
        <v>128</v>
      </c>
      <c r="F407" s="2" t="s">
        <v>1948</v>
      </c>
      <c r="G407" s="2" t="s">
        <v>1960</v>
      </c>
      <c r="H407" s="2" t="s">
        <v>338</v>
      </c>
      <c r="I407" s="2" t="s">
        <v>426</v>
      </c>
      <c r="J407" s="2" t="s">
        <v>483</v>
      </c>
      <c r="K407" s="2" t="s">
        <v>1949</v>
      </c>
      <c r="L407" s="2" t="s">
        <v>1583</v>
      </c>
    </row>
    <row r="408" customFormat="false" ht="15" hidden="false" customHeight="false" outlineLevel="0" collapsed="false">
      <c r="A408" s="24" t="s">
        <v>1961</v>
      </c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</row>
    <row r="409" customFormat="false" ht="15" hidden="false" customHeight="false" outlineLevel="0" collapsed="false">
      <c r="A409" s="2" t="s">
        <v>1962</v>
      </c>
      <c r="B409" s="9" t="s">
        <v>1963</v>
      </c>
      <c r="C409" s="2" t="s">
        <v>1964</v>
      </c>
      <c r="D409" s="37" t="n">
        <v>7000</v>
      </c>
      <c r="E409" s="2" t="s">
        <v>18</v>
      </c>
      <c r="F409" s="2" t="s">
        <v>1492</v>
      </c>
      <c r="G409" s="2" t="s">
        <v>1965</v>
      </c>
      <c r="H409" s="2" t="s">
        <v>322</v>
      </c>
      <c r="I409" s="2" t="s">
        <v>323</v>
      </c>
      <c r="J409" s="2" t="s">
        <v>339</v>
      </c>
      <c r="K409" s="2" t="s">
        <v>1966</v>
      </c>
      <c r="L409" s="2" t="s">
        <v>1967</v>
      </c>
    </row>
    <row r="410" customFormat="false" ht="15" hidden="false" customHeight="false" outlineLevel="0" collapsed="false">
      <c r="A410" s="2" t="s">
        <v>1968</v>
      </c>
      <c r="B410" s="9" t="s">
        <v>1969</v>
      </c>
      <c r="C410" s="2" t="s">
        <v>1970</v>
      </c>
      <c r="D410" s="37" t="n">
        <v>8000</v>
      </c>
      <c r="E410" s="2" t="s">
        <v>18</v>
      </c>
      <c r="F410" s="2" t="s">
        <v>1492</v>
      </c>
      <c r="G410" s="2" t="s">
        <v>1971</v>
      </c>
      <c r="H410" s="2" t="s">
        <v>338</v>
      </c>
      <c r="I410" s="2" t="s">
        <v>1367</v>
      </c>
      <c r="J410" s="2" t="s">
        <v>339</v>
      </c>
      <c r="K410" s="2" t="s">
        <v>1972</v>
      </c>
      <c r="L410" s="2" t="s">
        <v>1967</v>
      </c>
    </row>
    <row r="412" customFormat="false" ht="15" hidden="false" customHeight="false" outlineLevel="0" collapsed="false">
      <c r="A412" s="2" t="s">
        <v>1973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O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0"/>
    <col collapsed="false" customWidth="true" hidden="false" outlineLevel="0" max="3" min="3" style="1" width="40"/>
    <col collapsed="false" customWidth="true" hidden="false" outlineLevel="0" max="11" min="4" style="1" width="12"/>
    <col collapsed="false" customWidth="true" hidden="false" outlineLevel="0" max="13" min="12" style="1" width="14"/>
    <col collapsed="false" customWidth="true" hidden="false" outlineLevel="0" max="14" min="14" style="1" width="12"/>
    <col collapsed="false" customWidth="true" hidden="false" outlineLevel="0" max="15" min="15" style="1" width="14"/>
  </cols>
  <sheetData>
    <row r="1" customFormat="false" ht="15" hidden="false" customHeight="false" outlineLevel="0" collapsed="false">
      <c r="A1" s="2" t="s">
        <v>1974</v>
      </c>
    </row>
    <row r="3" customFormat="false" ht="15" hidden="false" customHeight="false" outlineLevel="0" collapsed="false">
      <c r="A3" s="8" t="s">
        <v>306</v>
      </c>
      <c r="B3" s="8" t="s">
        <v>6</v>
      </c>
      <c r="C3" s="8" t="s">
        <v>307</v>
      </c>
      <c r="D3" s="8" t="s">
        <v>1975</v>
      </c>
      <c r="E3" s="8" t="s">
        <v>308</v>
      </c>
      <c r="F3" s="8" t="s">
        <v>1976</v>
      </c>
      <c r="G3" s="8" t="s">
        <v>12</v>
      </c>
    </row>
    <row r="5" customFormat="false" ht="15" hidden="false" customHeight="false" outlineLevel="0" collapsed="false">
      <c r="A5" s="24" t="s">
        <v>1977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customFormat="false" ht="15" hidden="false" customHeight="false" outlineLevel="0" collapsed="false">
      <c r="A6" s="9" t="s">
        <v>533</v>
      </c>
      <c r="B6" s="2" t="s">
        <v>14</v>
      </c>
      <c r="C6" s="2" t="s">
        <v>1978</v>
      </c>
      <c r="D6" s="55" t="s">
        <v>535</v>
      </c>
      <c r="E6" s="31" t="n">
        <f aca="false">01_Data!$D$43</f>
        <v>9000</v>
      </c>
      <c r="F6" s="2" t="s">
        <v>1979</v>
      </c>
    </row>
    <row r="7" customFormat="false" ht="15" hidden="false" customHeight="false" outlineLevel="0" collapsed="false">
      <c r="A7" s="9" t="s">
        <v>1980</v>
      </c>
      <c r="B7" s="2" t="s">
        <v>14</v>
      </c>
      <c r="C7" s="2" t="s">
        <v>1981</v>
      </c>
      <c r="D7" s="55" t="s">
        <v>541</v>
      </c>
      <c r="E7" s="31" t="n">
        <f aca="false">01_Data!$D$44</f>
        <v>30000</v>
      </c>
      <c r="F7" s="2" t="s">
        <v>1979</v>
      </c>
    </row>
    <row r="8" customFormat="false" ht="15" hidden="false" customHeight="false" outlineLevel="0" collapsed="false">
      <c r="A8" s="9" t="s">
        <v>1982</v>
      </c>
      <c r="B8" s="2" t="s">
        <v>14</v>
      </c>
      <c r="C8" s="2" t="s">
        <v>1983</v>
      </c>
      <c r="D8" s="55" t="s">
        <v>545</v>
      </c>
      <c r="E8" s="31" t="n">
        <f aca="false">01_Data!$D$45</f>
        <v>47000</v>
      </c>
      <c r="F8" s="2" t="s">
        <v>1979</v>
      </c>
    </row>
    <row r="9" customFormat="false" ht="15" hidden="false" customHeight="false" outlineLevel="0" collapsed="false">
      <c r="A9" s="9" t="s">
        <v>1984</v>
      </c>
      <c r="B9" s="2" t="s">
        <v>14</v>
      </c>
      <c r="C9" s="2" t="s">
        <v>1985</v>
      </c>
      <c r="D9" s="55" t="s">
        <v>320</v>
      </c>
      <c r="E9" s="31" t="n">
        <f aca="false">LB_01</f>
        <v>65000</v>
      </c>
      <c r="F9" s="2" t="s">
        <v>1979</v>
      </c>
    </row>
    <row r="10" customFormat="false" ht="15" hidden="false" customHeight="false" outlineLevel="0" collapsed="false">
      <c r="A10" s="9" t="s">
        <v>1986</v>
      </c>
      <c r="E10" s="56" t="n">
        <f aca="false">E9/E6</f>
        <v>7.22222222222222</v>
      </c>
    </row>
    <row r="11" customFormat="false" ht="15" hidden="false" customHeight="false" outlineLevel="0" collapsed="false">
      <c r="A11" s="9" t="s">
        <v>1987</v>
      </c>
      <c r="B11" s="2" t="s">
        <v>14</v>
      </c>
      <c r="C11" s="2" t="s">
        <v>1988</v>
      </c>
      <c r="D11" s="55" t="s">
        <v>535</v>
      </c>
      <c r="E11" s="31" t="n">
        <f aca="false">01_Data!$D$145</f>
        <v>20000</v>
      </c>
      <c r="F11" s="2" t="s">
        <v>1989</v>
      </c>
    </row>
    <row r="12" customFormat="false" ht="15" hidden="false" customHeight="false" outlineLevel="0" collapsed="false">
      <c r="A12" s="9" t="s">
        <v>1990</v>
      </c>
      <c r="B12" s="2" t="s">
        <v>14</v>
      </c>
      <c r="C12" s="2" t="s">
        <v>1991</v>
      </c>
      <c r="D12" s="55" t="s">
        <v>665</v>
      </c>
      <c r="E12" s="31" t="n">
        <f aca="false">01_Data!$D$146*00_Assumptions!$D$90</f>
        <v>24000</v>
      </c>
      <c r="F12" s="2" t="s">
        <v>1989</v>
      </c>
    </row>
    <row r="13" customFormat="false" ht="15" hidden="false" customHeight="false" outlineLevel="0" collapsed="false">
      <c r="A13" s="9" t="s">
        <v>1992</v>
      </c>
      <c r="B13" s="2" t="s">
        <v>14</v>
      </c>
      <c r="C13" s="2" t="s">
        <v>1993</v>
      </c>
      <c r="D13" s="55" t="s">
        <v>330</v>
      </c>
      <c r="E13" s="31" t="n">
        <f aca="false">LB_02</f>
        <v>40000</v>
      </c>
      <c r="F13" s="2" t="s">
        <v>1994</v>
      </c>
    </row>
    <row r="14" customFormat="false" ht="15" hidden="false" customHeight="false" outlineLevel="0" collapsed="false">
      <c r="A14" s="9" t="s">
        <v>1995</v>
      </c>
      <c r="B14" s="2" t="s">
        <v>720</v>
      </c>
      <c r="C14" s="2" t="s">
        <v>1996</v>
      </c>
      <c r="D14" s="55" t="s">
        <v>962</v>
      </c>
      <c r="E14" s="57" t="str">
        <f aca="false">01_Data!$D$147</f>
        <v>+35% QTD; enterprise +50%</v>
      </c>
      <c r="F14" s="2" t="s">
        <v>720</v>
      </c>
    </row>
    <row r="15" customFormat="false" ht="15" hidden="false" customHeight="false" outlineLevel="0" collapsed="false">
      <c r="A15" s="9" t="s">
        <v>1997</v>
      </c>
      <c r="E15" s="56" t="n">
        <f aca="false">E13/E11</f>
        <v>2</v>
      </c>
    </row>
    <row r="17" customFormat="false" ht="15" hidden="false" customHeight="false" outlineLevel="0" collapsed="false">
      <c r="A17" s="9" t="s">
        <v>379</v>
      </c>
      <c r="B17" s="2" t="s">
        <v>18</v>
      </c>
      <c r="C17" s="2" t="s">
        <v>1998</v>
      </c>
      <c r="D17" s="55" t="s">
        <v>381</v>
      </c>
      <c r="E17" s="31" t="n">
        <f aca="false">01_Data!$D$14</f>
        <v>787</v>
      </c>
      <c r="F17" s="2" t="s">
        <v>1999</v>
      </c>
    </row>
    <row r="18" customFormat="false" ht="15" hidden="false" customHeight="false" outlineLevel="0" collapsed="false">
      <c r="A18" s="9" t="s">
        <v>374</v>
      </c>
      <c r="B18" s="2" t="s">
        <v>18</v>
      </c>
      <c r="C18" s="2" t="s">
        <v>2000</v>
      </c>
      <c r="D18" s="55" t="s">
        <v>376</v>
      </c>
      <c r="E18" s="31" t="n">
        <f aca="false">01_Data!$D$13</f>
        <v>4730</v>
      </c>
      <c r="F18" s="2" t="s">
        <v>1999</v>
      </c>
    </row>
    <row r="19" customFormat="false" ht="15" hidden="false" customHeight="false" outlineLevel="0" collapsed="false">
      <c r="A19" s="9" t="s">
        <v>2001</v>
      </c>
      <c r="B19" s="2" t="s">
        <v>18</v>
      </c>
      <c r="C19" s="2" t="s">
        <v>350</v>
      </c>
      <c r="D19" s="55" t="s">
        <v>351</v>
      </c>
      <c r="E19" s="31" t="n">
        <f aca="false">LB_05a</f>
        <v>11600</v>
      </c>
      <c r="F19" s="2" t="s">
        <v>1999</v>
      </c>
    </row>
    <row r="20" customFormat="false" ht="15" hidden="false" customHeight="false" outlineLevel="0" collapsed="false">
      <c r="A20" s="9" t="s">
        <v>2002</v>
      </c>
      <c r="E20" s="58" t="n">
        <f aca="false">E19/E18</f>
        <v>2.45243128964059</v>
      </c>
      <c r="G20" s="7" t="str">
        <f aca="false">IF(ABS((E20)-00_Assumptions!$D$151)&lt;=00_Assumptions!$E$151,"PASS","FAIL: "&amp;TEXT((E20)-00_Assumptions!$D$151,"#,##0.000"))</f>
        <v>PASS</v>
      </c>
    </row>
    <row r="21" customFormat="false" ht="15" hidden="false" customHeight="false" outlineLevel="0" collapsed="false">
      <c r="A21" s="9" t="s">
        <v>385</v>
      </c>
      <c r="B21" s="2" t="s">
        <v>18</v>
      </c>
      <c r="C21" s="2" t="s">
        <v>386</v>
      </c>
      <c r="D21" s="55" t="s">
        <v>376</v>
      </c>
      <c r="E21" s="31" t="n">
        <f aca="false">01_Data!$D$15</f>
        <v>5700</v>
      </c>
      <c r="F21" s="2" t="s">
        <v>2003</v>
      </c>
    </row>
    <row r="22" customFormat="false" ht="15" hidden="false" customHeight="false" outlineLevel="0" collapsed="false">
      <c r="A22" s="9" t="s">
        <v>2004</v>
      </c>
      <c r="B22" s="2" t="s">
        <v>18</v>
      </c>
      <c r="C22" s="2" t="s">
        <v>392</v>
      </c>
      <c r="D22" s="55" t="s">
        <v>351</v>
      </c>
      <c r="E22" s="31" t="n">
        <f aca="false">LB_06a</f>
        <v>6700</v>
      </c>
      <c r="F22" s="2" t="s">
        <v>2003</v>
      </c>
    </row>
    <row r="23" customFormat="false" ht="15" hidden="false" customHeight="false" outlineLevel="0" collapsed="false">
      <c r="A23" s="9" t="s">
        <v>2005</v>
      </c>
      <c r="E23" s="30" t="n">
        <f aca="false">E22/E21-1</f>
        <v>0.175438596491228</v>
      </c>
    </row>
    <row r="24" customFormat="false" ht="15" hidden="false" customHeight="false" outlineLevel="0" collapsed="false">
      <c r="A24" s="9" t="s">
        <v>578</v>
      </c>
      <c r="B24" s="2" t="s">
        <v>18</v>
      </c>
      <c r="C24" s="2" t="s">
        <v>579</v>
      </c>
      <c r="D24" s="55" t="s">
        <v>580</v>
      </c>
      <c r="E24" s="31" t="n">
        <f aca="false">01_Data!$D$54</f>
        <v>1000</v>
      </c>
      <c r="F24" s="2" t="s">
        <v>2006</v>
      </c>
    </row>
    <row r="25" customFormat="false" ht="15" hidden="false" customHeight="false" outlineLevel="0" collapsed="false">
      <c r="A25" s="9" t="s">
        <v>2007</v>
      </c>
      <c r="B25" s="2" t="s">
        <v>18</v>
      </c>
      <c r="C25" s="2" t="s">
        <v>2008</v>
      </c>
      <c r="D25" s="55" t="s">
        <v>596</v>
      </c>
      <c r="E25" s="31" t="n">
        <f aca="false">SW_A_FY25</f>
        <v>10000</v>
      </c>
      <c r="F25" s="31" t="n">
        <f aca="false">SW_A_FY25</f>
        <v>10000</v>
      </c>
      <c r="G25" s="2" t="s">
        <v>2009</v>
      </c>
    </row>
    <row r="26" customFormat="false" ht="15" hidden="false" customHeight="false" outlineLevel="0" collapsed="false">
      <c r="A26" s="9" t="s">
        <v>936</v>
      </c>
      <c r="B26" s="2" t="s">
        <v>18</v>
      </c>
      <c r="C26" s="2" t="s">
        <v>937</v>
      </c>
      <c r="D26" s="55" t="s">
        <v>596</v>
      </c>
      <c r="E26" s="31" t="n">
        <f aca="false">01_Data!$D$141</f>
        <v>13100</v>
      </c>
      <c r="F26" s="2" t="s">
        <v>2003</v>
      </c>
    </row>
    <row r="28" customFormat="false" ht="15" hidden="false" customHeight="false" outlineLevel="0" collapsed="false">
      <c r="A28" s="24" t="s">
        <v>2010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customFormat="false" ht="15" hidden="false" customHeight="false" outlineLevel="0" collapsed="false">
      <c r="A29" s="59" t="s">
        <v>2011</v>
      </c>
      <c r="C29" s="2" t="s">
        <v>2012</v>
      </c>
      <c r="D29" s="60" t="s">
        <v>2013</v>
      </c>
      <c r="E29" s="60" t="s">
        <v>2014</v>
      </c>
      <c r="F29" s="60" t="s">
        <v>2015</v>
      </c>
      <c r="G29" s="60" t="s">
        <v>1028</v>
      </c>
      <c r="H29" s="60" t="s">
        <v>998</v>
      </c>
      <c r="I29" s="60" t="s">
        <v>2016</v>
      </c>
    </row>
    <row r="30" customFormat="false" ht="15" hidden="false" customHeight="false" outlineLevel="0" collapsed="false">
      <c r="A30" s="9" t="s">
        <v>2017</v>
      </c>
      <c r="B30" s="2" t="s">
        <v>18</v>
      </c>
      <c r="D30" s="31" t="n">
        <f aca="false">01_Data!$D$48</f>
        <v>10</v>
      </c>
      <c r="E30" s="31" t="n">
        <f aca="false">01_Data!$D$49</f>
        <v>100</v>
      </c>
      <c r="F30" s="31" t="n">
        <f aca="false">01_Data!$D$50</f>
        <v>1000</v>
      </c>
      <c r="G30" s="31" t="n">
        <f aca="false">01_Data!$D$51</f>
        <v>10000</v>
      </c>
      <c r="H30" s="31" t="n">
        <f aca="false">01_Data!$D$52</f>
        <v>65000</v>
      </c>
      <c r="I30" s="31" t="n">
        <f aca="false">01_Data!$D$53</f>
        <v>71000</v>
      </c>
      <c r="J30" s="61" t="s">
        <v>2018</v>
      </c>
    </row>
    <row r="31" customFormat="false" ht="15" hidden="false" customHeight="false" outlineLevel="0" collapsed="false">
      <c r="A31" s="9" t="s">
        <v>2019</v>
      </c>
      <c r="B31" s="2" t="s">
        <v>18</v>
      </c>
      <c r="E31" s="31" t="n">
        <f aca="false">01_Data!$D$148</f>
        <v>2000</v>
      </c>
      <c r="F31" s="31" t="n">
        <f aca="false">01_Data!$D$149</f>
        <v>6000</v>
      </c>
      <c r="G31" s="31" t="n">
        <f aca="false">01_Data!$D$150</f>
        <v>20000</v>
      </c>
      <c r="H31" s="31" t="n">
        <f aca="false">01_Data!$D$151</f>
        <v>41300</v>
      </c>
      <c r="J31" s="2" t="s">
        <v>2020</v>
      </c>
    </row>
    <row r="33" customFormat="false" ht="15" hidden="false" customHeight="false" outlineLevel="0" collapsed="false">
      <c r="A33" s="24" t="s">
        <v>2021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customFormat="false" ht="22.35" hidden="false" customHeight="false" outlineLevel="0" collapsed="false">
      <c r="A34" s="8" t="s">
        <v>306</v>
      </c>
      <c r="B34" s="8" t="s">
        <v>6</v>
      </c>
      <c r="C34" s="8" t="s">
        <v>2022</v>
      </c>
      <c r="D34" s="8" t="s">
        <v>308</v>
      </c>
      <c r="E34" s="8" t="s">
        <v>2023</v>
      </c>
      <c r="F34" s="8" t="s">
        <v>12</v>
      </c>
    </row>
    <row r="35" customFormat="false" ht="15" hidden="false" customHeight="false" outlineLevel="0" collapsed="false">
      <c r="A35" s="9" t="s">
        <v>2024</v>
      </c>
      <c r="B35" s="2" t="s">
        <v>14</v>
      </c>
      <c r="C35" s="2" t="s">
        <v>2025</v>
      </c>
      <c r="D35" s="11" t="n">
        <f aca="false">LB_01</f>
        <v>65000</v>
      </c>
      <c r="E35" s="2" t="s">
        <v>1979</v>
      </c>
    </row>
    <row r="36" customFormat="false" ht="15" hidden="false" customHeight="false" outlineLevel="0" collapsed="false">
      <c r="A36" s="9" t="s">
        <v>2026</v>
      </c>
      <c r="B36" s="2" t="s">
        <v>14</v>
      </c>
      <c r="C36" s="2" t="s">
        <v>2025</v>
      </c>
      <c r="D36" s="23" t="n">
        <f aca="false">SW_HAIRCUT</f>
        <v>0.3975</v>
      </c>
      <c r="E36" s="62" t="n">
        <f aca="false">SW_HAIRCUT</f>
        <v>0.3975</v>
      </c>
    </row>
    <row r="37" customFormat="false" ht="15" hidden="false" customHeight="false" outlineLevel="0" collapsed="false">
      <c r="A37" s="9" t="s">
        <v>2027</v>
      </c>
      <c r="B37" s="2" t="s">
        <v>14</v>
      </c>
      <c r="C37" s="2" t="s">
        <v>2025</v>
      </c>
      <c r="D37" s="11" t="n">
        <f aca="false">LB_01*(1-SW_HAIRCUT)</f>
        <v>39162.5</v>
      </c>
      <c r="E37" s="62" t="n">
        <f aca="false">SW_HAIRCUT</f>
        <v>0.3975</v>
      </c>
    </row>
    <row r="38" customFormat="false" ht="15" hidden="false" customHeight="false" outlineLevel="0" collapsed="false">
      <c r="A38" s="9" t="s">
        <v>2028</v>
      </c>
      <c r="B38" s="2" t="s">
        <v>14</v>
      </c>
      <c r="C38" s="2" t="s">
        <v>2025</v>
      </c>
      <c r="D38" s="11" t="n">
        <f aca="false">LB_01*(1-01_Data!$D$36)</f>
        <v>39162.5</v>
      </c>
      <c r="E38" s="62" t="n">
        <f aca="false">01_Data!$D$36</f>
        <v>0.3975</v>
      </c>
      <c r="F38" s="7" t="str">
        <f aca="false">IF(ABS((D38)-00_Assumptions!$D$134)&lt;=00_Assumptions!$E$134,"PASS","FAIL: "&amp;TEXT((D38)-00_Assumptions!$D$134,"#,##0.000"))</f>
        <v>PASS</v>
      </c>
    </row>
    <row r="39" customFormat="false" ht="15" hidden="false" customHeight="false" outlineLevel="0" collapsed="false">
      <c r="A39" s="9" t="s">
        <v>2029</v>
      </c>
      <c r="B39" s="2" t="s">
        <v>14</v>
      </c>
      <c r="C39" s="2" t="s">
        <v>2025</v>
      </c>
      <c r="D39" s="11" t="n">
        <f aca="false">LB_01*(1-01_Data!$D$37)</f>
        <v>47450</v>
      </c>
      <c r="E39" s="62" t="n">
        <f aca="false">01_Data!$D$37</f>
        <v>0.27</v>
      </c>
    </row>
    <row r="40" customFormat="false" ht="15" hidden="false" customHeight="false" outlineLevel="0" collapsed="false">
      <c r="A40" s="9" t="s">
        <v>2030</v>
      </c>
      <c r="B40" s="2" t="s">
        <v>14</v>
      </c>
      <c r="C40" s="2" t="s">
        <v>2025</v>
      </c>
      <c r="D40" s="11" t="n">
        <f aca="false">IF(SW_HAIRCUT=01_Data!$D$36,D39,D38)</f>
        <v>47450</v>
      </c>
      <c r="E40" s="62" t="n">
        <f aca="false">IF(SW_HAIRCUT=01_Data!$D$36,01_Data!$D$37,01_Data!$D$36)</f>
        <v>0.27</v>
      </c>
    </row>
    <row r="41" customFormat="false" ht="15" hidden="false" customHeight="false" outlineLevel="0" collapsed="false">
      <c r="A41" s="9" t="s">
        <v>2031</v>
      </c>
      <c r="B41" s="2" t="s">
        <v>14</v>
      </c>
      <c r="C41" s="2" t="s">
        <v>2025</v>
      </c>
      <c r="D41" s="11" t="n">
        <f aca="false">LB_02</f>
        <v>40000</v>
      </c>
      <c r="E41" s="2" t="s">
        <v>2032</v>
      </c>
    </row>
    <row r="42" customFormat="false" ht="15" hidden="false" customHeight="false" outlineLevel="0" collapsed="false">
      <c r="A42" s="9" t="s">
        <v>2033</v>
      </c>
      <c r="B42" s="2" t="s">
        <v>14</v>
      </c>
      <c r="C42" s="2" t="s">
        <v>2025</v>
      </c>
      <c r="D42" s="7" t="str">
        <f aca="false">SW_OAI_BASIS</f>
        <v>NET</v>
      </c>
      <c r="E42" s="57" t="str">
        <f aca="false">SW_OAI_BASIS</f>
        <v>NET</v>
      </c>
    </row>
    <row r="43" customFormat="false" ht="15" hidden="false" customHeight="false" outlineLevel="0" collapsed="false">
      <c r="A43" s="9" t="s">
        <v>2034</v>
      </c>
      <c r="B43" s="2" t="s">
        <v>14</v>
      </c>
      <c r="C43" s="2" t="s">
        <v>2025</v>
      </c>
      <c r="D43" s="11" t="n">
        <f aca="false">IF(SW_OAI_BASIS="NET",LB_02,LB_02*(1-01_Data!$D$38))</f>
        <v>40000</v>
      </c>
      <c r="E43" s="62" t="n">
        <f aca="false">IF(SW_OAI_BASIS="NET",0,01_Data!$D$38)</f>
        <v>0</v>
      </c>
    </row>
    <row r="44" customFormat="false" ht="15" hidden="false" customHeight="false" outlineLevel="0" collapsed="false">
      <c r="A44" s="9" t="s">
        <v>2035</v>
      </c>
      <c r="B44" s="2" t="s">
        <v>14</v>
      </c>
      <c r="C44" s="2" t="s">
        <v>2025</v>
      </c>
      <c r="D44" s="11" t="n">
        <f aca="false">LB_02</f>
        <v>40000</v>
      </c>
      <c r="E44" s="2" t="s">
        <v>2036</v>
      </c>
    </row>
    <row r="45" customFormat="false" ht="15" hidden="false" customHeight="false" outlineLevel="0" collapsed="false">
      <c r="A45" s="9" t="s">
        <v>2037</v>
      </c>
      <c r="B45" s="2" t="s">
        <v>14</v>
      </c>
      <c r="C45" s="2" t="s">
        <v>2025</v>
      </c>
      <c r="D45" s="11" t="n">
        <f aca="false">LB_02*(1-01_Data!$D$38)</f>
        <v>32000</v>
      </c>
      <c r="E45" s="13" t="n">
        <f aca="false">01_Data!$D$38</f>
        <v>0.2</v>
      </c>
      <c r="F45" s="61" t="s">
        <v>2038</v>
      </c>
    </row>
    <row r="46" customFormat="false" ht="15" hidden="false" customHeight="false" outlineLevel="0" collapsed="false">
      <c r="A46" s="9" t="s">
        <v>2039</v>
      </c>
      <c r="B46" s="2" t="s">
        <v>18</v>
      </c>
      <c r="C46" s="2" t="s">
        <v>2025</v>
      </c>
      <c r="D46" s="11" t="n">
        <f aca="false">LB_05a</f>
        <v>11600</v>
      </c>
      <c r="E46" s="2" t="s">
        <v>1999</v>
      </c>
    </row>
    <row r="47" customFormat="false" ht="15" hidden="false" customHeight="false" outlineLevel="0" collapsed="false">
      <c r="A47" s="9" t="s">
        <v>2040</v>
      </c>
      <c r="B47" s="2" t="s">
        <v>18</v>
      </c>
      <c r="C47" s="2" t="s">
        <v>2025</v>
      </c>
      <c r="D47" s="11" t="n">
        <f aca="false">LB_05a*(1-01_Data!$D$36)</f>
        <v>6989</v>
      </c>
      <c r="E47" s="62" t="n">
        <f aca="false">01_Data!$D$36</f>
        <v>0.3975</v>
      </c>
    </row>
    <row r="48" customFormat="false" ht="15" hidden="false" customHeight="false" outlineLevel="0" collapsed="false">
      <c r="A48" s="9" t="s">
        <v>2041</v>
      </c>
      <c r="B48" s="2" t="s">
        <v>18</v>
      </c>
      <c r="C48" s="2" t="s">
        <v>2025</v>
      </c>
      <c r="D48" s="11" t="n">
        <f aca="false">LB_05a*(1-01_Data!$D$37)</f>
        <v>8468</v>
      </c>
      <c r="E48" s="62" t="n">
        <f aca="false">01_Data!$D$37</f>
        <v>0.27</v>
      </c>
    </row>
    <row r="49" customFormat="false" ht="15" hidden="false" customHeight="false" outlineLevel="0" collapsed="false">
      <c r="A49" s="9" t="s">
        <v>2042</v>
      </c>
      <c r="B49" s="2" t="s">
        <v>18</v>
      </c>
      <c r="C49" s="2" t="s">
        <v>2025</v>
      </c>
      <c r="D49" s="11" t="n">
        <f aca="false">LB_06a</f>
        <v>6700</v>
      </c>
      <c r="E49" s="2" t="s">
        <v>2003</v>
      </c>
    </row>
    <row r="50" customFormat="false" ht="15" hidden="false" customHeight="false" outlineLevel="0" collapsed="false">
      <c r="A50" s="9" t="s">
        <v>2043</v>
      </c>
      <c r="B50" s="2" t="s">
        <v>18</v>
      </c>
      <c r="C50" s="2" t="s">
        <v>2025</v>
      </c>
      <c r="D50" s="63" t="n">
        <f aca="false">D47/D49</f>
        <v>1.04313432835821</v>
      </c>
      <c r="E50" s="62" t="n">
        <f aca="false">01_Data!$D$36</f>
        <v>0.3975</v>
      </c>
      <c r="F50" s="58" t="n">
        <f aca="false">D48/D49</f>
        <v>1.26388059701493</v>
      </c>
      <c r="G50" s="2" t="s">
        <v>2044</v>
      </c>
    </row>
    <row r="52" customFormat="false" ht="15" hidden="false" customHeight="false" outlineLevel="0" collapsed="false">
      <c r="A52" s="24" t="s">
        <v>2045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customFormat="false" ht="15" hidden="false" customHeight="false" outlineLevel="0" collapsed="false">
      <c r="A53" s="8" t="s">
        <v>2046</v>
      </c>
      <c r="B53" s="8" t="s">
        <v>2047</v>
      </c>
      <c r="C53" s="8" t="s">
        <v>2048</v>
      </c>
      <c r="D53" s="8" t="s">
        <v>2049</v>
      </c>
      <c r="E53" s="8" t="s">
        <v>2050</v>
      </c>
      <c r="F53" s="8" t="s">
        <v>2051</v>
      </c>
      <c r="G53" s="8" t="s">
        <v>2052</v>
      </c>
      <c r="H53" s="8" t="s">
        <v>2053</v>
      </c>
      <c r="I53" s="8" t="s">
        <v>2054</v>
      </c>
      <c r="J53" s="8" t="s">
        <v>2055</v>
      </c>
      <c r="K53" s="8" t="s">
        <v>2056</v>
      </c>
      <c r="L53" s="8" t="s">
        <v>2057</v>
      </c>
      <c r="M53" s="8" t="s">
        <v>988</v>
      </c>
      <c r="N53" s="8" t="s">
        <v>2058</v>
      </c>
      <c r="O53" s="8" t="s">
        <v>2059</v>
      </c>
    </row>
    <row r="54" customFormat="false" ht="15" hidden="false" customHeight="false" outlineLevel="0" collapsed="false">
      <c r="A54" s="9" t="s">
        <v>2060</v>
      </c>
      <c r="B54" s="31" t="n">
        <f aca="false">00_Assumptions!$G$7</f>
        <v>110000</v>
      </c>
      <c r="C54" s="2" t="s">
        <v>2061</v>
      </c>
      <c r="D54" s="31" t="n">
        <f aca="false">LB_01/00_Assumptions!$D$90</f>
        <v>5416.66666666667</v>
      </c>
      <c r="E54" s="32" t="n">
        <f aca="false">D54+$N54</f>
        <v>6166.66666666667</v>
      </c>
      <c r="F54" s="32" t="n">
        <f aca="false">E54+$N54</f>
        <v>6916.66666666667</v>
      </c>
      <c r="G54" s="32" t="n">
        <f aca="false">F54+$N54</f>
        <v>7666.66666666667</v>
      </c>
      <c r="H54" s="32" t="n">
        <f aca="false">G54+$N54</f>
        <v>8416.66666666667</v>
      </c>
      <c r="I54" s="31" t="n">
        <f aca="false">B54/00_Assumptions!$D$90</f>
        <v>9166.66666666667</v>
      </c>
      <c r="J54" s="32" t="n">
        <f aca="false">SUM(D54:F54)</f>
        <v>18500</v>
      </c>
      <c r="K54" s="32" t="n">
        <f aca="false">SUM(G54:I54)</f>
        <v>25250</v>
      </c>
      <c r="L54" s="31" t="n">
        <f aca="false">01_Data!$D$13+LB_05a</f>
        <v>16330</v>
      </c>
      <c r="M54" s="64" t="n">
        <f aca="false">L54+J54+K54</f>
        <v>60080</v>
      </c>
      <c r="N54" s="31" t="n">
        <f aca="false">(I54-D54)/00_Assumptions!$H$90</f>
        <v>750</v>
      </c>
    </row>
    <row r="55" customFormat="false" ht="15" hidden="false" customHeight="false" outlineLevel="0" collapsed="false">
      <c r="A55" s="9" t="s">
        <v>2062</v>
      </c>
      <c r="B55" s="31" t="n">
        <f aca="false">01_Data!$D$46</f>
        <v>100000</v>
      </c>
      <c r="C55" s="2" t="s">
        <v>2063</v>
      </c>
      <c r="D55" s="31" t="n">
        <f aca="false">LB_01/00_Assumptions!$D$90</f>
        <v>5416.66666666667</v>
      </c>
      <c r="E55" s="32" t="n">
        <f aca="false">D55+$N55</f>
        <v>6000</v>
      </c>
      <c r="F55" s="32" t="n">
        <f aca="false">E55+$N55</f>
        <v>6583.33333333333</v>
      </c>
      <c r="G55" s="32" t="n">
        <f aca="false">F55+$N55</f>
        <v>7166.66666666667</v>
      </c>
      <c r="H55" s="32" t="n">
        <f aca="false">G55+$N55</f>
        <v>7750</v>
      </c>
      <c r="I55" s="31" t="n">
        <f aca="false">B55/00_Assumptions!$D$90</f>
        <v>8333.33333333333</v>
      </c>
      <c r="J55" s="32" t="n">
        <f aca="false">SUM(D55:F55)</f>
        <v>18000</v>
      </c>
      <c r="K55" s="32" t="n">
        <f aca="false">SUM(G55:I55)</f>
        <v>23250</v>
      </c>
      <c r="L55" s="31" t="n">
        <f aca="false">01_Data!$D$13+LB_05a</f>
        <v>16330</v>
      </c>
      <c r="M55" s="64" t="n">
        <f aca="false">L55+J55+K55</f>
        <v>57580</v>
      </c>
      <c r="N55" s="31" t="n">
        <f aca="false">(I55-D55)/00_Assumptions!$H$90</f>
        <v>583.333333333333</v>
      </c>
      <c r="O55" s="7" t="str">
        <f aca="false">IF(ABS((M55)-00_Assumptions!$D$147)&lt;=00_Assumptions!$E$147,"PASS","FAIL: "&amp;TEXT((M55)-00_Assumptions!$D$147,"#,##0.000"))</f>
        <v>PASS</v>
      </c>
    </row>
    <row r="56" customFormat="false" ht="15" hidden="false" customHeight="false" outlineLevel="0" collapsed="false">
      <c r="A56" s="9" t="s">
        <v>2064</v>
      </c>
      <c r="B56" s="31" t="n">
        <f aca="false">01_Data!$D$47</f>
        <v>120000</v>
      </c>
      <c r="C56" s="2" t="s">
        <v>2063</v>
      </c>
      <c r="D56" s="31" t="n">
        <f aca="false">LB_01/00_Assumptions!$D$90</f>
        <v>5416.66666666667</v>
      </c>
      <c r="E56" s="32" t="n">
        <f aca="false">D56+$N56</f>
        <v>6333.33333333333</v>
      </c>
      <c r="F56" s="32" t="n">
        <f aca="false">E56+$N56</f>
        <v>7250</v>
      </c>
      <c r="G56" s="32" t="n">
        <f aca="false">F56+$N56</f>
        <v>8166.66666666667</v>
      </c>
      <c r="H56" s="32" t="n">
        <f aca="false">G56+$N56</f>
        <v>9083.33333333333</v>
      </c>
      <c r="I56" s="31" t="n">
        <f aca="false">B56/00_Assumptions!$D$90</f>
        <v>10000</v>
      </c>
      <c r="J56" s="32" t="n">
        <f aca="false">SUM(D56:F56)</f>
        <v>19000</v>
      </c>
      <c r="K56" s="32" t="n">
        <f aca="false">SUM(G56:I56)</f>
        <v>27250</v>
      </c>
      <c r="L56" s="31" t="n">
        <f aca="false">01_Data!$D$13+LB_05a</f>
        <v>16330</v>
      </c>
      <c r="M56" s="64" t="n">
        <f aca="false">L56+J56+K56</f>
        <v>62580</v>
      </c>
      <c r="N56" s="31" t="n">
        <f aca="false">(I56-D56)/00_Assumptions!$H$90</f>
        <v>916.666666666667</v>
      </c>
      <c r="O56" s="7" t="str">
        <f aca="false">IF(ABS((M56)-00_Assumptions!$D$148)&lt;=00_Assumptions!$E$148,"PASS","FAIL: "&amp;TEXT((M56)-00_Assumptions!$D$148,"#,##0.000"))</f>
        <v>PASS</v>
      </c>
    </row>
    <row r="57" customFormat="false" ht="15" hidden="false" customHeight="false" outlineLevel="0" collapsed="false">
      <c r="A57" s="9" t="s">
        <v>2065</v>
      </c>
      <c r="B57" s="31" t="n">
        <f aca="false">LB_01</f>
        <v>65000</v>
      </c>
      <c r="C57" s="2" t="s">
        <v>2066</v>
      </c>
      <c r="D57" s="31" t="n">
        <f aca="false">LB_01/00_Assumptions!$D$90</f>
        <v>5416.66666666667</v>
      </c>
      <c r="E57" s="32" t="n">
        <f aca="false">D57+$N57</f>
        <v>5416.66666666667</v>
      </c>
      <c r="F57" s="32" t="n">
        <f aca="false">E57+$N57</f>
        <v>5416.66666666667</v>
      </c>
      <c r="G57" s="32" t="n">
        <f aca="false">F57+$N57</f>
        <v>5416.66666666667</v>
      </c>
      <c r="H57" s="32" t="n">
        <f aca="false">G57+$N57</f>
        <v>5416.66666666667</v>
      </c>
      <c r="I57" s="31" t="n">
        <f aca="false">B57/00_Assumptions!$D$90</f>
        <v>5416.66666666667</v>
      </c>
      <c r="J57" s="32" t="n">
        <f aca="false">SUM(D57:F57)</f>
        <v>16250</v>
      </c>
      <c r="K57" s="32" t="n">
        <f aca="false">SUM(G57:I57)</f>
        <v>16250</v>
      </c>
      <c r="L57" s="31" t="n">
        <f aca="false">01_Data!$D$13+LB_05a</f>
        <v>16330</v>
      </c>
      <c r="M57" s="64" t="n">
        <f aca="false">L57+J57+K57</f>
        <v>48830</v>
      </c>
      <c r="N57" s="31" t="n">
        <f aca="false">(I57-D57)/00_Assumptions!$H$90</f>
        <v>0</v>
      </c>
      <c r="O57" s="7" t="str">
        <f aca="false">IF(ABS((M57)-00_Assumptions!$D$149)&lt;=00_Assumptions!$E$149,"PASS","FAIL: "&amp;TEXT((M57)-00_Assumptions!$D$149,"#,##0.000"))</f>
        <v>PASS</v>
      </c>
    </row>
    <row r="58" customFormat="false" ht="15" hidden="false" customHeight="false" outlineLevel="0" collapsed="false">
      <c r="A58" s="9" t="s">
        <v>2067</v>
      </c>
      <c r="L58" s="32" t="n">
        <f aca="false">L54</f>
        <v>16330</v>
      </c>
      <c r="O58" s="7" t="str">
        <f aca="false">IF(ABS((L58)-00_Assumptions!$D$150)&lt;=00_Assumptions!$E$150,"PASS","FAIL: "&amp;TEXT((L58)-00_Assumptions!$D$150,"#,##0.000"))</f>
        <v>PASS</v>
      </c>
    </row>
    <row r="59" customFormat="false" ht="15" hidden="false" customHeight="false" outlineLevel="0" collapsed="false">
      <c r="A59" s="9" t="s">
        <v>2068</v>
      </c>
      <c r="L59" s="31" t="n">
        <f aca="false">01_Data!$D$13+01_Data!$D$10</f>
        <v>16230</v>
      </c>
    </row>
    <row r="60" customFormat="false" ht="15" hidden="false" customHeight="false" outlineLevel="0" collapsed="false">
      <c r="A60" s="9" t="s">
        <v>2069</v>
      </c>
      <c r="J60" s="30" t="n">
        <f aca="false">J54/M54</f>
        <v>0.307922769640479</v>
      </c>
      <c r="K60" s="30" t="n">
        <f aca="false">K54/M54</f>
        <v>0.420272969374168</v>
      </c>
    </row>
    <row r="62" customFormat="false" ht="15" hidden="false" customHeight="false" outlineLevel="0" collapsed="false">
      <c r="A62" s="24" t="s">
        <v>2070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</row>
    <row r="63" customFormat="false" ht="22.35" hidden="false" customHeight="false" outlineLevel="0" collapsed="false">
      <c r="A63" s="8" t="s">
        <v>2046</v>
      </c>
      <c r="B63" s="8" t="s">
        <v>2071</v>
      </c>
      <c r="C63" s="8" t="s">
        <v>2048</v>
      </c>
      <c r="D63" s="8" t="s">
        <v>2049</v>
      </c>
      <c r="E63" s="8" t="s">
        <v>2050</v>
      </c>
      <c r="F63" s="8" t="s">
        <v>2051</v>
      </c>
      <c r="G63" s="8" t="s">
        <v>2052</v>
      </c>
      <c r="H63" s="8" t="s">
        <v>2053</v>
      </c>
      <c r="I63" s="8" t="s">
        <v>2054</v>
      </c>
      <c r="J63" s="8" t="s">
        <v>2055</v>
      </c>
      <c r="K63" s="8" t="s">
        <v>2056</v>
      </c>
      <c r="L63" s="8" t="s">
        <v>2072</v>
      </c>
      <c r="M63" s="8" t="s">
        <v>988</v>
      </c>
      <c r="N63" s="8"/>
      <c r="O63" s="8" t="s">
        <v>2059</v>
      </c>
    </row>
    <row r="64" customFormat="false" ht="15" hidden="false" customHeight="false" outlineLevel="0" collapsed="false">
      <c r="A64" s="9" t="s">
        <v>2073</v>
      </c>
      <c r="B64" s="51" t="n">
        <f aca="false">00_Assumptions!$G$25</f>
        <v>0.1</v>
      </c>
      <c r="C64" s="2" t="s">
        <v>2074</v>
      </c>
      <c r="D64" s="31" t="n">
        <f aca="false">LB_02/00_Assumptions!$D$90</f>
        <v>3333.33333333333</v>
      </c>
      <c r="E64" s="32" t="n">
        <f aca="false">D64*(1+$B64)</f>
        <v>3666.66666666667</v>
      </c>
      <c r="F64" s="32" t="n">
        <f aca="false">E64*(1+$B64)</f>
        <v>4033.33333333333</v>
      </c>
      <c r="G64" s="32" t="n">
        <f aca="false">F64*(1+$B64)</f>
        <v>4436.66666666667</v>
      </c>
      <c r="H64" s="32" t="n">
        <f aca="false">G64*(1+$B64)</f>
        <v>4880.33333333334</v>
      </c>
      <c r="I64" s="32" t="n">
        <f aca="false">H64*(1+$B64)</f>
        <v>5368.36666666667</v>
      </c>
      <c r="J64" s="32" t="n">
        <f aca="false">SUM(D64:F64)</f>
        <v>11033.3333333333</v>
      </c>
      <c r="K64" s="32" t="n">
        <f aca="false">SUM(G64:I64)</f>
        <v>14685.3666666667</v>
      </c>
      <c r="L64" s="31" t="n">
        <f aca="false">01_Data!$D$15+LB_06a</f>
        <v>12400</v>
      </c>
      <c r="M64" s="64" t="n">
        <f aca="false">L64+J64+K64</f>
        <v>38118.7</v>
      </c>
    </row>
    <row r="65" customFormat="false" ht="15" hidden="false" customHeight="false" outlineLevel="0" collapsed="false">
      <c r="A65" s="9" t="s">
        <v>2075</v>
      </c>
      <c r="B65" s="51" t="n">
        <f aca="false">00_Assumptions!$D$25</f>
        <v>0</v>
      </c>
      <c r="C65" s="2" t="s">
        <v>2074</v>
      </c>
      <c r="D65" s="31" t="n">
        <f aca="false">LB_02/00_Assumptions!$D$90</f>
        <v>3333.33333333333</v>
      </c>
      <c r="E65" s="32" t="n">
        <f aca="false">D65*(1+$B65)</f>
        <v>3333.33333333333</v>
      </c>
      <c r="F65" s="32" t="n">
        <f aca="false">E65*(1+$B65)</f>
        <v>3333.33333333333</v>
      </c>
      <c r="G65" s="32" t="n">
        <f aca="false">F65*(1+$B65)</f>
        <v>3333.33333333333</v>
      </c>
      <c r="H65" s="32" t="n">
        <f aca="false">G65*(1+$B65)</f>
        <v>3333.33333333333</v>
      </c>
      <c r="I65" s="32" t="n">
        <f aca="false">H65*(1+$B65)</f>
        <v>3333.33333333333</v>
      </c>
      <c r="J65" s="32" t="n">
        <f aca="false">SUM(D65:F65)</f>
        <v>10000</v>
      </c>
      <c r="K65" s="32" t="n">
        <f aca="false">SUM(G65:I65)</f>
        <v>10000</v>
      </c>
      <c r="L65" s="31" t="n">
        <f aca="false">01_Data!$D$15+LB_06a</f>
        <v>12400</v>
      </c>
      <c r="M65" s="64" t="n">
        <f aca="false">L65+J65+K65</f>
        <v>32400</v>
      </c>
      <c r="O65" s="7" t="str">
        <f aca="false">IF(ABS((M65)-00_Assumptions!$D$152)&lt;=00_Assumptions!$E$152,"PASS","FAIL: "&amp;TEXT((M65)-00_Assumptions!$D$152,"#,##0.000"))</f>
        <v>PASS</v>
      </c>
    </row>
    <row r="66" customFormat="false" ht="15" hidden="false" customHeight="false" outlineLevel="0" collapsed="false">
      <c r="A66" s="9" t="s">
        <v>2076</v>
      </c>
      <c r="B66" s="51" t="n">
        <f aca="false">00_Assumptions!$E$25</f>
        <v>0.1</v>
      </c>
      <c r="C66" s="2" t="s">
        <v>2074</v>
      </c>
      <c r="D66" s="31" t="n">
        <f aca="false">LB_02/00_Assumptions!$D$90</f>
        <v>3333.33333333333</v>
      </c>
      <c r="E66" s="32" t="n">
        <f aca="false">D66*(1+$B66)</f>
        <v>3666.66666666667</v>
      </c>
      <c r="F66" s="32" t="n">
        <f aca="false">E66*(1+$B66)</f>
        <v>4033.33333333333</v>
      </c>
      <c r="G66" s="32" t="n">
        <f aca="false">F66*(1+$B66)</f>
        <v>4436.66666666667</v>
      </c>
      <c r="H66" s="32" t="n">
        <f aca="false">G66*(1+$B66)</f>
        <v>4880.33333333334</v>
      </c>
      <c r="I66" s="32" t="n">
        <f aca="false">H66*(1+$B66)</f>
        <v>5368.36666666667</v>
      </c>
      <c r="J66" s="32" t="n">
        <f aca="false">SUM(D66:F66)</f>
        <v>11033.3333333333</v>
      </c>
      <c r="K66" s="32" t="n">
        <f aca="false">SUM(G66:I66)</f>
        <v>14685.3666666667</v>
      </c>
      <c r="L66" s="31" t="n">
        <f aca="false">01_Data!$D$15+LB_06a</f>
        <v>12400</v>
      </c>
      <c r="M66" s="64" t="n">
        <f aca="false">L66+J66+K66</f>
        <v>38118.7</v>
      </c>
      <c r="O66" s="7" t="str">
        <f aca="false">IF(ABS((M66)-00_Assumptions!$D$153)&lt;=00_Assumptions!$E$153,"PASS","FAIL: "&amp;TEXT((M66)-00_Assumptions!$D$153,"#,##0.000"))</f>
        <v>PASS</v>
      </c>
    </row>
    <row r="67" customFormat="false" ht="15" hidden="false" customHeight="false" outlineLevel="0" collapsed="false">
      <c r="A67" s="9" t="s">
        <v>2077</v>
      </c>
      <c r="B67" s="51" t="n">
        <f aca="false">00_Assumptions!$F$25</f>
        <v>0.2</v>
      </c>
      <c r="C67" s="2" t="s">
        <v>2074</v>
      </c>
      <c r="D67" s="31" t="n">
        <f aca="false">LB_02/00_Assumptions!$D$90</f>
        <v>3333.33333333333</v>
      </c>
      <c r="E67" s="32" t="n">
        <f aca="false">D67*(1+$B67)</f>
        <v>4000</v>
      </c>
      <c r="F67" s="32" t="n">
        <f aca="false">E67*(1+$B67)</f>
        <v>4800</v>
      </c>
      <c r="G67" s="32" t="n">
        <f aca="false">F67*(1+$B67)</f>
        <v>5760</v>
      </c>
      <c r="H67" s="32" t="n">
        <f aca="false">G67*(1+$B67)</f>
        <v>6912</v>
      </c>
      <c r="I67" s="32" t="n">
        <f aca="false">H67*(1+$B67)</f>
        <v>8294.4</v>
      </c>
      <c r="J67" s="32" t="n">
        <f aca="false">SUM(D67:F67)</f>
        <v>12133.3333333333</v>
      </c>
      <c r="K67" s="32" t="n">
        <f aca="false">SUM(G67:I67)</f>
        <v>20966.4</v>
      </c>
      <c r="L67" s="31" t="n">
        <f aca="false">01_Data!$D$15+LB_06a</f>
        <v>12400</v>
      </c>
      <c r="M67" s="64" t="n">
        <f aca="false">L67+J67+K67</f>
        <v>45499.7333333333</v>
      </c>
      <c r="O67" s="7" t="str">
        <f aca="false">IF(ABS((M67)-00_Assumptions!$D$154)&lt;=00_Assumptions!$E$154,"PASS","FAIL: "&amp;TEXT((M67)-00_Assumptions!$D$154,"#,##0.000"))</f>
        <v>PASS</v>
      </c>
    </row>
    <row r="69" customFormat="false" ht="15" hidden="false" customHeight="false" outlineLevel="0" collapsed="false">
      <c r="A69" s="24" t="s">
        <v>2078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customFormat="false" ht="15" hidden="false" customHeight="false" outlineLevel="0" collapsed="false">
      <c r="A70" s="34" t="s">
        <v>306</v>
      </c>
      <c r="B70" s="59" t="s">
        <v>6</v>
      </c>
      <c r="C70" s="59" t="s">
        <v>2022</v>
      </c>
      <c r="D70" s="35" t="str">
        <f aca="false">00_Assumptions!$D$3</f>
        <v>2023A</v>
      </c>
      <c r="E70" s="35" t="str">
        <f aca="false">00_Assumptions!$E$3</f>
        <v>2024A</v>
      </c>
      <c r="F70" s="35" t="str">
        <f aca="false">00_Assumptions!$F$3</f>
        <v>2025A</v>
      </c>
      <c r="G70" s="35" t="str">
        <f aca="false">00_Assumptions!$G$3</f>
        <v>2026E</v>
      </c>
      <c r="H70" s="35" t="str">
        <f aca="false">00_Assumptions!$H$3</f>
        <v>2027E</v>
      </c>
      <c r="I70" s="35" t="str">
        <f aca="false">00_Assumptions!$I$3</f>
        <v>2028E</v>
      </c>
      <c r="J70" s="35" t="str">
        <f aca="false">00_Assumptions!$J$3</f>
        <v>2029E</v>
      </c>
      <c r="K70" s="35" t="str">
        <f aca="false">00_Assumptions!$K$3</f>
        <v>2030E</v>
      </c>
    </row>
    <row r="71" customFormat="false" ht="15" hidden="false" customHeight="false" outlineLevel="0" collapsed="false">
      <c r="A71" s="3" t="s">
        <v>2079</v>
      </c>
      <c r="B71" s="2" t="s">
        <v>18</v>
      </c>
      <c r="C71" s="2" t="s">
        <v>2080</v>
      </c>
      <c r="D71" s="65" t="s">
        <v>2081</v>
      </c>
      <c r="E71" s="11" t="n">
        <f aca="false">01_Data!$D$54</f>
        <v>1000</v>
      </c>
      <c r="F71" s="11" t="n">
        <f aca="false">SW_A_FY25</f>
        <v>10000</v>
      </c>
      <c r="G71" s="64" t="n">
        <f aca="false">M54</f>
        <v>60080</v>
      </c>
      <c r="H71" s="11" t="n">
        <f aca="false">00_Assumptions!$G$8</f>
        <v>145000</v>
      </c>
      <c r="I71" s="11" t="n">
        <f aca="false">00_Assumptions!$G$9</f>
        <v>190000</v>
      </c>
      <c r="J71" s="11" t="n">
        <f aca="false">I71*(1+00_Assumptions!$G$10*(I71/H71-1))</f>
        <v>231275.862068966</v>
      </c>
      <c r="K71" s="11" t="n">
        <f aca="false">J71*(1+00_Assumptions!$G$10*(J71/I71-1))</f>
        <v>266445.743162901</v>
      </c>
    </row>
    <row r="72" customFormat="false" ht="15" hidden="false" customHeight="false" outlineLevel="0" collapsed="false">
      <c r="A72" s="9" t="s">
        <v>2082</v>
      </c>
      <c r="B72" s="2" t="s">
        <v>24</v>
      </c>
      <c r="F72" s="30" t="n">
        <f aca="false">IFERROR(F71/E71-1,"n/a")</f>
        <v>9</v>
      </c>
      <c r="G72" s="30" t="n">
        <f aca="false">IFERROR(G71/F71-1,"n/a")</f>
        <v>5.008</v>
      </c>
      <c r="H72" s="30" t="n">
        <f aca="false">IFERROR(H71/G71-1,"n/a")</f>
        <v>1.41344873501997</v>
      </c>
      <c r="I72" s="30" t="n">
        <f aca="false">IFERROR(I71/H71-1,"n/a")</f>
        <v>0.310344827586207</v>
      </c>
      <c r="J72" s="30" t="n">
        <f aca="false">IFERROR(J71/I71-1,"n/a")</f>
        <v>0.217241379310345</v>
      </c>
      <c r="K72" s="30" t="n">
        <f aca="false">IFERROR(K71/J71-1,"n/a")</f>
        <v>0.152068965517241</v>
      </c>
    </row>
    <row r="73" customFormat="false" ht="15" hidden="false" customHeight="false" outlineLevel="0" collapsed="false">
      <c r="A73" s="2" t="s">
        <v>2083</v>
      </c>
    </row>
    <row r="74" customFormat="false" ht="15" hidden="false" customHeight="false" outlineLevel="0" collapsed="false">
      <c r="A74" s="9" t="s">
        <v>2084</v>
      </c>
      <c r="B74" s="2" t="s">
        <v>18</v>
      </c>
      <c r="C74" s="2" t="s">
        <v>2085</v>
      </c>
      <c r="G74" s="30" t="n">
        <f aca="false">I74/H74-1</f>
        <v>0.25</v>
      </c>
      <c r="H74" s="31" t="n">
        <f aca="false">00_Assumptions!$D$8</f>
        <v>120000</v>
      </c>
      <c r="I74" s="31" t="n">
        <f aca="false">00_Assumptions!$D$9</f>
        <v>150000</v>
      </c>
      <c r="J74" s="31" t="n">
        <f aca="false">I74*(1+00_Assumptions!$D$10*G74)</f>
        <v>176250</v>
      </c>
      <c r="K74" s="31" t="n">
        <f aca="false">J74*(1+00_Assumptions!$D$10*(J74/I74-1))</f>
        <v>197840.625</v>
      </c>
      <c r="L74" s="7" t="str">
        <f aca="false">IF(ABS((J74)-00_Assumptions!$D$207)&lt;=00_Assumptions!$E$207,"PASS","FAIL: "&amp;TEXT((J74)-00_Assumptions!$D$207,"#,##0.000"))</f>
        <v>PASS</v>
      </c>
      <c r="M74" s="7" t="str">
        <f aca="false">IF(ABS((K74)-00_Assumptions!$D$208)&lt;=00_Assumptions!$E$208,"PASS","FAIL: "&amp;TEXT((K74)-00_Assumptions!$D$208,"#,##0.000"))</f>
        <v>PASS</v>
      </c>
    </row>
    <row r="75" customFormat="false" ht="15" hidden="false" customHeight="false" outlineLevel="0" collapsed="false">
      <c r="A75" s="9" t="s">
        <v>2086</v>
      </c>
      <c r="B75" s="2" t="s">
        <v>18</v>
      </c>
      <c r="C75" s="2" t="s">
        <v>2085</v>
      </c>
      <c r="G75" s="30" t="n">
        <f aca="false">I75/H75-1</f>
        <v>0.310344827586207</v>
      </c>
      <c r="H75" s="31" t="n">
        <f aca="false">00_Assumptions!$E$8</f>
        <v>145000</v>
      </c>
      <c r="I75" s="31" t="n">
        <f aca="false">00_Assumptions!$E$9</f>
        <v>190000</v>
      </c>
      <c r="J75" s="31" t="n">
        <f aca="false">I75*(1+00_Assumptions!$E$10*G75)</f>
        <v>231275.862068966</v>
      </c>
      <c r="K75" s="31" t="n">
        <f aca="false">J75*(1+00_Assumptions!$E$10*(J75/I75-1))</f>
        <v>266445.743162901</v>
      </c>
      <c r="L75" s="7" t="str">
        <f aca="false">IF(ABS((J75)-00_Assumptions!$D$209)&lt;=00_Assumptions!$E$209,"PASS","FAIL: "&amp;TEXT((J75)-00_Assumptions!$D$209,"#,##0.000"))</f>
        <v>PASS</v>
      </c>
      <c r="M75" s="7" t="str">
        <f aca="false">IF(ABS((K75)-00_Assumptions!$D$210)&lt;=00_Assumptions!$E$210,"PASS","FAIL: "&amp;TEXT((K75)-00_Assumptions!$D$210,"#,##0.000"))</f>
        <v>PASS</v>
      </c>
    </row>
    <row r="76" customFormat="false" ht="15" hidden="false" customHeight="false" outlineLevel="0" collapsed="false">
      <c r="A76" s="9" t="s">
        <v>2087</v>
      </c>
      <c r="B76" s="2" t="s">
        <v>18</v>
      </c>
      <c r="C76" s="2" t="s">
        <v>2085</v>
      </c>
      <c r="G76" s="30" t="n">
        <f aca="false">I76/H76-1</f>
        <v>0.375</v>
      </c>
      <c r="H76" s="31" t="n">
        <f aca="false">00_Assumptions!$F$8</f>
        <v>160000</v>
      </c>
      <c r="I76" s="31" t="n">
        <f aca="false">00_Assumptions!$F$9</f>
        <v>220000</v>
      </c>
      <c r="J76" s="31" t="n">
        <f aca="false">I76*(1+00_Assumptions!$F$10*G76)</f>
        <v>286000</v>
      </c>
      <c r="K76" s="31" t="n">
        <f aca="false">J76*(1+00_Assumptions!$F$10*(J76/I76-1))</f>
        <v>354640</v>
      </c>
      <c r="L76" s="7" t="str">
        <f aca="false">IF(ABS((J76)-00_Assumptions!$D$211)&lt;=00_Assumptions!$E$211,"PASS","FAIL: "&amp;TEXT((J76)-00_Assumptions!$D$211,"#,##0.000"))</f>
        <v>PASS</v>
      </c>
      <c r="M76" s="7" t="str">
        <f aca="false">IF(ABS((K76)-00_Assumptions!$D$212)&lt;=00_Assumptions!$E$212,"PASS","FAIL: "&amp;TEXT((K76)-00_Assumptions!$D$212,"#,##0.000"))</f>
        <v>PASS</v>
      </c>
    </row>
    <row r="77" customFormat="false" ht="15" hidden="false" customHeight="false" outlineLevel="0" collapsed="false">
      <c r="A77" s="9" t="s">
        <v>2088</v>
      </c>
      <c r="B77" s="2" t="s">
        <v>18</v>
      </c>
      <c r="C77" s="62" t="n">
        <f aca="false">SW_HAIRCUT</f>
        <v>0.3975</v>
      </c>
      <c r="E77" s="31" t="n">
        <f aca="false">E71*(1-SW_HAIRCUT)</f>
        <v>602.5</v>
      </c>
      <c r="F77" s="31" t="n">
        <f aca="false">F71*(1-SW_HAIRCUT)</f>
        <v>6025</v>
      </c>
      <c r="G77" s="31" t="n">
        <f aca="false">G71*(1-SW_HAIRCUT)</f>
        <v>36198.2</v>
      </c>
      <c r="H77" s="31" t="n">
        <f aca="false">H71*(1-SW_HAIRCUT)</f>
        <v>87362.5</v>
      </c>
      <c r="I77" s="31" t="n">
        <f aca="false">I71*(1-SW_HAIRCUT)</f>
        <v>114475</v>
      </c>
      <c r="J77" s="31" t="n">
        <f aca="false">J71*(1-SW_HAIRCUT)</f>
        <v>139343.706896552</v>
      </c>
      <c r="K77" s="31" t="n">
        <f aca="false">K71*(1-SW_HAIRCUT)</f>
        <v>160533.560255648</v>
      </c>
    </row>
    <row r="78" customFormat="false" ht="15" hidden="false" customHeight="false" outlineLevel="0" collapsed="false">
      <c r="A78" s="3" t="s">
        <v>2089</v>
      </c>
      <c r="B78" s="2" t="s">
        <v>18</v>
      </c>
      <c r="C78" s="2" t="s">
        <v>2090</v>
      </c>
      <c r="D78" s="65" t="s">
        <v>2081</v>
      </c>
      <c r="E78" s="65" t="s">
        <v>2081</v>
      </c>
      <c r="F78" s="11" t="n">
        <f aca="false">01_Data!$D$141</f>
        <v>13100</v>
      </c>
      <c r="G78" s="64" t="n">
        <f aca="false">M64</f>
        <v>38118.7</v>
      </c>
      <c r="H78" s="11" t="n">
        <f aca="false">G78*(1+00_Assumptions!$G$26)</f>
        <v>64801.79</v>
      </c>
      <c r="I78" s="11" t="n">
        <f aca="false">H78*(1+00_Assumptions!$G$26)</f>
        <v>110163.043</v>
      </c>
      <c r="J78" s="11" t="n">
        <f aca="false">I78*(1+00_Assumptions!$G$26)</f>
        <v>187277.1731</v>
      </c>
      <c r="K78" s="11" t="n">
        <f aca="false">J78*(1+00_Assumptions!$G$26)</f>
        <v>318371.19427</v>
      </c>
    </row>
    <row r="79" customFormat="false" ht="15" hidden="false" customHeight="false" outlineLevel="0" collapsed="false">
      <c r="A79" s="9" t="s">
        <v>2082</v>
      </c>
      <c r="B79" s="2" t="s">
        <v>24</v>
      </c>
      <c r="G79" s="30" t="n">
        <f aca="false">IFERROR(G78/F78-1,"n/a")</f>
        <v>1.90982442748092</v>
      </c>
      <c r="H79" s="30" t="n">
        <f aca="false">IFERROR(H78/G78-1,"n/a")</f>
        <v>0.7</v>
      </c>
      <c r="I79" s="30" t="n">
        <f aca="false">IFERROR(I78/H78-1,"n/a")</f>
        <v>0.7</v>
      </c>
      <c r="J79" s="30" t="n">
        <f aca="false">IFERROR(J78/I78-1,"n/a")</f>
        <v>0.7</v>
      </c>
      <c r="K79" s="30" t="n">
        <f aca="false">IFERROR(K78/J78-1,"n/a")</f>
        <v>0.7</v>
      </c>
    </row>
    <row r="81" customFormat="false" ht="15" hidden="false" customHeight="false" outlineLevel="0" collapsed="false">
      <c r="A81" s="2" t="s">
        <v>2091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K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6"/>
    <col collapsed="false" customWidth="true" hidden="false" outlineLevel="0" max="2" min="2" style="1" width="10"/>
    <col collapsed="false" customWidth="true" hidden="false" outlineLevel="0" max="3" min="3" style="1" width="38"/>
    <col collapsed="false" customWidth="true" hidden="false" outlineLevel="0" max="11" min="4" style="1" width="12"/>
  </cols>
  <sheetData>
    <row r="1" customFormat="false" ht="15" hidden="false" customHeight="false" outlineLevel="0" collapsed="false">
      <c r="A1" s="2" t="s">
        <v>2092</v>
      </c>
    </row>
    <row r="4" customFormat="false" ht="15" hidden="false" customHeight="false" outlineLevel="0" collapsed="false">
      <c r="A4" s="24" t="s">
        <v>2093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customFormat="false" ht="15" hidden="false" customHeight="false" outlineLevel="0" collapsed="false">
      <c r="A5" s="34" t="s">
        <v>306</v>
      </c>
      <c r="B5" s="59" t="s">
        <v>6</v>
      </c>
      <c r="C5" s="59" t="s">
        <v>2094</v>
      </c>
      <c r="D5" s="35" t="str">
        <f aca="false">00_Assumptions!$D$3</f>
        <v>2023A</v>
      </c>
      <c r="E5" s="35" t="str">
        <f aca="false">00_Assumptions!$E$3</f>
        <v>2024A</v>
      </c>
      <c r="F5" s="35" t="str">
        <f aca="false">00_Assumptions!$F$3</f>
        <v>2025A</v>
      </c>
      <c r="G5" s="35" t="str">
        <f aca="false">00_Assumptions!$G$3</f>
        <v>2026E</v>
      </c>
      <c r="H5" s="35" t="str">
        <f aca="false">00_Assumptions!$H$3</f>
        <v>2027E</v>
      </c>
      <c r="I5" s="35" t="str">
        <f aca="false">00_Assumptions!$I$3</f>
        <v>2028E</v>
      </c>
      <c r="J5" s="35" t="str">
        <f aca="false">00_Assumptions!$J$3</f>
        <v>2029E</v>
      </c>
      <c r="K5" s="35" t="str">
        <f aca="false">00_Assumptions!$K$3</f>
        <v>2030E</v>
      </c>
    </row>
    <row r="6" customFormat="false" ht="15" hidden="false" customHeight="false" outlineLevel="0" collapsed="false">
      <c r="A6" s="3" t="s">
        <v>2095</v>
      </c>
      <c r="B6" s="2" t="s">
        <v>18</v>
      </c>
      <c r="C6" s="2" t="s">
        <v>2096</v>
      </c>
      <c r="D6" s="65" t="s">
        <v>2081</v>
      </c>
      <c r="E6" s="11" t="n">
        <f aca="false">02_Revenue!E71</f>
        <v>1000</v>
      </c>
      <c r="F6" s="11" t="n">
        <f aca="false">02_Revenue!F71</f>
        <v>10000</v>
      </c>
      <c r="G6" s="11" t="n">
        <f aca="false">02_Revenue!G71</f>
        <v>60080</v>
      </c>
      <c r="H6" s="11" t="n">
        <f aca="false">02_Revenue!H71</f>
        <v>145000</v>
      </c>
      <c r="I6" s="11" t="n">
        <f aca="false">02_Revenue!I71</f>
        <v>190000</v>
      </c>
      <c r="J6" s="11" t="n">
        <f aca="false">02_Revenue!J71</f>
        <v>231275.862068966</v>
      </c>
      <c r="K6" s="11" t="n">
        <f aca="false">02_Revenue!K71</f>
        <v>266445.743162901</v>
      </c>
    </row>
    <row r="7" customFormat="false" ht="15" hidden="false" customHeight="false" outlineLevel="0" collapsed="false">
      <c r="A7" s="9" t="s">
        <v>2097</v>
      </c>
      <c r="B7" s="2" t="s">
        <v>24</v>
      </c>
      <c r="C7" s="2" t="s">
        <v>2098</v>
      </c>
      <c r="D7" s="65" t="s">
        <v>2081</v>
      </c>
      <c r="E7" s="51" t="n">
        <f aca="false">01_Data!$D$60</f>
        <v>-0.94</v>
      </c>
      <c r="F7" s="51" t="n">
        <f aca="false">01_Data!$D$61</f>
        <v>0.4</v>
      </c>
      <c r="G7" s="51" t="n">
        <f aca="false">00_Assumptions!$G$95</f>
        <v>0.52</v>
      </c>
      <c r="H7" s="51" t="n">
        <f aca="false">00_Assumptions!$H$95</f>
        <v>0.63</v>
      </c>
      <c r="I7" s="51" t="n">
        <f aca="false">00_Assumptions!$I$95</f>
        <v>0.7</v>
      </c>
      <c r="J7" s="51" t="n">
        <f aca="false">00_Assumptions!$J$95</f>
        <v>0.72</v>
      </c>
      <c r="K7" s="51" t="n">
        <f aca="false">00_Assumptions!$K$95</f>
        <v>0.72</v>
      </c>
    </row>
    <row r="8" customFormat="false" ht="15" hidden="false" customHeight="false" outlineLevel="0" collapsed="false">
      <c r="A8" s="3" t="s">
        <v>2099</v>
      </c>
      <c r="B8" s="2" t="s">
        <v>14</v>
      </c>
      <c r="C8" s="2" t="s">
        <v>2100</v>
      </c>
      <c r="D8" s="65" t="s">
        <v>2081</v>
      </c>
      <c r="E8" s="64" t="n">
        <f aca="false">E6*(1-E7)</f>
        <v>1940</v>
      </c>
      <c r="F8" s="64" t="n">
        <f aca="false">F6*(1-F7)</f>
        <v>6000</v>
      </c>
      <c r="G8" s="64" t="n">
        <f aca="false">G6*(1-G7)</f>
        <v>28838.4</v>
      </c>
      <c r="H8" s="64" t="n">
        <f aca="false">H6*(1-H7)</f>
        <v>53650</v>
      </c>
      <c r="I8" s="64" t="n">
        <f aca="false">I6*(1-I7)</f>
        <v>57000</v>
      </c>
      <c r="J8" s="64" t="n">
        <f aca="false">J6*(1-J7)</f>
        <v>64757.2413793104</v>
      </c>
      <c r="K8" s="64" t="n">
        <f aca="false">K6*(1-K7)</f>
        <v>74604.8080856124</v>
      </c>
    </row>
    <row r="9" customFormat="false" ht="15" hidden="false" customHeight="false" outlineLevel="0" collapsed="false">
      <c r="A9" s="3" t="s">
        <v>2101</v>
      </c>
      <c r="B9" s="2" t="s">
        <v>14</v>
      </c>
      <c r="C9" s="2" t="s">
        <v>2102</v>
      </c>
      <c r="D9" s="65" t="s">
        <v>2081</v>
      </c>
      <c r="E9" s="65" t="s">
        <v>2081</v>
      </c>
      <c r="F9" s="65" t="s">
        <v>2081</v>
      </c>
      <c r="G9" s="11" t="n">
        <f aca="false">00_Assumptions!$G$100</f>
        <v>7000</v>
      </c>
      <c r="H9" s="11" t="n">
        <f aca="false">00_Assumptions!$H$100</f>
        <v>14000</v>
      </c>
      <c r="I9" s="11" t="n">
        <f aca="false">00_Assumptions!$I$100</f>
        <v>22000</v>
      </c>
      <c r="J9" s="11" t="n">
        <f aca="false">00_Assumptions!$J$100</f>
        <v>30000</v>
      </c>
      <c r="K9" s="11" t="n">
        <f aca="false">00_Assumptions!$K$100</f>
        <v>30000</v>
      </c>
    </row>
    <row r="10" customFormat="false" ht="15" hidden="false" customHeight="false" outlineLevel="0" collapsed="false">
      <c r="A10" s="9" t="s">
        <v>2103</v>
      </c>
      <c r="B10" s="2" t="s">
        <v>14</v>
      </c>
      <c r="C10" s="2" t="s">
        <v>2104</v>
      </c>
      <c r="D10" s="65" t="s">
        <v>2081</v>
      </c>
      <c r="E10" s="65" t="s">
        <v>2081</v>
      </c>
      <c r="F10" s="65" t="s">
        <v>2081</v>
      </c>
      <c r="G10" s="31" t="n">
        <f aca="false">00_Assumptions!$G$115*00_Assumptions!$G$16</f>
        <v>3000</v>
      </c>
      <c r="H10" s="31" t="n">
        <f aca="false">00_Assumptions!$H$115*00_Assumptions!$G$16</f>
        <v>3750</v>
      </c>
      <c r="I10" s="31" t="n">
        <f aca="false">00_Assumptions!$I$115*00_Assumptions!$G$16</f>
        <v>4687.5</v>
      </c>
      <c r="J10" s="31" t="n">
        <f aca="false">00_Assumptions!$J$115*00_Assumptions!$G$16</f>
        <v>5859.375</v>
      </c>
      <c r="K10" s="31" t="n">
        <f aca="false">00_Assumptions!$K$115*00_Assumptions!$G$16</f>
        <v>7324.21875</v>
      </c>
    </row>
    <row r="11" customFormat="false" ht="15" hidden="false" customHeight="false" outlineLevel="0" collapsed="false">
      <c r="A11" s="9" t="s">
        <v>2105</v>
      </c>
      <c r="B11" s="2" t="s">
        <v>14</v>
      </c>
      <c r="C11" s="2" t="s">
        <v>2106</v>
      </c>
      <c r="D11" s="65" t="s">
        <v>2081</v>
      </c>
      <c r="E11" s="65" t="s">
        <v>2081</v>
      </c>
      <c r="F11" s="65" t="s">
        <v>2081</v>
      </c>
      <c r="G11" s="31" t="n">
        <f aca="false">01_Data!$D$92</f>
        <v>1500</v>
      </c>
      <c r="H11" s="31" t="n">
        <f aca="false">01_Data!$D$123</f>
        <v>0</v>
      </c>
      <c r="I11" s="31" t="n">
        <f aca="false">01_Data!$D$123</f>
        <v>0</v>
      </c>
      <c r="J11" s="31" t="n">
        <f aca="false">01_Data!$D$123</f>
        <v>0</v>
      </c>
      <c r="K11" s="31" t="n">
        <f aca="false">01_Data!$D$123</f>
        <v>0</v>
      </c>
    </row>
    <row r="12" customFormat="false" ht="15" hidden="false" customHeight="false" outlineLevel="0" collapsed="false">
      <c r="A12" s="9" t="s">
        <v>2107</v>
      </c>
      <c r="B12" s="2" t="s">
        <v>14</v>
      </c>
      <c r="C12" s="2" t="s">
        <v>2108</v>
      </c>
      <c r="G12" s="31" t="n">
        <f aca="false">00_Assumptions!$G$18</f>
        <v>1000</v>
      </c>
      <c r="H12" s="31" t="n">
        <f aca="false">00_Assumptions!$G$18</f>
        <v>1000</v>
      </c>
      <c r="I12" s="31" t="n">
        <f aca="false">00_Assumptions!$G$18</f>
        <v>1000</v>
      </c>
      <c r="J12" s="31" t="n">
        <f aca="false">00_Assumptions!$G$18</f>
        <v>1000</v>
      </c>
      <c r="K12" s="31" t="n">
        <f aca="false">00_Assumptions!$G$18</f>
        <v>1000</v>
      </c>
    </row>
    <row r="13" customFormat="false" ht="15" hidden="false" customHeight="false" outlineLevel="0" collapsed="false">
      <c r="A13" s="9" t="s">
        <v>2109</v>
      </c>
      <c r="B13" s="2" t="s">
        <v>14</v>
      </c>
      <c r="C13" s="2" t="s">
        <v>2110</v>
      </c>
      <c r="G13" s="31" t="n">
        <f aca="false">00_Assumptions!$G$19</f>
        <v>2000</v>
      </c>
      <c r="H13" s="31" t="n">
        <f aca="false">00_Assumptions!$G$19</f>
        <v>2000</v>
      </c>
      <c r="I13" s="31" t="n">
        <f aca="false">00_Assumptions!$G$19</f>
        <v>2000</v>
      </c>
      <c r="J13" s="31" t="n">
        <f aca="false">00_Assumptions!$G$19</f>
        <v>2000</v>
      </c>
      <c r="K13" s="31" t="n">
        <f aca="false">00_Assumptions!$G$19</f>
        <v>2000</v>
      </c>
    </row>
    <row r="14" customFormat="false" ht="15" hidden="false" customHeight="false" outlineLevel="0" collapsed="false">
      <c r="A14" s="9" t="s">
        <v>2111</v>
      </c>
      <c r="B14" s="2" t="s">
        <v>14</v>
      </c>
      <c r="C14" s="2" t="s">
        <v>2112</v>
      </c>
      <c r="G14" s="31" t="n">
        <f aca="false">00_Assumptions!$G$20</f>
        <v>85</v>
      </c>
      <c r="H14" s="31" t="n">
        <f aca="false">00_Assumptions!$G$20</f>
        <v>85</v>
      </c>
      <c r="I14" s="31" t="n">
        <f aca="false">00_Assumptions!$G$20</f>
        <v>85</v>
      </c>
      <c r="J14" s="31" t="n">
        <f aca="false">00_Assumptions!$G$20</f>
        <v>85</v>
      </c>
      <c r="K14" s="31" t="n">
        <f aca="false">00_Assumptions!$G$20</f>
        <v>85</v>
      </c>
    </row>
    <row r="15" customFormat="false" ht="15" hidden="false" customHeight="false" outlineLevel="0" collapsed="false">
      <c r="A15" s="9" t="s">
        <v>2113</v>
      </c>
      <c r="B15" s="2" t="s">
        <v>14</v>
      </c>
      <c r="C15" s="2" t="s">
        <v>2114</v>
      </c>
      <c r="G15" s="31" t="n">
        <f aca="false">G10*00_Assumptions!$G$21</f>
        <v>1500</v>
      </c>
      <c r="H15" s="31" t="n">
        <f aca="false">H10*00_Assumptions!$G$21</f>
        <v>1875</v>
      </c>
      <c r="I15" s="31" t="n">
        <f aca="false">I10*00_Assumptions!$G$21</f>
        <v>2343.75</v>
      </c>
      <c r="J15" s="31" t="n">
        <f aca="false">J10*00_Assumptions!$G$21</f>
        <v>2929.6875</v>
      </c>
      <c r="K15" s="31" t="n">
        <f aca="false">K10*00_Assumptions!$G$21</f>
        <v>3662.109375</v>
      </c>
    </row>
    <row r="16" customFormat="false" ht="15" hidden="false" customHeight="false" outlineLevel="0" collapsed="false">
      <c r="A16" s="3" t="s">
        <v>2115</v>
      </c>
      <c r="B16" s="2" t="s">
        <v>14</v>
      </c>
      <c r="C16" s="2" t="s">
        <v>2116</v>
      </c>
      <c r="D16" s="65" t="s">
        <v>2081</v>
      </c>
      <c r="E16" s="65" t="s">
        <v>2081</v>
      </c>
      <c r="F16" s="65" t="s">
        <v>2081</v>
      </c>
      <c r="G16" s="64" t="n">
        <f aca="false">SUM(G10:G15)</f>
        <v>9085</v>
      </c>
      <c r="H16" s="64" t="n">
        <f aca="false">SUM(H10:H15)</f>
        <v>8710</v>
      </c>
      <c r="I16" s="64" t="n">
        <f aca="false">SUM(I10:I15)</f>
        <v>10116.25</v>
      </c>
      <c r="J16" s="64" t="n">
        <f aca="false">SUM(J10:J15)</f>
        <v>11874.0625</v>
      </c>
      <c r="K16" s="64" t="n">
        <f aca="false">SUM(K10:K15)</f>
        <v>14071.328125</v>
      </c>
    </row>
    <row r="17" customFormat="false" ht="15" hidden="false" customHeight="false" outlineLevel="0" collapsed="false">
      <c r="A17" s="9" t="s">
        <v>2117</v>
      </c>
      <c r="B17" s="2" t="s">
        <v>14</v>
      </c>
      <c r="C17" s="2" t="s">
        <v>2118</v>
      </c>
      <c r="D17" s="31" t="n">
        <f aca="false">09_Obligations!D62</f>
        <v>0</v>
      </c>
      <c r="E17" s="31" t="n">
        <f aca="false">09_Obligations!E62</f>
        <v>0</v>
      </c>
      <c r="F17" s="31" t="n">
        <f aca="false">09_Obligations!F62</f>
        <v>0</v>
      </c>
      <c r="G17" s="31" t="n">
        <f aca="false">09_Obligations!G62</f>
        <v>3450</v>
      </c>
      <c r="H17" s="31" t="n">
        <f aca="false">09_Obligations!H62</f>
        <v>6900</v>
      </c>
      <c r="I17" s="31" t="n">
        <f aca="false">09_Obligations!I62</f>
        <v>6900</v>
      </c>
      <c r="J17" s="31" t="n">
        <f aca="false">09_Obligations!J62</f>
        <v>6900</v>
      </c>
      <c r="K17" s="31" t="n">
        <f aca="false">09_Obligations!K62</f>
        <v>6900</v>
      </c>
    </row>
    <row r="18" customFormat="false" ht="15" hidden="false" customHeight="false" outlineLevel="0" collapsed="false">
      <c r="A18" s="9" t="s">
        <v>2119</v>
      </c>
      <c r="B18" s="2" t="s">
        <v>14</v>
      </c>
      <c r="C18" s="2" t="s">
        <v>2120</v>
      </c>
      <c r="D18" s="31" t="n">
        <f aca="false">09_Obligations!D63</f>
        <v>0</v>
      </c>
      <c r="E18" s="31" t="n">
        <f aca="false">09_Obligations!E63</f>
        <v>0</v>
      </c>
      <c r="F18" s="31" t="n">
        <f aca="false">09_Obligations!F63</f>
        <v>0</v>
      </c>
      <c r="G18" s="31" t="n">
        <f aca="false">09_Obligations!G63</f>
        <v>24708.3333333333</v>
      </c>
      <c r="H18" s="31" t="n">
        <f aca="false">09_Obligations!H63</f>
        <v>40830</v>
      </c>
      <c r="I18" s="31" t="n">
        <f aca="false">09_Obligations!I63</f>
        <v>46455</v>
      </c>
      <c r="J18" s="31" t="n">
        <f aca="false">09_Obligations!J63</f>
        <v>37705</v>
      </c>
      <c r="K18" s="31" t="n">
        <f aca="false">09_Obligations!K63</f>
        <v>31455</v>
      </c>
    </row>
    <row r="19" customFormat="false" ht="15" hidden="false" customHeight="false" outlineLevel="0" collapsed="false">
      <c r="A19" s="3" t="s">
        <v>2121</v>
      </c>
      <c r="B19" s="2" t="s">
        <v>14</v>
      </c>
      <c r="C19" s="2" t="s">
        <v>1554</v>
      </c>
      <c r="D19" s="64" t="n">
        <f aca="false">D17+D18</f>
        <v>0</v>
      </c>
      <c r="E19" s="64" t="n">
        <f aca="false">E17+E18</f>
        <v>0</v>
      </c>
      <c r="F19" s="64" t="n">
        <f aca="false">F17+F18</f>
        <v>0</v>
      </c>
      <c r="G19" s="64" t="n">
        <f aca="false">G17+G18</f>
        <v>28158.3333333333</v>
      </c>
      <c r="H19" s="64" t="n">
        <f aca="false">H17+H18</f>
        <v>47730</v>
      </c>
      <c r="I19" s="64" t="n">
        <f aca="false">I17+I18</f>
        <v>53355</v>
      </c>
      <c r="J19" s="64" t="n">
        <f aca="false">J17+J18</f>
        <v>44605</v>
      </c>
      <c r="K19" s="64" t="n">
        <f aca="false">K17+K18</f>
        <v>38355</v>
      </c>
    </row>
    <row r="20" customFormat="false" ht="15" hidden="false" customHeight="false" outlineLevel="0" collapsed="false">
      <c r="A20" s="3" t="s">
        <v>2122</v>
      </c>
      <c r="B20" s="2" t="s">
        <v>14</v>
      </c>
      <c r="C20" s="2" t="s">
        <v>2123</v>
      </c>
      <c r="G20" s="64" t="n">
        <f aca="false">G8+G9</f>
        <v>35838.4</v>
      </c>
      <c r="H20" s="64" t="n">
        <f aca="false">H8+H9</f>
        <v>67650</v>
      </c>
      <c r="I20" s="64" t="n">
        <f aca="false">I8+I9</f>
        <v>79000</v>
      </c>
      <c r="J20" s="64" t="n">
        <f aca="false">J8+J9</f>
        <v>94757.2413793104</v>
      </c>
      <c r="K20" s="64" t="n">
        <f aca="false">K8+K9</f>
        <v>104604.808085612</v>
      </c>
    </row>
    <row r="21" customFormat="false" ht="15" hidden="false" customHeight="false" outlineLevel="0" collapsed="false">
      <c r="A21" s="3" t="s">
        <v>2124</v>
      </c>
      <c r="B21" s="2" t="s">
        <v>14</v>
      </c>
      <c r="C21" s="2" t="s">
        <v>1554</v>
      </c>
      <c r="G21" s="64" t="n">
        <f aca="false">G20+G16</f>
        <v>44923.4</v>
      </c>
      <c r="H21" s="64" t="n">
        <f aca="false">H20+H16</f>
        <v>76360</v>
      </c>
      <c r="I21" s="64" t="n">
        <f aca="false">I20+I16</f>
        <v>89116.25</v>
      </c>
      <c r="J21" s="64" t="n">
        <f aca="false">J20+J16</f>
        <v>106631.30387931</v>
      </c>
      <c r="K21" s="64" t="n">
        <f aca="false">K20+K16</f>
        <v>118676.136210612</v>
      </c>
    </row>
    <row r="22" customFormat="false" ht="15" hidden="false" customHeight="false" outlineLevel="0" collapsed="false">
      <c r="A22" s="9" t="s">
        <v>2125</v>
      </c>
      <c r="B22" s="2" t="s">
        <v>14</v>
      </c>
      <c r="C22" s="2" t="s">
        <v>2126</v>
      </c>
      <c r="G22" s="32" t="n">
        <f aca="false">G20-G19</f>
        <v>7680.06666666666</v>
      </c>
      <c r="H22" s="32" t="n">
        <f aca="false">H20-H19</f>
        <v>19920</v>
      </c>
      <c r="I22" s="32" t="n">
        <f aca="false">I20-I19</f>
        <v>25645</v>
      </c>
      <c r="J22" s="32" t="n">
        <f aca="false">J20-J19</f>
        <v>50152.2413793104</v>
      </c>
      <c r="K22" s="32" t="n">
        <f aca="false">K20-K19</f>
        <v>66249.8080856124</v>
      </c>
    </row>
    <row r="23" customFormat="false" ht="15" hidden="false" customHeight="false" outlineLevel="0" collapsed="false">
      <c r="A23" s="2" t="s">
        <v>2127</v>
      </c>
    </row>
    <row r="25" customFormat="false" ht="15" hidden="false" customHeight="false" outlineLevel="0" collapsed="false">
      <c r="A25" s="24" t="s">
        <v>2128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customFormat="false" ht="15" hidden="false" customHeight="false" outlineLevel="0" collapsed="false">
      <c r="A26" s="34" t="s">
        <v>306</v>
      </c>
      <c r="B26" s="59" t="s">
        <v>6</v>
      </c>
      <c r="C26" s="59" t="s">
        <v>2094</v>
      </c>
      <c r="D26" s="35" t="str">
        <f aca="false">00_Assumptions!$D$3</f>
        <v>2023A</v>
      </c>
      <c r="E26" s="35" t="str">
        <f aca="false">00_Assumptions!$E$3</f>
        <v>2024A</v>
      </c>
      <c r="F26" s="35" t="str">
        <f aca="false">00_Assumptions!$F$3</f>
        <v>2025A</v>
      </c>
      <c r="G26" s="35" t="str">
        <f aca="false">00_Assumptions!$G$3</f>
        <v>2026E</v>
      </c>
      <c r="H26" s="35" t="str">
        <f aca="false">00_Assumptions!$H$3</f>
        <v>2027E</v>
      </c>
      <c r="I26" s="35" t="str">
        <f aca="false">00_Assumptions!$I$3</f>
        <v>2028E</v>
      </c>
      <c r="J26" s="35" t="str">
        <f aca="false">00_Assumptions!$J$3</f>
        <v>2029E</v>
      </c>
      <c r="K26" s="35" t="str">
        <f aca="false">00_Assumptions!$K$3</f>
        <v>2030E</v>
      </c>
    </row>
    <row r="27" customFormat="false" ht="15" hidden="false" customHeight="false" outlineLevel="0" collapsed="false">
      <c r="A27" s="3" t="s">
        <v>2129</v>
      </c>
      <c r="B27" s="2" t="s">
        <v>18</v>
      </c>
      <c r="C27" s="2" t="s">
        <v>2096</v>
      </c>
      <c r="D27" s="65" t="s">
        <v>2081</v>
      </c>
      <c r="E27" s="65" t="s">
        <v>2081</v>
      </c>
      <c r="F27" s="11" t="n">
        <f aca="false">02_Revenue!F78</f>
        <v>13100</v>
      </c>
      <c r="G27" s="11" t="n">
        <f aca="false">02_Revenue!G78</f>
        <v>38118.7</v>
      </c>
      <c r="H27" s="11" t="n">
        <f aca="false">02_Revenue!H78</f>
        <v>64801.79</v>
      </c>
      <c r="I27" s="11" t="n">
        <f aca="false">02_Revenue!I78</f>
        <v>110163.043</v>
      </c>
      <c r="J27" s="11" t="n">
        <f aca="false">02_Revenue!J78</f>
        <v>187277.1731</v>
      </c>
      <c r="K27" s="11" t="n">
        <f aca="false">02_Revenue!K78</f>
        <v>318371.19427</v>
      </c>
    </row>
    <row r="28" customFormat="false" ht="15" hidden="false" customHeight="false" outlineLevel="0" collapsed="false">
      <c r="A28" s="9" t="s">
        <v>2130</v>
      </c>
      <c r="B28" s="2" t="s">
        <v>24</v>
      </c>
      <c r="C28" s="2" t="s">
        <v>2131</v>
      </c>
      <c r="D28" s="65" t="s">
        <v>2081</v>
      </c>
      <c r="E28" s="65" t="s">
        <v>2081</v>
      </c>
      <c r="F28" s="51" t="n">
        <f aca="false">1-01_Data!$D$167</f>
        <v>0.67</v>
      </c>
      <c r="G28" s="51" t="n">
        <f aca="false">IFERROR(01_Data!$D$166/G27,0)</f>
        <v>0.369897189568375</v>
      </c>
      <c r="H28" s="51" t="n">
        <f aca="false">00_Assumptions!$H$105</f>
        <v>0.4</v>
      </c>
      <c r="I28" s="51" t="n">
        <f aca="false">00_Assumptions!$I$105</f>
        <v>0.38</v>
      </c>
      <c r="J28" s="51" t="n">
        <f aca="false">00_Assumptions!$J$105</f>
        <v>0.36</v>
      </c>
      <c r="K28" s="51" t="n">
        <f aca="false">00_Assumptions!$K$105</f>
        <v>0.34</v>
      </c>
    </row>
    <row r="29" customFormat="false" ht="15" hidden="false" customHeight="false" outlineLevel="0" collapsed="false">
      <c r="A29" s="3" t="s">
        <v>2132</v>
      </c>
      <c r="B29" s="2" t="s">
        <v>14</v>
      </c>
      <c r="C29" s="2" t="s">
        <v>2133</v>
      </c>
      <c r="D29" s="65" t="s">
        <v>2081</v>
      </c>
      <c r="E29" s="65" t="s">
        <v>2081</v>
      </c>
      <c r="F29" s="11" t="n">
        <f aca="false">01_Data!$D$141*(1-01_Data!$D$167)</f>
        <v>8777</v>
      </c>
      <c r="G29" s="11" t="n">
        <f aca="false">01_Data!$D$166</f>
        <v>14100</v>
      </c>
      <c r="H29" s="64" t="n">
        <f aca="false">H27*H28</f>
        <v>25920.716</v>
      </c>
      <c r="I29" s="64" t="n">
        <f aca="false">I27*I28</f>
        <v>41861.95634</v>
      </c>
      <c r="J29" s="64" t="n">
        <f aca="false">J27*J28</f>
        <v>67419.782316</v>
      </c>
      <c r="K29" s="64" t="n">
        <f aca="false">K27*K28</f>
        <v>108246.2060518</v>
      </c>
    </row>
    <row r="30" customFormat="false" ht="15" hidden="false" customHeight="false" outlineLevel="0" collapsed="false">
      <c r="A30" s="9" t="s">
        <v>2134</v>
      </c>
      <c r="B30" s="2" t="s">
        <v>14</v>
      </c>
      <c r="C30" s="2" t="s">
        <v>2135</v>
      </c>
      <c r="F30" s="31" t="n">
        <f aca="false">01_Data!$D$165</f>
        <v>8400</v>
      </c>
      <c r="G30" s="31" t="n">
        <f aca="false">01_Data!$D$166</f>
        <v>14100</v>
      </c>
    </row>
    <row r="31" customFormat="false" ht="15" hidden="false" customHeight="false" outlineLevel="0" collapsed="false">
      <c r="A31" s="3" t="s">
        <v>2136</v>
      </c>
      <c r="B31" s="2" t="s">
        <v>14</v>
      </c>
      <c r="C31" s="2" t="s">
        <v>2102</v>
      </c>
      <c r="D31" s="65" t="s">
        <v>2081</v>
      </c>
      <c r="E31" s="65" t="s">
        <v>2081</v>
      </c>
      <c r="F31" s="65" t="s">
        <v>2081</v>
      </c>
      <c r="G31" s="11" t="n">
        <f aca="false">00_Assumptions!$G$110</f>
        <v>25000</v>
      </c>
      <c r="H31" s="11" t="n">
        <f aca="false">00_Assumptions!$H$110</f>
        <v>60000</v>
      </c>
      <c r="I31" s="11" t="n">
        <f aca="false">00_Assumptions!$I$110</f>
        <v>112000</v>
      </c>
      <c r="J31" s="11" t="n">
        <f aca="false">00_Assumptions!$J$110</f>
        <v>120000</v>
      </c>
      <c r="K31" s="11" t="n">
        <f aca="false">00_Assumptions!$K$110</f>
        <v>90000</v>
      </c>
    </row>
    <row r="32" customFormat="false" ht="15" hidden="false" customHeight="false" outlineLevel="0" collapsed="false">
      <c r="A32" s="9" t="s">
        <v>2137</v>
      </c>
      <c r="B32" s="2" t="s">
        <v>14</v>
      </c>
      <c r="C32" s="2" t="s">
        <v>2138</v>
      </c>
      <c r="D32" s="65" t="s">
        <v>2081</v>
      </c>
      <c r="E32" s="65" t="s">
        <v>2081</v>
      </c>
      <c r="F32" s="65" t="s">
        <v>2081</v>
      </c>
      <c r="G32" s="31" t="n">
        <f aca="false">00_Assumptions!$G$120*00_Assumptions!$G$33</f>
        <v>4375</v>
      </c>
      <c r="H32" s="31" t="n">
        <f aca="false">00_Assumptions!$H$120*00_Assumptions!$G$33</f>
        <v>6720</v>
      </c>
      <c r="I32" s="31" t="n">
        <f aca="false">00_Assumptions!$I$120*00_Assumptions!$G$33</f>
        <v>8064</v>
      </c>
      <c r="J32" s="31" t="n">
        <f aca="false">00_Assumptions!$J$120*00_Assumptions!$G$33</f>
        <v>9676.8</v>
      </c>
      <c r="K32" s="31" t="n">
        <f aca="false">00_Assumptions!$K$120*00_Assumptions!$G$33</f>
        <v>11612.16</v>
      </c>
    </row>
    <row r="33" customFormat="false" ht="15" hidden="false" customHeight="false" outlineLevel="0" collapsed="false">
      <c r="A33" s="9" t="s">
        <v>2139</v>
      </c>
      <c r="B33" s="2" t="s">
        <v>14</v>
      </c>
      <c r="C33" s="2" t="s">
        <v>2140</v>
      </c>
      <c r="F33" s="31" t="n">
        <f aca="false">01_Data!$D$171*01_Data!$D$172/01_Data!$D$173</f>
        <v>750</v>
      </c>
      <c r="G33" s="31" t="n">
        <f aca="false">01_Data!$D$171*01_Data!$D$172/01_Data!$D$173</f>
        <v>750</v>
      </c>
      <c r="H33" s="31" t="n">
        <f aca="false">01_Data!$D$123</f>
        <v>0</v>
      </c>
      <c r="I33" s="31" t="n">
        <f aca="false">01_Data!$D$123</f>
        <v>0</v>
      </c>
      <c r="J33" s="31" t="n">
        <f aca="false">01_Data!$D$123</f>
        <v>0</v>
      </c>
      <c r="K33" s="31" t="n">
        <f aca="false">01_Data!$D$123</f>
        <v>0</v>
      </c>
    </row>
    <row r="34" customFormat="false" ht="15" hidden="false" customHeight="false" outlineLevel="0" collapsed="false">
      <c r="A34" s="9" t="s">
        <v>2141</v>
      </c>
      <c r="B34" s="2" t="s">
        <v>14</v>
      </c>
      <c r="C34" s="2" t="s">
        <v>2142</v>
      </c>
      <c r="G34" s="31" t="n">
        <f aca="false">01_Data!$D$123</f>
        <v>0</v>
      </c>
      <c r="H34" s="31" t="n">
        <f aca="false">MAX(0,00_Assumptions!$G$28*H27-H32-H33)</f>
        <v>12720.537</v>
      </c>
      <c r="I34" s="31" t="n">
        <f aca="false">MAX(0,00_Assumptions!$G$28*I27-I32-I33)</f>
        <v>24984.9129</v>
      </c>
      <c r="J34" s="31" t="n">
        <f aca="false">MAX(0,00_Assumptions!$G$28*J27-J32-J33)</f>
        <v>46506.35193</v>
      </c>
      <c r="K34" s="31" t="n">
        <f aca="false">MAX(0,00_Assumptions!$G$28*K27-K32-K33)</f>
        <v>83899.198281</v>
      </c>
    </row>
    <row r="35" customFormat="false" ht="15" hidden="false" customHeight="false" outlineLevel="0" collapsed="false">
      <c r="A35" s="3" t="s">
        <v>2143</v>
      </c>
      <c r="B35" s="2" t="s">
        <v>14</v>
      </c>
      <c r="C35" s="2" t="s">
        <v>2144</v>
      </c>
      <c r="D35" s="65" t="s">
        <v>2081</v>
      </c>
      <c r="E35" s="65" t="s">
        <v>2081</v>
      </c>
      <c r="F35" s="64" t="n">
        <f aca="false">F33</f>
        <v>750</v>
      </c>
      <c r="G35" s="64" t="n">
        <f aca="false">SUM(G32:G34)</f>
        <v>5125</v>
      </c>
      <c r="H35" s="64" t="n">
        <f aca="false">SUM(H32:H34)</f>
        <v>19440.537</v>
      </c>
      <c r="I35" s="64" t="n">
        <f aca="false">SUM(I32:I34)</f>
        <v>33048.9129</v>
      </c>
      <c r="J35" s="64" t="n">
        <f aca="false">SUM(J32:J34)</f>
        <v>56183.15193</v>
      </c>
      <c r="K35" s="64" t="n">
        <f aca="false">SUM(K32:K34)</f>
        <v>95511.358281</v>
      </c>
    </row>
    <row r="36" customFormat="false" ht="15" hidden="false" customHeight="false" outlineLevel="0" collapsed="false">
      <c r="A36" s="9" t="s">
        <v>2145</v>
      </c>
      <c r="B36" s="2" t="s">
        <v>14</v>
      </c>
      <c r="C36" s="2" t="s">
        <v>2146</v>
      </c>
      <c r="D36" s="31" t="n">
        <f aca="false">09_Obligations!D66</f>
        <v>0</v>
      </c>
      <c r="E36" s="31" t="n">
        <f aca="false">09_Obligations!E66</f>
        <v>0</v>
      </c>
      <c r="F36" s="31" t="n">
        <f aca="false">09_Obligations!F66</f>
        <v>0</v>
      </c>
      <c r="G36" s="31" t="n">
        <f aca="false">09_Obligations!G66</f>
        <v>5000</v>
      </c>
      <c r="H36" s="31" t="n">
        <f aca="false">09_Obligations!H66</f>
        <v>5000</v>
      </c>
      <c r="I36" s="31" t="n">
        <f aca="false">09_Obligations!I66</f>
        <v>5000</v>
      </c>
      <c r="J36" s="31" t="n">
        <f aca="false">09_Obligations!J66</f>
        <v>5000</v>
      </c>
      <c r="K36" s="31" t="n">
        <f aca="false">09_Obligations!K66</f>
        <v>0</v>
      </c>
    </row>
    <row r="37" customFormat="false" ht="15" hidden="false" customHeight="false" outlineLevel="0" collapsed="false">
      <c r="A37" s="9" t="s">
        <v>2147</v>
      </c>
      <c r="B37" s="2" t="s">
        <v>14</v>
      </c>
      <c r="C37" s="2" t="s">
        <v>2148</v>
      </c>
      <c r="D37" s="31" t="n">
        <f aca="false">09_Obligations!D67</f>
        <v>0</v>
      </c>
      <c r="E37" s="31" t="n">
        <f aca="false">09_Obligations!E67</f>
        <v>0</v>
      </c>
      <c r="F37" s="31" t="n">
        <f aca="false">09_Obligations!F67</f>
        <v>0</v>
      </c>
      <c r="G37" s="31" t="n">
        <f aca="false">09_Obligations!G67</f>
        <v>45083.3333333333</v>
      </c>
      <c r="H37" s="31" t="n">
        <f aca="false">09_Obligations!H67</f>
        <v>105083.333333333</v>
      </c>
      <c r="I37" s="31" t="n">
        <f aca="false">09_Obligations!I67</f>
        <v>105083.333333333</v>
      </c>
      <c r="J37" s="31" t="n">
        <f aca="false">09_Obligations!J67</f>
        <v>105083.333333333</v>
      </c>
      <c r="K37" s="31" t="n">
        <f aca="false">09_Obligations!K67</f>
        <v>105083.333333333</v>
      </c>
    </row>
    <row r="38" customFormat="false" ht="15" hidden="false" customHeight="false" outlineLevel="0" collapsed="false">
      <c r="A38" s="3" t="s">
        <v>2121</v>
      </c>
      <c r="B38" s="2" t="s">
        <v>14</v>
      </c>
      <c r="C38" s="2" t="s">
        <v>1554</v>
      </c>
      <c r="D38" s="64" t="n">
        <f aca="false">D36+D37</f>
        <v>0</v>
      </c>
      <c r="E38" s="64" t="n">
        <f aca="false">E36+E37</f>
        <v>0</v>
      </c>
      <c r="F38" s="64" t="n">
        <f aca="false">F36+F37</f>
        <v>0</v>
      </c>
      <c r="G38" s="64" t="n">
        <f aca="false">G36+G37</f>
        <v>50083.3333333333</v>
      </c>
      <c r="H38" s="64" t="n">
        <f aca="false">H36+H37</f>
        <v>110083.333333333</v>
      </c>
      <c r="I38" s="64" t="n">
        <f aca="false">I36+I37</f>
        <v>110083.333333333</v>
      </c>
      <c r="J38" s="64" t="n">
        <f aca="false">J36+J37</f>
        <v>110083.333333333</v>
      </c>
      <c r="K38" s="64" t="n">
        <f aca="false">K36+K37</f>
        <v>105083.333333333</v>
      </c>
    </row>
    <row r="39" customFormat="false" ht="15" hidden="false" customHeight="false" outlineLevel="0" collapsed="false">
      <c r="A39" s="3" t="s">
        <v>2122</v>
      </c>
      <c r="B39" s="2" t="s">
        <v>14</v>
      </c>
      <c r="C39" s="2" t="s">
        <v>1554</v>
      </c>
      <c r="G39" s="64" t="n">
        <f aca="false">G29+G31</f>
        <v>39100</v>
      </c>
      <c r="H39" s="64" t="n">
        <f aca="false">H29+H31</f>
        <v>85920.716</v>
      </c>
      <c r="I39" s="64" t="n">
        <f aca="false">I29+I31</f>
        <v>153861.95634</v>
      </c>
      <c r="J39" s="64" t="n">
        <f aca="false">J29+J31</f>
        <v>187419.782316</v>
      </c>
      <c r="K39" s="64" t="n">
        <f aca="false">K29+K31</f>
        <v>198246.2060518</v>
      </c>
    </row>
    <row r="40" customFormat="false" ht="15" hidden="false" customHeight="false" outlineLevel="0" collapsed="false">
      <c r="A40" s="3" t="s">
        <v>2124</v>
      </c>
      <c r="B40" s="2" t="s">
        <v>14</v>
      </c>
      <c r="C40" s="2" t="s">
        <v>1554</v>
      </c>
      <c r="G40" s="64" t="n">
        <f aca="false">G39+G35</f>
        <v>44225</v>
      </c>
      <c r="H40" s="64" t="n">
        <f aca="false">H39+H35</f>
        <v>105361.253</v>
      </c>
      <c r="I40" s="64" t="n">
        <f aca="false">I39+I35</f>
        <v>186910.86924</v>
      </c>
      <c r="J40" s="64" t="n">
        <f aca="false">J39+J35</f>
        <v>243602.934246</v>
      </c>
      <c r="K40" s="64" t="n">
        <f aca="false">K39+K35</f>
        <v>293757.5643328</v>
      </c>
    </row>
    <row r="41" customFormat="false" ht="15" hidden="false" customHeight="false" outlineLevel="0" collapsed="false">
      <c r="A41" s="2" t="s">
        <v>2149</v>
      </c>
    </row>
    <row r="44" customFormat="false" ht="15" hidden="false" customHeight="false" outlineLevel="0" collapsed="false">
      <c r="A44" s="24" t="s">
        <v>2150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customFormat="false" ht="15" hidden="false" customHeight="false" outlineLevel="0" collapsed="false">
      <c r="A45" s="3" t="s">
        <v>2151</v>
      </c>
    </row>
    <row r="46" customFormat="false" ht="15" hidden="false" customHeight="false" outlineLevel="0" collapsed="false">
      <c r="A46" s="8"/>
      <c r="B46" s="8"/>
      <c r="C46" s="8"/>
      <c r="D46" s="8" t="s">
        <v>2152</v>
      </c>
      <c r="E46" s="8" t="s">
        <v>2153</v>
      </c>
      <c r="F46" s="8" t="s">
        <v>2154</v>
      </c>
      <c r="G46" s="8" t="s">
        <v>2155</v>
      </c>
      <c r="H46" s="8" t="s">
        <v>2156</v>
      </c>
      <c r="I46" s="8" t="s">
        <v>2157</v>
      </c>
      <c r="J46" s="8" t="s">
        <v>2158</v>
      </c>
      <c r="K46" s="8" t="s">
        <v>2159</v>
      </c>
    </row>
    <row r="47" customFormat="false" ht="15" hidden="false" customHeight="false" outlineLevel="0" collapsed="false">
      <c r="A47" s="9" t="s">
        <v>2160</v>
      </c>
      <c r="C47" s="2" t="s">
        <v>2161</v>
      </c>
      <c r="D47" s="31" t="n">
        <f aca="false">01_Data!$D$297</f>
        <v>500</v>
      </c>
      <c r="E47" s="31" t="n">
        <f aca="false">01_Data!$D$298</f>
        <v>200</v>
      </c>
      <c r="F47" s="31" t="n">
        <f aca="false">01_Data!$D$299</f>
        <v>2</v>
      </c>
      <c r="G47" s="31" t="n">
        <f aca="false">01_Data!$D$300</f>
        <v>78</v>
      </c>
      <c r="H47" s="31" t="n">
        <f aca="false">01_Data!$D$301</f>
        <v>191</v>
      </c>
      <c r="I47" s="31" t="n">
        <f aca="false">01_Data!$D$302</f>
        <v>170</v>
      </c>
      <c r="J47" s="49" t="n">
        <f aca="false">01_Data!$D$303</f>
        <v>2.4</v>
      </c>
      <c r="K47" s="31" t="n">
        <f aca="false">01_Data!$D$304</f>
        <v>1000</v>
      </c>
    </row>
    <row r="48" customFormat="false" ht="15" hidden="false" customHeight="false" outlineLevel="0" collapsed="false">
      <c r="A48" s="2" t="s">
        <v>2162</v>
      </c>
    </row>
    <row r="49" customFormat="false" ht="15" hidden="false" customHeight="false" outlineLevel="0" collapsed="false">
      <c r="A49" s="3" t="s">
        <v>2163</v>
      </c>
      <c r="D49" s="31" t="n">
        <f aca="false">LB_07a</f>
        <v>50000</v>
      </c>
      <c r="E49" s="31" t="n">
        <f aca="false">-01_Data!$D$161</f>
        <v>-25000</v>
      </c>
      <c r="F49" s="31" t="n">
        <f aca="false">-01_Data!$D$166</f>
        <v>-14100</v>
      </c>
      <c r="G49" s="64" t="n">
        <f aca="false">D49+E49+F49</f>
        <v>10900</v>
      </c>
      <c r="H49" s="7" t="str">
        <f aca="false">IF(ABS((G49)-00_Assumptions!$D$184)&lt;=00_Assumptions!$E$184,"PASS","FAIL: "&amp;TEXT((G49)-00_Assumptions!$D$184,"#,##0.000"))</f>
        <v>PASS</v>
      </c>
      <c r="I49" s="2" t="s">
        <v>2164</v>
      </c>
    </row>
    <row r="51" customFormat="false" ht="15" hidden="false" customHeight="false" outlineLevel="0" collapsed="false">
      <c r="A51" s="3" t="s">
        <v>2165</v>
      </c>
    </row>
    <row r="52" customFormat="false" ht="15" hidden="false" customHeight="false" outlineLevel="0" collapsed="false">
      <c r="A52" s="8" t="s">
        <v>2166</v>
      </c>
      <c r="B52" s="8" t="s">
        <v>6</v>
      </c>
      <c r="C52" s="8" t="s">
        <v>2048</v>
      </c>
      <c r="D52" s="8" t="s">
        <v>1979</v>
      </c>
      <c r="E52" s="8" t="s">
        <v>2167</v>
      </c>
      <c r="F52" s="8" t="s">
        <v>2168</v>
      </c>
      <c r="G52" s="8" t="s">
        <v>12</v>
      </c>
    </row>
    <row r="53" customFormat="false" ht="15" hidden="false" customHeight="false" outlineLevel="0" collapsed="false">
      <c r="A53" s="9" t="s">
        <v>2169</v>
      </c>
      <c r="B53" s="2" t="s">
        <v>18</v>
      </c>
      <c r="C53" s="2" t="s">
        <v>2170</v>
      </c>
      <c r="D53" s="31" t="n">
        <f aca="false">LB_05a</f>
        <v>11600</v>
      </c>
      <c r="E53" s="31" t="n">
        <f aca="false">LB_05a*(1-01_Data!$D$36)</f>
        <v>6989</v>
      </c>
      <c r="F53" s="31" t="n">
        <f aca="false">LB_05a*(1-01_Data!$D$37)</f>
        <v>8468</v>
      </c>
    </row>
    <row r="54" customFormat="false" ht="15" hidden="false" customHeight="false" outlineLevel="0" collapsed="false">
      <c r="A54" s="9" t="s">
        <v>2171</v>
      </c>
      <c r="B54" s="2" t="s">
        <v>24</v>
      </c>
      <c r="C54" s="31" t="n">
        <f aca="false">00_Assumptions!$D$15</f>
        <v>3000</v>
      </c>
      <c r="D54" s="51" t="n">
        <f aca="false">(LB_05b+$C54)/D$53</f>
        <v>0.306810344827586</v>
      </c>
      <c r="E54" s="51" t="n">
        <f aca="false">(LB_05b+$C54)/E$53</f>
        <v>0.509228788095579</v>
      </c>
      <c r="F54" s="51" t="n">
        <f aca="false">(LB_05b+$C54)/F$53</f>
        <v>0.420288143599433</v>
      </c>
      <c r="G54" s="7" t="str">
        <f aca="false">IF(ABS((D54)-00_Assumptions!$D$185)&lt;=00_Assumptions!$E$185,"PASS","FAIL: "&amp;TEXT((D54)-00_Assumptions!$D$185,"#,##0.000"))</f>
        <v>PASS</v>
      </c>
      <c r="H54" s="7" t="str">
        <f aca="false">IF(ABS((E54)-00_Assumptions!$D$186)&lt;=00_Assumptions!$E$186,"PASS","FAIL: "&amp;TEXT((E54)-00_Assumptions!$D$186,"#,##0.000"))</f>
        <v>PASS</v>
      </c>
      <c r="I54" s="2" t="s">
        <v>2172</v>
      </c>
    </row>
    <row r="55" customFormat="false" ht="15" hidden="false" customHeight="false" outlineLevel="0" collapsed="false">
      <c r="A55" s="9" t="s">
        <v>2173</v>
      </c>
      <c r="B55" s="2" t="s">
        <v>24</v>
      </c>
      <c r="C55" s="31" t="n">
        <f aca="false">00_Assumptions!$E$15</f>
        <v>4000</v>
      </c>
      <c r="D55" s="51" t="n">
        <f aca="false">(LB_05b+$C55)/D$53</f>
        <v>0.39301724137931</v>
      </c>
      <c r="E55" s="51" t="n">
        <f aca="false">(LB_05b+$C55)/E$53</f>
        <v>0.652310774073544</v>
      </c>
      <c r="F55" s="51" t="n">
        <f aca="false">(LB_05b+$C55)/F$53</f>
        <v>0.538379782711384</v>
      </c>
    </row>
    <row r="56" customFormat="false" ht="15" hidden="false" customHeight="false" outlineLevel="0" collapsed="false">
      <c r="A56" s="9" t="s">
        <v>2174</v>
      </c>
      <c r="B56" s="2" t="s">
        <v>24</v>
      </c>
      <c r="C56" s="31" t="n">
        <f aca="false">00_Assumptions!$F$15</f>
        <v>5000</v>
      </c>
      <c r="D56" s="51" t="n">
        <f aca="false">(LB_05b+$C56)/D$53</f>
        <v>0.479224137931034</v>
      </c>
      <c r="E56" s="51" t="n">
        <f aca="false">(LB_05b+$C56)/E$53</f>
        <v>0.79539276005151</v>
      </c>
      <c r="F56" s="51" t="n">
        <f aca="false">(LB_05b+$C56)/F$53</f>
        <v>0.656471421823335</v>
      </c>
    </row>
    <row r="57" customFormat="false" ht="15" hidden="false" customHeight="false" outlineLevel="0" collapsed="false">
      <c r="A57" s="9" t="s">
        <v>2175</v>
      </c>
      <c r="D57" s="13" t="n">
        <f aca="false">1-01_Data!$D$120</f>
        <v>0.44</v>
      </c>
      <c r="E57" s="13" t="n">
        <f aca="false">1-01_Data!$D$119</f>
        <v>0.29</v>
      </c>
    </row>
    <row r="58" customFormat="false" ht="15" hidden="false" customHeight="false" outlineLevel="0" collapsed="false">
      <c r="A58" s="9" t="s">
        <v>2176</v>
      </c>
      <c r="D58" s="66" t="n">
        <f aca="false">1-01_Data!$D$120-SW_HAIRCUT</f>
        <v>0.0424999999999999</v>
      </c>
      <c r="E58" s="66" t="n">
        <f aca="false">1-01_Data!$D$120-01_Data!$D$36</f>
        <v>0.0424999999999999</v>
      </c>
      <c r="F58" s="66" t="n">
        <f aca="false">1-01_Data!$D$120-01_Data!$D$37</f>
        <v>0.17</v>
      </c>
    </row>
    <row r="59" customFormat="false" ht="15" hidden="false" customHeight="false" outlineLevel="0" collapsed="false">
      <c r="A59" s="9" t="s">
        <v>2177</v>
      </c>
      <c r="D59" s="51" t="n">
        <f aca="false">00_Assumptions!$D$15/LB_05a</f>
        <v>0.258620689655172</v>
      </c>
      <c r="E59" s="61" t="str">
        <f aca="false">IF(D58&lt;D59,"INCONSISTENT: a positive adjusted result is impossible if partner payouts sit beside compute at this haircut; either the 0.56 already contains the payouts or the effective payout share is well below 39.75% (a datapoint against the C-13 internal branch; T4 on both legs)","consistent")</f>
        <v>INCONSISTENT: a positive adjusted result is impossible if partner payouts sit beside compute at this haircut; either the 0.56 already contains the payouts or the effective payout share is well below 39.75% (a datapoint against the C-13 internal branch; T4 on both legs)</v>
      </c>
    </row>
    <row r="60" customFormat="false" ht="15" hidden="false" customHeight="false" outlineLevel="0" collapsed="false">
      <c r="A60" s="2" t="s">
        <v>2178</v>
      </c>
    </row>
    <row r="62" customFormat="false" ht="15" hidden="false" customHeight="false" outlineLevel="0" collapsed="false">
      <c r="A62" s="24" t="s">
        <v>2179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customFormat="false" ht="15" hidden="false" customHeight="false" outlineLevel="0" collapsed="false">
      <c r="A63" s="8" t="s">
        <v>2180</v>
      </c>
      <c r="B63" s="8" t="s">
        <v>2181</v>
      </c>
      <c r="C63" s="8" t="s">
        <v>2182</v>
      </c>
      <c r="D63" s="8" t="s">
        <v>12</v>
      </c>
    </row>
    <row r="64" customFormat="false" ht="15" hidden="false" customHeight="false" outlineLevel="0" collapsed="false">
      <c r="A64" s="9" t="s">
        <v>2183</v>
      </c>
      <c r="B64" s="48" t="n">
        <f aca="false">01_Data!$D$109</f>
        <v>10</v>
      </c>
      <c r="C64" s="48" t="n">
        <f aca="false">01_Data!$D$110</f>
        <v>50</v>
      </c>
      <c r="D64" s="2" t="s">
        <v>810</v>
      </c>
    </row>
    <row r="65" customFormat="false" ht="15" hidden="false" customHeight="false" outlineLevel="0" collapsed="false">
      <c r="A65" s="9" t="s">
        <v>2184</v>
      </c>
      <c r="B65" s="48" t="n">
        <f aca="false">01_Data!$D$111</f>
        <v>5</v>
      </c>
      <c r="C65" s="48" t="n">
        <f aca="false">01_Data!$D$112</f>
        <v>25</v>
      </c>
      <c r="D65" s="2" t="s">
        <v>810</v>
      </c>
    </row>
    <row r="66" customFormat="false" ht="15" hidden="false" customHeight="false" outlineLevel="0" collapsed="false">
      <c r="A66" s="9" t="s">
        <v>2185</v>
      </c>
      <c r="B66" s="48" t="n">
        <f aca="false">01_Data!$D$113</f>
        <v>2</v>
      </c>
      <c r="C66" s="48" t="n">
        <f aca="false">01_Data!$D$114</f>
        <v>10</v>
      </c>
      <c r="D66" s="2" t="s">
        <v>810</v>
      </c>
    </row>
    <row r="67" customFormat="false" ht="15" hidden="false" customHeight="false" outlineLevel="0" collapsed="false">
      <c r="A67" s="9" t="s">
        <v>2186</v>
      </c>
      <c r="B67" s="48" t="n">
        <f aca="false">01_Data!$D$115</f>
        <v>1</v>
      </c>
      <c r="C67" s="48" t="n">
        <f aca="false">01_Data!$D$116</f>
        <v>5</v>
      </c>
      <c r="D67" s="2" t="s">
        <v>810</v>
      </c>
    </row>
    <row r="68" customFormat="false" ht="15" hidden="false" customHeight="false" outlineLevel="0" collapsed="false">
      <c r="A68" s="9" t="s">
        <v>2187</v>
      </c>
      <c r="B68" s="49" t="n">
        <f aca="false">01_Data!$D$117</f>
        <v>2</v>
      </c>
      <c r="C68" s="48" t="n">
        <f aca="false">01_Data!$D$118</f>
        <v>0.25</v>
      </c>
    </row>
    <row r="69" customFormat="false" ht="15" hidden="false" customHeight="false" outlineLevel="0" collapsed="false">
      <c r="A69" s="9" t="s">
        <v>2188</v>
      </c>
      <c r="B69" s="44" t="s">
        <v>2081</v>
      </c>
      <c r="D69" s="2" t="s">
        <v>2189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K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0"/>
    <col collapsed="false" customWidth="true" hidden="false" outlineLevel="0" max="3" min="3" style="1" width="34"/>
    <col collapsed="false" customWidth="true" hidden="false" outlineLevel="0" max="11" min="4" style="1" width="12"/>
  </cols>
  <sheetData>
    <row r="1" customFormat="false" ht="15" hidden="false" customHeight="false" outlineLevel="0" collapsed="false">
      <c r="A1" s="2" t="s">
        <v>2190</v>
      </c>
    </row>
    <row r="3" customFormat="false" ht="15" hidden="false" customHeight="false" outlineLevel="0" collapsed="false">
      <c r="A3" s="24" t="s">
        <v>2191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customFormat="false" ht="15" hidden="false" customHeight="false" outlineLevel="0" collapsed="false">
      <c r="A4" s="34" t="s">
        <v>306</v>
      </c>
      <c r="B4" s="59" t="s">
        <v>6</v>
      </c>
      <c r="C4" s="59" t="s">
        <v>2094</v>
      </c>
      <c r="D4" s="35" t="str">
        <f aca="false">00_Assumptions!$D$3</f>
        <v>2023A</v>
      </c>
      <c r="E4" s="35" t="str">
        <f aca="false">00_Assumptions!$E$3</f>
        <v>2024A</v>
      </c>
      <c r="F4" s="35" t="str">
        <f aca="false">00_Assumptions!$F$3</f>
        <v>2025A</v>
      </c>
      <c r="G4" s="35" t="str">
        <f aca="false">00_Assumptions!$G$3</f>
        <v>2026E</v>
      </c>
      <c r="H4" s="35" t="str">
        <f aca="false">00_Assumptions!$H$3</f>
        <v>2027E</v>
      </c>
      <c r="I4" s="35" t="str">
        <f aca="false">00_Assumptions!$I$3</f>
        <v>2028E</v>
      </c>
      <c r="J4" s="35" t="str">
        <f aca="false">00_Assumptions!$J$3</f>
        <v>2029E</v>
      </c>
      <c r="K4" s="35" t="str">
        <f aca="false">00_Assumptions!$K$3</f>
        <v>2030E</v>
      </c>
    </row>
    <row r="5" customFormat="false" ht="15" hidden="false" customHeight="false" outlineLevel="0" collapsed="false">
      <c r="A5" s="3" t="s">
        <v>2192</v>
      </c>
      <c r="B5" s="2" t="s">
        <v>18</v>
      </c>
      <c r="C5" s="2" t="s">
        <v>2193</v>
      </c>
      <c r="D5" s="65" t="s">
        <v>2081</v>
      </c>
      <c r="E5" s="11" t="n">
        <f aca="false">03_Costs!E6</f>
        <v>1000</v>
      </c>
      <c r="F5" s="11" t="n">
        <f aca="false">03_Costs!F6</f>
        <v>10000</v>
      </c>
      <c r="G5" s="11" t="n">
        <f aca="false">03_Costs!G6</f>
        <v>60080</v>
      </c>
      <c r="H5" s="11" t="n">
        <f aca="false">03_Costs!H6</f>
        <v>145000</v>
      </c>
      <c r="I5" s="11" t="n">
        <f aca="false">03_Costs!I6</f>
        <v>190000</v>
      </c>
      <c r="J5" s="11" t="n">
        <f aca="false">03_Costs!J6</f>
        <v>231275.862068966</v>
      </c>
      <c r="K5" s="11" t="n">
        <f aca="false">03_Costs!K6</f>
        <v>266445.743162901</v>
      </c>
    </row>
    <row r="6" customFormat="false" ht="15" hidden="false" customHeight="false" outlineLevel="0" collapsed="false">
      <c r="A6" s="9" t="s">
        <v>2194</v>
      </c>
      <c r="B6" s="2" t="s">
        <v>18</v>
      </c>
      <c r="C6" s="62" t="n">
        <f aca="false">SW_HAIRCUT</f>
        <v>0.3975</v>
      </c>
      <c r="E6" s="31" t="n">
        <f aca="false">E5*(1-SW_HAIRCUT)</f>
        <v>602.5</v>
      </c>
      <c r="F6" s="31" t="n">
        <f aca="false">F5*(1-SW_HAIRCUT)</f>
        <v>6025</v>
      </c>
      <c r="G6" s="31" t="n">
        <f aca="false">G5*(1-SW_HAIRCUT)</f>
        <v>36198.2</v>
      </c>
      <c r="H6" s="31" t="n">
        <f aca="false">H5*(1-SW_HAIRCUT)</f>
        <v>87362.5</v>
      </c>
      <c r="I6" s="31" t="n">
        <f aca="false">I5*(1-SW_HAIRCUT)</f>
        <v>114475</v>
      </c>
      <c r="J6" s="31" t="n">
        <f aca="false">J5*(1-SW_HAIRCUT)</f>
        <v>139343.706896552</v>
      </c>
      <c r="K6" s="31" t="n">
        <f aca="false">K5*(1-SW_HAIRCUT)</f>
        <v>160533.560255648</v>
      </c>
    </row>
    <row r="7" customFormat="false" ht="15" hidden="false" customHeight="false" outlineLevel="0" collapsed="false">
      <c r="A7" s="9" t="s">
        <v>2195</v>
      </c>
      <c r="B7" s="2" t="s">
        <v>18</v>
      </c>
      <c r="C7" s="2" t="s">
        <v>2196</v>
      </c>
      <c r="D7" s="65" t="s">
        <v>2081</v>
      </c>
      <c r="E7" s="31" t="n">
        <f aca="false">03_Costs!E8</f>
        <v>1940</v>
      </c>
      <c r="F7" s="31" t="n">
        <f aca="false">03_Costs!F8</f>
        <v>6000</v>
      </c>
      <c r="G7" s="31" t="n">
        <f aca="false">03_Costs!G8</f>
        <v>28838.4</v>
      </c>
      <c r="H7" s="31" t="n">
        <f aca="false">03_Costs!H8</f>
        <v>53650</v>
      </c>
      <c r="I7" s="31" t="n">
        <f aca="false">03_Costs!I8</f>
        <v>57000</v>
      </c>
      <c r="J7" s="31" t="n">
        <f aca="false">03_Costs!J8</f>
        <v>64757.2413793104</v>
      </c>
      <c r="K7" s="31" t="n">
        <f aca="false">03_Costs!K8</f>
        <v>74604.8080856124</v>
      </c>
    </row>
    <row r="8" customFormat="false" ht="15" hidden="false" customHeight="false" outlineLevel="0" collapsed="false">
      <c r="A8" s="3" t="s">
        <v>2197</v>
      </c>
      <c r="B8" s="2" t="s">
        <v>18</v>
      </c>
      <c r="C8" s="2" t="s">
        <v>1554</v>
      </c>
      <c r="E8" s="64" t="n">
        <f aca="false">E5-E7</f>
        <v>-940</v>
      </c>
      <c r="F8" s="64" t="n">
        <f aca="false">F5-F7</f>
        <v>4000</v>
      </c>
      <c r="G8" s="64" t="n">
        <f aca="false">G5-G7</f>
        <v>31241.6</v>
      </c>
      <c r="H8" s="64" t="n">
        <f aca="false">H5-H7</f>
        <v>91350</v>
      </c>
      <c r="I8" s="64" t="n">
        <f aca="false">I5-I7</f>
        <v>133000</v>
      </c>
      <c r="J8" s="64" t="n">
        <f aca="false">J5-J7</f>
        <v>166518.620689655</v>
      </c>
      <c r="K8" s="64" t="n">
        <f aca="false">K5-K7</f>
        <v>191840.935077289</v>
      </c>
    </row>
    <row r="9" customFormat="false" ht="15" hidden="false" customHeight="false" outlineLevel="0" collapsed="false">
      <c r="A9" s="9" t="s">
        <v>2198</v>
      </c>
      <c r="B9" s="2" t="s">
        <v>24</v>
      </c>
      <c r="C9" s="2" t="s">
        <v>1554</v>
      </c>
      <c r="E9" s="30" t="n">
        <f aca="false">IFERROR(E8/E5,0)</f>
        <v>-0.94</v>
      </c>
      <c r="F9" s="30" t="n">
        <f aca="false">IFERROR(F8/F5,0)</f>
        <v>0.4</v>
      </c>
      <c r="G9" s="30" t="n">
        <f aca="false">IFERROR(G8/G5,0)</f>
        <v>0.52</v>
      </c>
      <c r="H9" s="30" t="n">
        <f aca="false">IFERROR(H8/H5,0)</f>
        <v>0.63</v>
      </c>
      <c r="I9" s="30" t="n">
        <f aca="false">IFERROR(I8/I5,0)</f>
        <v>0.7</v>
      </c>
      <c r="J9" s="30" t="n">
        <f aca="false">IFERROR(J8/J5,0)</f>
        <v>0.72</v>
      </c>
      <c r="K9" s="30" t="n">
        <f aca="false">IFERROR(K8/K5,0)</f>
        <v>0.72</v>
      </c>
    </row>
    <row r="10" customFormat="false" ht="15" hidden="false" customHeight="false" outlineLevel="0" collapsed="false">
      <c r="A10" s="9" t="s">
        <v>2199</v>
      </c>
      <c r="B10" s="2" t="s">
        <v>18</v>
      </c>
      <c r="C10" s="2" t="s">
        <v>2200</v>
      </c>
      <c r="D10" s="65" t="s">
        <v>2081</v>
      </c>
      <c r="E10" s="65" t="s">
        <v>2081</v>
      </c>
      <c r="F10" s="65" t="s">
        <v>2081</v>
      </c>
      <c r="G10" s="31" t="n">
        <f aca="false">03_Costs!G9</f>
        <v>7000</v>
      </c>
      <c r="H10" s="31" t="n">
        <f aca="false">03_Costs!H9</f>
        <v>14000</v>
      </c>
      <c r="I10" s="31" t="n">
        <f aca="false">03_Costs!I9</f>
        <v>22000</v>
      </c>
      <c r="J10" s="31" t="n">
        <f aca="false">03_Costs!J9</f>
        <v>30000</v>
      </c>
      <c r="K10" s="31" t="n">
        <f aca="false">03_Costs!K9</f>
        <v>30000</v>
      </c>
    </row>
    <row r="11" customFormat="false" ht="15" hidden="false" customHeight="false" outlineLevel="0" collapsed="false">
      <c r="A11" s="9" t="s">
        <v>2201</v>
      </c>
      <c r="B11" s="2" t="s">
        <v>18</v>
      </c>
      <c r="C11" s="2" t="s">
        <v>2202</v>
      </c>
      <c r="D11" s="65" t="s">
        <v>2081</v>
      </c>
      <c r="E11" s="65" t="s">
        <v>2081</v>
      </c>
      <c r="F11" s="65" t="s">
        <v>2081</v>
      </c>
      <c r="G11" s="31" t="n">
        <f aca="false">03_Costs!G16</f>
        <v>9085</v>
      </c>
      <c r="H11" s="31" t="n">
        <f aca="false">03_Costs!H16</f>
        <v>8710</v>
      </c>
      <c r="I11" s="31" t="n">
        <f aca="false">03_Costs!I16</f>
        <v>10116.25</v>
      </c>
      <c r="J11" s="31" t="n">
        <f aca="false">03_Costs!J16</f>
        <v>11874.0625</v>
      </c>
      <c r="K11" s="31" t="n">
        <f aca="false">03_Costs!K16</f>
        <v>14071.328125</v>
      </c>
    </row>
    <row r="12" customFormat="false" ht="15" hidden="false" customHeight="false" outlineLevel="0" collapsed="false">
      <c r="A12" s="3" t="s">
        <v>2203</v>
      </c>
      <c r="B12" s="2" t="s">
        <v>18</v>
      </c>
      <c r="C12" s="2" t="s">
        <v>2204</v>
      </c>
      <c r="G12" s="64" t="n">
        <f aca="false">G8-G11</f>
        <v>22156.6</v>
      </c>
      <c r="H12" s="64" t="n">
        <f aca="false">H8-H11</f>
        <v>82640</v>
      </c>
      <c r="I12" s="64" t="n">
        <f aca="false">I8-I11</f>
        <v>122883.75</v>
      </c>
      <c r="J12" s="64" t="n">
        <f aca="false">J8-J11</f>
        <v>154644.558189655</v>
      </c>
      <c r="K12" s="64" t="n">
        <f aca="false">K8-K11</f>
        <v>177769.606952289</v>
      </c>
    </row>
    <row r="13" customFormat="false" ht="15" hidden="false" customHeight="false" outlineLevel="0" collapsed="false">
      <c r="A13" s="3" t="s">
        <v>2205</v>
      </c>
      <c r="B13" s="2" t="s">
        <v>18</v>
      </c>
      <c r="C13" s="2" t="s">
        <v>2204</v>
      </c>
      <c r="G13" s="64" t="n">
        <f aca="false">G8-G11-G10</f>
        <v>15156.6</v>
      </c>
      <c r="H13" s="64" t="n">
        <f aca="false">H8-H11-H10</f>
        <v>68640</v>
      </c>
      <c r="I13" s="64" t="n">
        <f aca="false">I8-I11-I10</f>
        <v>100883.75</v>
      </c>
      <c r="J13" s="64" t="n">
        <f aca="false">J8-J11-J10</f>
        <v>124644.558189655</v>
      </c>
      <c r="K13" s="64" t="n">
        <f aca="false">K8-K11-K10</f>
        <v>147769.606952289</v>
      </c>
    </row>
    <row r="14" customFormat="false" ht="15" hidden="false" customHeight="false" outlineLevel="0" collapsed="false">
      <c r="A14" s="9" t="s">
        <v>2206</v>
      </c>
      <c r="B14" s="2" t="s">
        <v>18</v>
      </c>
      <c r="C14" s="31" t="n">
        <f aca="false">SW_A_FY24_NI</f>
        <v>-8300</v>
      </c>
      <c r="E14" s="31" t="n">
        <f aca="false">SW_A_FY24_NI</f>
        <v>-8300</v>
      </c>
    </row>
    <row r="15" customFormat="false" ht="15" hidden="false" customHeight="false" outlineLevel="0" collapsed="false">
      <c r="A15" s="9" t="s">
        <v>2207</v>
      </c>
      <c r="B15" s="2" t="s">
        <v>18</v>
      </c>
      <c r="C15" s="2" t="s">
        <v>2208</v>
      </c>
      <c r="F15" s="31" t="n">
        <f aca="false">01_Data!$D$76</f>
        <v>5600</v>
      </c>
    </row>
    <row r="16" customFormat="false" ht="15" hidden="false" customHeight="false" outlineLevel="0" collapsed="false">
      <c r="A16" s="2" t="s">
        <v>2209</v>
      </c>
    </row>
    <row r="17" customFormat="false" ht="15" hidden="false" customHeight="false" outlineLevel="0" collapsed="false">
      <c r="A17" s="9" t="s">
        <v>2210</v>
      </c>
      <c r="D17" s="57" t="str">
        <f aca="false">SW_A_2026_LOSS</f>
        <v>Adjusted-operating-income trajectory (Q2 print; non-GAAP, definition unpublished, L-151/L-152)</v>
      </c>
    </row>
    <row r="18" customFormat="false" ht="15" hidden="false" customHeight="false" outlineLevel="0" collapsed="false">
      <c r="A18" s="2" t="s">
        <v>2211</v>
      </c>
    </row>
    <row r="20" customFormat="false" ht="15" hidden="false" customHeight="false" outlineLevel="0" collapsed="false">
      <c r="A20" s="24" t="s">
        <v>2212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customFormat="false" ht="15" hidden="false" customHeight="false" outlineLevel="0" collapsed="false">
      <c r="A21" s="34" t="s">
        <v>306</v>
      </c>
      <c r="B21" s="59" t="s">
        <v>6</v>
      </c>
      <c r="C21" s="59" t="s">
        <v>2094</v>
      </c>
      <c r="D21" s="35" t="str">
        <f aca="false">00_Assumptions!$D$3</f>
        <v>2023A</v>
      </c>
      <c r="E21" s="35" t="str">
        <f aca="false">00_Assumptions!$E$3</f>
        <v>2024A</v>
      </c>
      <c r="F21" s="35" t="str">
        <f aca="false">00_Assumptions!$F$3</f>
        <v>2025A</v>
      </c>
      <c r="G21" s="35" t="str">
        <f aca="false">00_Assumptions!$G$3</f>
        <v>2026E</v>
      </c>
      <c r="H21" s="35" t="str">
        <f aca="false">00_Assumptions!$H$3</f>
        <v>2027E</v>
      </c>
      <c r="I21" s="35" t="str">
        <f aca="false">00_Assumptions!$I$3</f>
        <v>2028E</v>
      </c>
      <c r="J21" s="35" t="str">
        <f aca="false">00_Assumptions!$J$3</f>
        <v>2029E</v>
      </c>
      <c r="K21" s="35" t="str">
        <f aca="false">00_Assumptions!$K$3</f>
        <v>2030E</v>
      </c>
    </row>
    <row r="22" customFormat="false" ht="15" hidden="false" customHeight="false" outlineLevel="0" collapsed="false">
      <c r="A22" s="3" t="s">
        <v>2213</v>
      </c>
      <c r="B22" s="2" t="s">
        <v>18</v>
      </c>
      <c r="C22" s="2" t="s">
        <v>2214</v>
      </c>
      <c r="D22" s="65" t="s">
        <v>2081</v>
      </c>
      <c r="E22" s="65" t="s">
        <v>2081</v>
      </c>
      <c r="F22" s="11" t="n">
        <f aca="false">03_Costs!F27</f>
        <v>13100</v>
      </c>
      <c r="G22" s="11" t="n">
        <f aca="false">03_Costs!G27</f>
        <v>38118.7</v>
      </c>
      <c r="H22" s="11" t="n">
        <f aca="false">03_Costs!H27</f>
        <v>64801.79</v>
      </c>
      <c r="I22" s="11" t="n">
        <f aca="false">03_Costs!I27</f>
        <v>110163.043</v>
      </c>
      <c r="J22" s="11" t="n">
        <f aca="false">03_Costs!J27</f>
        <v>187277.1731</v>
      </c>
      <c r="K22" s="11" t="n">
        <f aca="false">03_Costs!K27</f>
        <v>318371.19427</v>
      </c>
    </row>
    <row r="23" customFormat="false" ht="15" hidden="false" customHeight="false" outlineLevel="0" collapsed="false">
      <c r="A23" s="9" t="s">
        <v>2195</v>
      </c>
      <c r="B23" s="2" t="s">
        <v>18</v>
      </c>
      <c r="C23" s="2" t="s">
        <v>2215</v>
      </c>
      <c r="D23" s="65" t="s">
        <v>2081</v>
      </c>
      <c r="E23" s="65" t="s">
        <v>2081</v>
      </c>
      <c r="F23" s="31" t="n">
        <f aca="false">03_Costs!F29</f>
        <v>8777</v>
      </c>
      <c r="G23" s="31" t="n">
        <f aca="false">03_Costs!G29</f>
        <v>14100</v>
      </c>
      <c r="H23" s="31" t="n">
        <f aca="false">03_Costs!H29</f>
        <v>25920.716</v>
      </c>
      <c r="I23" s="31" t="n">
        <f aca="false">03_Costs!I29</f>
        <v>41861.95634</v>
      </c>
      <c r="J23" s="31" t="n">
        <f aca="false">03_Costs!J29</f>
        <v>67419.782316</v>
      </c>
      <c r="K23" s="31" t="n">
        <f aca="false">03_Costs!K29</f>
        <v>108246.2060518</v>
      </c>
    </row>
    <row r="24" customFormat="false" ht="15" hidden="false" customHeight="false" outlineLevel="0" collapsed="false">
      <c r="A24" s="3" t="s">
        <v>2197</v>
      </c>
      <c r="B24" s="2" t="s">
        <v>18</v>
      </c>
      <c r="C24" s="2" t="s">
        <v>1554</v>
      </c>
      <c r="F24" s="64" t="n">
        <f aca="false">F22-F23</f>
        <v>4323</v>
      </c>
      <c r="G24" s="64" t="n">
        <f aca="false">G22-G23</f>
        <v>24018.7</v>
      </c>
      <c r="H24" s="64" t="n">
        <f aca="false">H22-H23</f>
        <v>38881.074</v>
      </c>
      <c r="I24" s="64" t="n">
        <f aca="false">I22-I23</f>
        <v>68301.08666</v>
      </c>
      <c r="J24" s="64" t="n">
        <f aca="false">J22-J23</f>
        <v>119857.390784</v>
      </c>
      <c r="K24" s="64" t="n">
        <f aca="false">K22-K23</f>
        <v>210124.9882182</v>
      </c>
    </row>
    <row r="25" customFormat="false" ht="15" hidden="false" customHeight="false" outlineLevel="0" collapsed="false">
      <c r="A25" s="9" t="s">
        <v>2198</v>
      </c>
      <c r="B25" s="2" t="s">
        <v>24</v>
      </c>
      <c r="C25" s="2" t="s">
        <v>2216</v>
      </c>
      <c r="F25" s="30" t="n">
        <f aca="false">IFERROR(F24/F22,0)</f>
        <v>0.33</v>
      </c>
      <c r="G25" s="30" t="n">
        <f aca="false">IFERROR(G24/G22,0)</f>
        <v>0.630102810431626</v>
      </c>
      <c r="H25" s="30" t="n">
        <f aca="false">IFERROR(H24/H22,0)</f>
        <v>0.6</v>
      </c>
      <c r="I25" s="30" t="n">
        <f aca="false">IFERROR(I24/I22,0)</f>
        <v>0.62</v>
      </c>
      <c r="J25" s="30" t="n">
        <f aca="false">IFERROR(J24/J22,0)</f>
        <v>0.64</v>
      </c>
      <c r="K25" s="30" t="n">
        <f aca="false">IFERROR(K24/K22,0)</f>
        <v>0.66</v>
      </c>
    </row>
    <row r="26" customFormat="false" ht="15" hidden="false" customHeight="false" outlineLevel="0" collapsed="false">
      <c r="A26" s="9" t="s">
        <v>2199</v>
      </c>
      <c r="B26" s="2" t="s">
        <v>18</v>
      </c>
      <c r="C26" s="2" t="s">
        <v>2217</v>
      </c>
      <c r="D26" s="65" t="s">
        <v>2081</v>
      </c>
      <c r="E26" s="65" t="s">
        <v>2081</v>
      </c>
      <c r="F26" s="65" t="s">
        <v>2081</v>
      </c>
      <c r="G26" s="31" t="n">
        <f aca="false">03_Costs!G31</f>
        <v>25000</v>
      </c>
      <c r="H26" s="31" t="n">
        <f aca="false">03_Costs!H31</f>
        <v>60000</v>
      </c>
      <c r="I26" s="31" t="n">
        <f aca="false">03_Costs!I31</f>
        <v>112000</v>
      </c>
      <c r="J26" s="31" t="n">
        <f aca="false">03_Costs!J31</f>
        <v>120000</v>
      </c>
      <c r="K26" s="31" t="n">
        <f aca="false">03_Costs!K31</f>
        <v>90000</v>
      </c>
    </row>
    <row r="27" customFormat="false" ht="15" hidden="false" customHeight="false" outlineLevel="0" collapsed="false">
      <c r="A27" s="9" t="s">
        <v>2201</v>
      </c>
      <c r="B27" s="2" t="s">
        <v>18</v>
      </c>
      <c r="C27" s="2" t="s">
        <v>2218</v>
      </c>
      <c r="D27" s="65" t="s">
        <v>2081</v>
      </c>
      <c r="E27" s="65" t="s">
        <v>2081</v>
      </c>
      <c r="F27" s="31" t="n">
        <f aca="false">03_Costs!F35</f>
        <v>750</v>
      </c>
      <c r="G27" s="31" t="n">
        <f aca="false">03_Costs!G35</f>
        <v>5125</v>
      </c>
      <c r="H27" s="31" t="n">
        <f aca="false">03_Costs!H35</f>
        <v>19440.537</v>
      </c>
      <c r="I27" s="31" t="n">
        <f aca="false">03_Costs!I35</f>
        <v>33048.9129</v>
      </c>
      <c r="J27" s="31" t="n">
        <f aca="false">03_Costs!J35</f>
        <v>56183.15193</v>
      </c>
      <c r="K27" s="31" t="n">
        <f aca="false">03_Costs!K35</f>
        <v>95511.358281</v>
      </c>
    </row>
    <row r="28" customFormat="false" ht="15" hidden="false" customHeight="false" outlineLevel="0" collapsed="false">
      <c r="A28" s="3" t="s">
        <v>2203</v>
      </c>
      <c r="B28" s="2" t="s">
        <v>18</v>
      </c>
      <c r="C28" s="2" t="s">
        <v>2204</v>
      </c>
      <c r="G28" s="64" t="n">
        <f aca="false">G24-G27</f>
        <v>18893.7</v>
      </c>
      <c r="H28" s="64" t="n">
        <f aca="false">H24-H27</f>
        <v>19440.537</v>
      </c>
      <c r="I28" s="64" t="n">
        <f aca="false">I24-I27</f>
        <v>35252.17376</v>
      </c>
      <c r="J28" s="64" t="n">
        <f aca="false">J24-J27</f>
        <v>63674.238854</v>
      </c>
      <c r="K28" s="64" t="n">
        <f aca="false">K24-K27</f>
        <v>114613.6299372</v>
      </c>
    </row>
    <row r="29" customFormat="false" ht="15" hidden="false" customHeight="false" outlineLevel="0" collapsed="false">
      <c r="A29" s="3" t="s">
        <v>2205</v>
      </c>
      <c r="B29" s="2" t="s">
        <v>18</v>
      </c>
      <c r="C29" s="2" t="s">
        <v>2204</v>
      </c>
      <c r="G29" s="64" t="n">
        <f aca="false">G24-G27-G26</f>
        <v>-6106.29999999999</v>
      </c>
      <c r="H29" s="64" t="n">
        <f aca="false">H24-H27-H26</f>
        <v>-40559.463</v>
      </c>
      <c r="I29" s="64" t="n">
        <f aca="false">I24-I27-I26</f>
        <v>-76747.82624</v>
      </c>
      <c r="J29" s="64" t="n">
        <f aca="false">J24-J27-J26</f>
        <v>-56325.761146</v>
      </c>
      <c r="K29" s="64" t="n">
        <f aca="false">K24-K27-K26</f>
        <v>24613.6299372</v>
      </c>
    </row>
    <row r="30" customFormat="false" ht="15" hidden="false" customHeight="false" outlineLevel="0" collapsed="false">
      <c r="A30" s="24" t="s">
        <v>2219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customFormat="false" ht="15" hidden="false" customHeight="false" outlineLevel="0" collapsed="false">
      <c r="A31" s="8" t="s">
        <v>306</v>
      </c>
      <c r="B31" s="8" t="s">
        <v>6</v>
      </c>
      <c r="C31" s="8" t="s">
        <v>2048</v>
      </c>
      <c r="D31" s="8" t="s">
        <v>2220</v>
      </c>
      <c r="E31" s="8" t="s">
        <v>2221</v>
      </c>
      <c r="F31" s="8" t="s">
        <v>12</v>
      </c>
    </row>
    <row r="32" customFormat="false" ht="15" hidden="false" customHeight="false" outlineLevel="0" collapsed="false">
      <c r="A32" s="9" t="s">
        <v>2222</v>
      </c>
      <c r="B32" s="2" t="s">
        <v>18</v>
      </c>
      <c r="C32" s="2" t="s">
        <v>2223</v>
      </c>
      <c r="D32" s="11" t="n">
        <f aca="false">01_Data!$D$13</f>
        <v>4730</v>
      </c>
      <c r="E32" s="11" t="n">
        <f aca="false">01_Data!$D$15</f>
        <v>5700</v>
      </c>
      <c r="F32" s="2" t="s">
        <v>2224</v>
      </c>
    </row>
    <row r="33" customFormat="false" ht="15" hidden="false" customHeight="false" outlineLevel="0" collapsed="false">
      <c r="A33" s="9" t="s">
        <v>2225</v>
      </c>
      <c r="B33" s="2" t="s">
        <v>18</v>
      </c>
      <c r="C33" s="2" t="s">
        <v>2226</v>
      </c>
      <c r="D33" s="11" t="n">
        <f aca="false">LB_05a</f>
        <v>11600</v>
      </c>
      <c r="E33" s="11" t="n">
        <f aca="false">LB_06a</f>
        <v>6700</v>
      </c>
      <c r="F33" s="2" t="s">
        <v>2227</v>
      </c>
    </row>
    <row r="34" customFormat="false" ht="15" hidden="false" customHeight="false" outlineLevel="0" collapsed="false">
      <c r="A34" s="9" t="s">
        <v>2228</v>
      </c>
      <c r="B34" s="2" t="s">
        <v>18</v>
      </c>
      <c r="C34" s="2" t="s">
        <v>1554</v>
      </c>
      <c r="D34" s="64" t="n">
        <f aca="false">D32+D33</f>
        <v>16330</v>
      </c>
      <c r="E34" s="64" t="n">
        <f aca="false">E32+E33</f>
        <v>12400</v>
      </c>
      <c r="F34" s="32" t="n">
        <f aca="false">D34</f>
        <v>16330</v>
      </c>
      <c r="G34" s="7" t="str">
        <f aca="false">IF(ABS((F34)-00_Assumptions!$D$150)&lt;=00_Assumptions!$E$150,"PASS","FAIL: "&amp;TEXT((F34)-00_Assumptions!$D$150,"#,##0.000"))</f>
        <v>PASS</v>
      </c>
    </row>
    <row r="35" customFormat="false" ht="15" hidden="false" customHeight="false" outlineLevel="0" collapsed="false">
      <c r="A35" s="9" t="s">
        <v>2229</v>
      </c>
      <c r="B35" s="2" t="s">
        <v>524</v>
      </c>
      <c r="C35" s="2" t="s">
        <v>1554</v>
      </c>
      <c r="D35" s="63" t="n">
        <f aca="false">D33/D32</f>
        <v>2.45243128964059</v>
      </c>
      <c r="E35" s="63" t="n">
        <f aca="false">E33/E32</f>
        <v>1.17543859649123</v>
      </c>
      <c r="F35" s="58" t="n">
        <f aca="false">D35</f>
        <v>2.45243128964059</v>
      </c>
      <c r="G35" s="7" t="str">
        <f aca="false">IF(ABS((F35)-00_Assumptions!$D$151)&lt;=00_Assumptions!$E$151,"PASS","FAIL: "&amp;TEXT((F35)-00_Assumptions!$D$151,"#,##0.000"))</f>
        <v>PASS</v>
      </c>
    </row>
    <row r="36" customFormat="false" ht="15" hidden="false" customHeight="false" outlineLevel="0" collapsed="false">
      <c r="A36" s="9" t="s">
        <v>2230</v>
      </c>
      <c r="B36" s="2" t="s">
        <v>18</v>
      </c>
      <c r="C36" s="2" t="s">
        <v>2231</v>
      </c>
      <c r="D36" s="11" t="n">
        <f aca="false">LB_05b</f>
        <v>559</v>
      </c>
      <c r="E36" s="11" t="n">
        <f aca="false">-LB_06b</f>
        <v>-12300</v>
      </c>
      <c r="F36" s="2" t="s">
        <v>2232</v>
      </c>
    </row>
    <row r="37" customFormat="false" ht="15" hidden="false" customHeight="false" outlineLevel="0" collapsed="false">
      <c r="A37" s="9" t="s">
        <v>2233</v>
      </c>
      <c r="B37" s="2" t="s">
        <v>18</v>
      </c>
      <c r="C37" s="2" t="s">
        <v>2234</v>
      </c>
      <c r="D37" s="44" t="s">
        <v>2081</v>
      </c>
      <c r="E37" s="11" t="n">
        <f aca="false">-01_Data!$D$17</f>
        <v>-9300</v>
      </c>
      <c r="F37" s="2" t="s">
        <v>2235</v>
      </c>
    </row>
    <row r="38" customFormat="false" ht="15" hidden="false" customHeight="false" outlineLevel="0" collapsed="false">
      <c r="A38" s="9" t="s">
        <v>2236</v>
      </c>
      <c r="B38" s="2" t="s">
        <v>24</v>
      </c>
      <c r="C38" s="2" t="s">
        <v>2237</v>
      </c>
      <c r="D38" s="14" t="n">
        <f aca="false">LB_05b/01_Data!$D$12</f>
        <v>0.0512844036697248</v>
      </c>
      <c r="E38" s="67" t="n">
        <f aca="false">-(E36+E37)/E34</f>
        <v>1.74193548387097</v>
      </c>
      <c r="F38" s="51" t="n">
        <f aca="false">LB_05b/LB_05a</f>
        <v>0.0481896551724138</v>
      </c>
      <c r="G38" s="2" t="s">
        <v>2238</v>
      </c>
    </row>
    <row r="39" customFormat="false" ht="15" hidden="false" customHeight="false" outlineLevel="0" collapsed="false">
      <c r="A39" s="9" t="s">
        <v>2239</v>
      </c>
      <c r="B39" s="2" t="s">
        <v>24</v>
      </c>
      <c r="C39" s="2" t="s">
        <v>2234</v>
      </c>
      <c r="D39" s="2" t="s">
        <v>511</v>
      </c>
      <c r="E39" s="14" t="n">
        <f aca="false">LB_06b/01_Data!$D$17-1</f>
        <v>0.32258064516129</v>
      </c>
      <c r="F39" s="2" t="s">
        <v>2240</v>
      </c>
    </row>
    <row r="40" customFormat="false" ht="15" hidden="false" customHeight="false" outlineLevel="0" collapsed="false">
      <c r="A40" s="9" t="s">
        <v>2241</v>
      </c>
      <c r="B40" s="2" t="s">
        <v>18</v>
      </c>
      <c r="C40" s="2" t="s">
        <v>2242</v>
      </c>
      <c r="D40" s="11" t="n">
        <f aca="false">01_Data!$D$13+01_Data!$D$10</f>
        <v>16230</v>
      </c>
      <c r="E40" s="11" t="n">
        <f aca="false">-(01_Data!$D$17+LB_06b)</f>
        <v>-21600</v>
      </c>
      <c r="F40" s="2"/>
    </row>
    <row r="41" customFormat="false" ht="15" hidden="false" customHeight="false" outlineLevel="0" collapsed="false">
      <c r="A41" s="2" t="s">
        <v>2243</v>
      </c>
    </row>
    <row r="42" customFormat="false" ht="15" hidden="false" customHeight="false" outlineLevel="0" collapsed="false">
      <c r="A42" s="2" t="s">
        <v>2244</v>
      </c>
      <c r="D42" s="32" t="n">
        <f aca="false">G29</f>
        <v>-6106.29999999999</v>
      </c>
      <c r="E42" s="31" t="n">
        <f aca="false">E40*00_Assumptions!$F$90/2</f>
        <v>-43200</v>
      </c>
      <c r="F42" s="68" t="n">
        <f aca="false">D42-E42</f>
        <v>37093.7</v>
      </c>
      <c r="G42" s="2" t="s">
        <v>2245</v>
      </c>
    </row>
    <row r="43" customFormat="false" ht="15" hidden="false" customHeight="false" outlineLevel="0" collapsed="false">
      <c r="A43" s="2" t="s">
        <v>2246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L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6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6" min="4" style="1" width="14"/>
    <col collapsed="false" customWidth="true" hidden="false" outlineLevel="0" max="7" min="7" style="1" width="44"/>
    <col collapsed="false" customWidth="true" hidden="false" outlineLevel="0" max="8" min="8" style="1" width="12"/>
    <col collapsed="false" customWidth="true" hidden="false" outlineLevel="0" max="9" min="9" style="1" width="30"/>
    <col collapsed="false" customWidth="true" hidden="false" outlineLevel="0" max="10" min="10" style="1" width="14"/>
    <col collapsed="false" customWidth="true" hidden="false" outlineLevel="0" max="11" min="11" style="1" width="20"/>
  </cols>
  <sheetData>
    <row r="1" customFormat="false" ht="15" hidden="false" customHeight="false" outlineLevel="0" collapsed="false">
      <c r="A1" s="2" t="s">
        <v>2247</v>
      </c>
    </row>
    <row r="3" customFormat="false" ht="15" hidden="false" customHeight="false" outlineLevel="0" collapsed="false">
      <c r="A3" s="24" t="s">
        <v>2248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customFormat="false" ht="15" hidden="false" customHeight="false" outlineLevel="0" collapsed="false">
      <c r="A4" s="8" t="s">
        <v>306</v>
      </c>
      <c r="B4" s="8" t="s">
        <v>6</v>
      </c>
      <c r="C4" s="8" t="s">
        <v>2048</v>
      </c>
      <c r="D4" s="8" t="s">
        <v>2249</v>
      </c>
      <c r="E4" s="8" t="s">
        <v>12</v>
      </c>
      <c r="F4" s="8"/>
      <c r="G4" s="8" t="s">
        <v>2250</v>
      </c>
      <c r="H4" s="8" t="s">
        <v>6</v>
      </c>
      <c r="I4" s="8" t="s">
        <v>2048</v>
      </c>
      <c r="J4" s="8" t="s">
        <v>2251</v>
      </c>
      <c r="K4" s="8" t="s">
        <v>12</v>
      </c>
    </row>
    <row r="5" customFormat="false" ht="15" hidden="false" customHeight="false" outlineLevel="0" collapsed="false">
      <c r="A5" s="9" t="s">
        <v>2252</v>
      </c>
      <c r="B5" s="2" t="s">
        <v>18</v>
      </c>
      <c r="C5" s="2" t="s">
        <v>2253</v>
      </c>
      <c r="D5" s="31" t="n">
        <f aca="false">01_Data!$D$129</f>
        <v>124</v>
      </c>
      <c r="G5" s="9" t="s">
        <v>2254</v>
      </c>
      <c r="H5" s="2" t="s">
        <v>18</v>
      </c>
      <c r="I5" s="2" t="s">
        <v>2255</v>
      </c>
      <c r="J5" s="69" t="n">
        <f aca="false">01_Data!$D$193</f>
        <v>1000</v>
      </c>
    </row>
    <row r="6" customFormat="false" ht="15" hidden="false" customHeight="false" outlineLevel="0" collapsed="false">
      <c r="A6" s="9" t="s">
        <v>2256</v>
      </c>
      <c r="B6" s="2" t="s">
        <v>18</v>
      </c>
      <c r="C6" s="2" t="s">
        <v>2253</v>
      </c>
      <c r="D6" s="31" t="n">
        <f aca="false">01_Data!$D$130</f>
        <v>980</v>
      </c>
      <c r="G6" s="9" t="s">
        <v>2252</v>
      </c>
      <c r="H6" s="2" t="s">
        <v>18</v>
      </c>
      <c r="I6" s="2" t="s">
        <v>2255</v>
      </c>
      <c r="J6" s="69" t="n">
        <f aca="false">01_Data!$D$194</f>
        <v>10</v>
      </c>
    </row>
    <row r="7" customFormat="false" ht="15" hidden="false" customHeight="false" outlineLevel="0" collapsed="false">
      <c r="A7" s="9" t="s">
        <v>2257</v>
      </c>
      <c r="B7" s="2" t="s">
        <v>18</v>
      </c>
      <c r="C7" s="2" t="s">
        <v>2253</v>
      </c>
      <c r="D7" s="31" t="n">
        <f aca="false">01_Data!$D$131</f>
        <v>450</v>
      </c>
      <c r="G7" s="9" t="s">
        <v>2258</v>
      </c>
      <c r="H7" s="2" t="s">
        <v>18</v>
      </c>
      <c r="I7" s="2" t="s">
        <v>2255</v>
      </c>
      <c r="J7" s="69" t="n">
        <f aca="false">01_Data!$D$195</f>
        <v>2000</v>
      </c>
    </row>
    <row r="8" customFormat="false" ht="15" hidden="false" customHeight="false" outlineLevel="0" collapsed="false">
      <c r="A8" s="9" t="s">
        <v>2259</v>
      </c>
      <c r="B8" s="2" t="s">
        <v>18</v>
      </c>
      <c r="C8" s="2" t="s">
        <v>2253</v>
      </c>
      <c r="D8" s="31" t="n">
        <f aca="false">01_Data!$D$132</f>
        <v>2000</v>
      </c>
      <c r="G8" s="9" t="s">
        <v>2260</v>
      </c>
      <c r="H8" s="2" t="s">
        <v>18</v>
      </c>
      <c r="I8" s="2" t="s">
        <v>2255</v>
      </c>
      <c r="J8" s="69" t="n">
        <f aca="false">01_Data!$D$196</f>
        <v>10000</v>
      </c>
    </row>
    <row r="9" customFormat="false" ht="15" hidden="false" customHeight="false" outlineLevel="0" collapsed="false">
      <c r="A9" s="9" t="s">
        <v>2261</v>
      </c>
      <c r="B9" s="2" t="s">
        <v>18</v>
      </c>
      <c r="C9" s="2" t="s">
        <v>2253</v>
      </c>
      <c r="D9" s="31" t="n">
        <f aca="false">01_Data!$D$133</f>
        <v>1200</v>
      </c>
      <c r="G9" s="9" t="s">
        <v>2262</v>
      </c>
      <c r="H9" s="2" t="s">
        <v>18</v>
      </c>
      <c r="I9" s="2" t="s">
        <v>2255</v>
      </c>
      <c r="J9" s="69" t="n">
        <f aca="false">01_Data!$D$197</f>
        <v>300</v>
      </c>
    </row>
    <row r="10" customFormat="false" ht="15" hidden="false" customHeight="false" outlineLevel="0" collapsed="false">
      <c r="A10" s="9" t="s">
        <v>2263</v>
      </c>
      <c r="B10" s="2" t="s">
        <v>18</v>
      </c>
      <c r="C10" s="2" t="s">
        <v>2253</v>
      </c>
      <c r="D10" s="31" t="n">
        <f aca="false">01_Data!$D$134</f>
        <v>8000</v>
      </c>
      <c r="G10" s="9" t="s">
        <v>2264</v>
      </c>
      <c r="H10" s="2" t="s">
        <v>18</v>
      </c>
      <c r="I10" s="2" t="s">
        <v>2255</v>
      </c>
      <c r="J10" s="69" t="n">
        <f aca="false">01_Data!$D$198</f>
        <v>6600</v>
      </c>
    </row>
    <row r="11" customFormat="false" ht="15" hidden="false" customHeight="false" outlineLevel="0" collapsed="false">
      <c r="A11" s="9" t="s">
        <v>2265</v>
      </c>
      <c r="B11" s="2" t="s">
        <v>18</v>
      </c>
      <c r="C11" s="2" t="s">
        <v>2253</v>
      </c>
      <c r="D11" s="31" t="n">
        <f aca="false">01_Data!$D$135</f>
        <v>3500</v>
      </c>
      <c r="G11" s="9" t="s">
        <v>2266</v>
      </c>
      <c r="H11" s="2" t="s">
        <v>18</v>
      </c>
      <c r="I11" s="2" t="s">
        <v>2255</v>
      </c>
      <c r="J11" s="69" t="n">
        <f aca="false">01_Data!$D$199</f>
        <v>40000</v>
      </c>
    </row>
    <row r="12" customFormat="false" ht="15" hidden="false" customHeight="false" outlineLevel="0" collapsed="false">
      <c r="A12" s="9" t="s">
        <v>2267</v>
      </c>
      <c r="B12" s="2" t="s">
        <v>18</v>
      </c>
      <c r="C12" s="2" t="s">
        <v>2253</v>
      </c>
      <c r="D12" s="31" t="n">
        <f aca="false">01_Data!$D$136</f>
        <v>13000</v>
      </c>
      <c r="G12" s="9" t="s">
        <v>2268</v>
      </c>
      <c r="H12" s="2" t="s">
        <v>18</v>
      </c>
      <c r="I12" s="2" t="s">
        <v>2255</v>
      </c>
      <c r="J12" s="69" t="n">
        <f aca="false">01_Data!$D$200</f>
        <v>6.5</v>
      </c>
    </row>
    <row r="13" customFormat="false" ht="15" hidden="false" customHeight="false" outlineLevel="0" collapsed="false">
      <c r="A13" s="9" t="s">
        <v>2269</v>
      </c>
      <c r="B13" s="2" t="s">
        <v>18</v>
      </c>
      <c r="C13" s="2" t="s">
        <v>2253</v>
      </c>
      <c r="D13" s="31" t="n">
        <f aca="false">01_Data!$D$137</f>
        <v>30000</v>
      </c>
      <c r="G13" s="9" t="s">
        <v>2270</v>
      </c>
      <c r="H13" s="2" t="s">
        <v>18</v>
      </c>
      <c r="I13" s="2" t="s">
        <v>2255</v>
      </c>
      <c r="J13" s="69" t="n">
        <f aca="false">01_Data!$D$201</f>
        <v>121300</v>
      </c>
    </row>
    <row r="14" customFormat="false" ht="15" hidden="false" customHeight="false" outlineLevel="0" collapsed="false">
      <c r="A14" s="9" t="s">
        <v>2271</v>
      </c>
      <c r="B14" s="2" t="s">
        <v>18</v>
      </c>
      <c r="C14" s="2" t="s">
        <v>2253</v>
      </c>
      <c r="D14" s="31" t="n">
        <f aca="false">01_Data!$D$138</f>
        <v>65000</v>
      </c>
    </row>
    <row r="15" customFormat="false" ht="15" hidden="false" customHeight="false" outlineLevel="0" collapsed="false">
      <c r="A15" s="3" t="s">
        <v>2272</v>
      </c>
      <c r="D15" s="64" t="n">
        <f aca="false">SUM(D5:D14)</f>
        <v>124254</v>
      </c>
      <c r="E15" s="7" t="str">
        <f aca="false">IF(ABS(D15-LB_03)&lt;00_Assumptions!$E$132,"ties to LB_03 (124,254)","BROKEN")</f>
        <v>ties to LB_03 (124,254)</v>
      </c>
      <c r="G15" s="3" t="s">
        <v>2273</v>
      </c>
      <c r="J15" s="70" t="n">
        <f aca="false">SUM(J5:J13)</f>
        <v>181216.5</v>
      </c>
      <c r="K15" s="7" t="str">
        <f aca="false">IF(ABS(J15-LB_04)&lt;00_Assumptions!$E$133,"ties to LB_04 (181,216.5)","BROKEN")</f>
        <v>ties to LB_04 (181,216.5)</v>
      </c>
    </row>
    <row r="16" customFormat="false" ht="15" hidden="false" customHeight="false" outlineLevel="0" collapsed="false">
      <c r="A16" s="9" t="s">
        <v>2274</v>
      </c>
      <c r="C16" s="2" t="s">
        <v>2275</v>
      </c>
      <c r="D16" s="31" t="n">
        <f aca="false">01_Data!$D$79</f>
        <v>2500</v>
      </c>
      <c r="G16" s="9" t="s">
        <v>2276</v>
      </c>
      <c r="I16" s="2" t="s">
        <v>2277</v>
      </c>
      <c r="J16" s="31" t="n">
        <f aca="false">01_Data!$D$178</f>
        <v>5220</v>
      </c>
    </row>
    <row r="17" customFormat="false" ht="15" hidden="false" customHeight="false" outlineLevel="0" collapsed="false">
      <c r="A17" s="3" t="s">
        <v>2278</v>
      </c>
      <c r="D17" s="11" t="n">
        <f aca="false">LB_03+D16</f>
        <v>126754</v>
      </c>
      <c r="E17" s="7" t="str">
        <f aca="false">IF(ABS((D17)-00_Assumptions!$D$132)&lt;=00_Assumptions!$E$132,"PASS","FAIL: "&amp;TEXT((D17)-00_Assumptions!$D$132,"#,##0.000"))</f>
        <v>PASS</v>
      </c>
      <c r="F17" s="31" t="n">
        <f aca="false">01_Data!$D$139</f>
        <v>126754</v>
      </c>
      <c r="G17" s="3" t="s">
        <v>2279</v>
      </c>
      <c r="J17" s="71" t="n">
        <f aca="false">LB_04+J16</f>
        <v>186436.5</v>
      </c>
      <c r="K17" s="7" t="str">
        <f aca="false">IF(ABS((J17)-00_Assumptions!$D$133)&lt;=00_Assumptions!$E$133,"PASS","FAIL: "&amp;TEXT((J17)-00_Assumptions!$D$133,"#,##0.000"))</f>
        <v>PASS</v>
      </c>
    </row>
    <row r="18" customFormat="false" ht="15" hidden="false" customHeight="false" outlineLevel="0" collapsed="false">
      <c r="A18" s="9" t="s">
        <v>2280</v>
      </c>
      <c r="C18" s="2" t="s">
        <v>2281</v>
      </c>
      <c r="D18" s="31" t="n">
        <f aca="false">01_Data!$D$106</f>
        <v>20000</v>
      </c>
      <c r="E18" s="2" t="s">
        <v>2282</v>
      </c>
      <c r="G18" s="9" t="s">
        <v>2283</v>
      </c>
      <c r="J18" s="31" t="n">
        <f aca="false">01_Data!$D$188</f>
        <v>13000</v>
      </c>
      <c r="K18" s="31" t="n">
        <f aca="false">01_Data!$D$189</f>
        <v>11900</v>
      </c>
    </row>
    <row r="19" customFormat="false" ht="15" hidden="false" customHeight="false" outlineLevel="0" collapsed="false">
      <c r="A19" s="9" t="s">
        <v>2284</v>
      </c>
      <c r="C19" s="2" t="s">
        <v>2285</v>
      </c>
      <c r="D19" s="31" t="n">
        <f aca="false">01_Data!$D$107</f>
        <v>30000</v>
      </c>
      <c r="E19" s="2" t="s">
        <v>2282</v>
      </c>
      <c r="G19" s="9" t="s">
        <v>2286</v>
      </c>
      <c r="J19" s="32" t="n">
        <f aca="false">J18-K18</f>
        <v>1100</v>
      </c>
      <c r="K19" s="62" t="n">
        <f aca="false">J19/LB_04</f>
        <v>0.0060700874368504</v>
      </c>
    </row>
    <row r="20" customFormat="false" ht="15" hidden="false" customHeight="false" outlineLevel="0" collapsed="false">
      <c r="A20" s="9" t="s">
        <v>2287</v>
      </c>
      <c r="C20" s="2" t="s">
        <v>2288</v>
      </c>
      <c r="D20" s="31" t="n">
        <f aca="false">01_Data!$D$108</f>
        <v>5000</v>
      </c>
      <c r="E20" s="2" t="s">
        <v>2282</v>
      </c>
      <c r="G20" s="9" t="s">
        <v>2289</v>
      </c>
      <c r="J20" s="72" t="n">
        <f aca="false">02_Revenue!$D$43/(LB_04-J19)</f>
        <v>0.222078488089653</v>
      </c>
    </row>
    <row r="21" customFormat="false" ht="15" hidden="false" customHeight="false" outlineLevel="0" collapsed="false">
      <c r="A21" s="3" t="s">
        <v>2290</v>
      </c>
      <c r="D21" s="32" t="n">
        <f aca="false">SUM(D18:D20)</f>
        <v>55000</v>
      </c>
      <c r="G21" s="9" t="s">
        <v>2291</v>
      </c>
      <c r="J21" s="31" t="n">
        <f aca="false">01_Data!$D$255</f>
        <v>30000</v>
      </c>
    </row>
    <row r="22" customFormat="false" ht="15" hidden="false" customHeight="false" outlineLevel="0" collapsed="false">
      <c r="A22" s="9" t="s">
        <v>2292</v>
      </c>
      <c r="C22" s="2" t="s">
        <v>2293</v>
      </c>
      <c r="D22" s="31" t="n">
        <f aca="false">01_Data!$D$82</f>
        <v>34500</v>
      </c>
      <c r="G22" s="9" t="s">
        <v>2294</v>
      </c>
      <c r="J22" s="31" t="n">
        <f aca="false">01_Data!$D$159</f>
        <v>40000</v>
      </c>
    </row>
    <row r="23" customFormat="false" ht="15" hidden="false" customHeight="false" outlineLevel="0" collapsed="false">
      <c r="A23" s="9" t="s">
        <v>2295</v>
      </c>
      <c r="C23" s="2" t="s">
        <v>2296</v>
      </c>
      <c r="D23" s="31" t="n">
        <f aca="false">01_Data!$D$90</f>
        <v>15200</v>
      </c>
    </row>
    <row r="24" customFormat="false" ht="15" hidden="false" customHeight="false" outlineLevel="0" collapsed="false">
      <c r="A24" s="3" t="s">
        <v>2297</v>
      </c>
      <c r="C24" s="57" t="str">
        <f aca="false">SW_TOTAL_RAISED_VIEW</f>
        <v>On-balance-sheet</v>
      </c>
      <c r="D24" s="11" t="n">
        <f aca="false">IF(SW_TOTAL_RAISED_VIEW="On-balance-sheet",D17,D17+D22)</f>
        <v>126754</v>
      </c>
      <c r="E24" s="2" t="s">
        <v>2298</v>
      </c>
    </row>
    <row r="25" customFormat="false" ht="15" hidden="false" customHeight="false" outlineLevel="0" collapsed="false">
      <c r="A25" s="9" t="s">
        <v>2299</v>
      </c>
      <c r="D25" s="31" t="n">
        <f aca="false">01_Data!$D$103</f>
        <v>65000</v>
      </c>
      <c r="E25" s="31" t="n">
        <f aca="false">01_Data!$D$104</f>
        <v>15000</v>
      </c>
      <c r="F25" s="31" t="n">
        <f aca="false">01_Data!$D$105</f>
        <v>5000</v>
      </c>
      <c r="G25" s="2" t="s">
        <v>2300</v>
      </c>
    </row>
    <row r="40" customFormat="false" ht="15" hidden="false" customHeight="false" outlineLevel="0" collapsed="false">
      <c r="A40" s="24" t="s">
        <v>2301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customFormat="false" ht="22.35" hidden="false" customHeight="false" outlineLevel="0" collapsed="false">
      <c r="A41" s="8" t="s">
        <v>2302</v>
      </c>
      <c r="B41" s="8" t="s">
        <v>2303</v>
      </c>
      <c r="C41" s="8" t="s">
        <v>2304</v>
      </c>
      <c r="D41" s="8" t="s">
        <v>2305</v>
      </c>
      <c r="E41" s="8" t="s">
        <v>2306</v>
      </c>
      <c r="F41" s="8" t="s">
        <v>2307</v>
      </c>
      <c r="G41" s="8" t="s">
        <v>2308</v>
      </c>
      <c r="H41" s="8" t="s">
        <v>2309</v>
      </c>
      <c r="I41" s="8" t="s">
        <v>2310</v>
      </c>
      <c r="J41" s="8" t="s">
        <v>201</v>
      </c>
    </row>
    <row r="42" customFormat="false" ht="15" hidden="false" customHeight="false" outlineLevel="0" collapsed="false">
      <c r="A42" s="9" t="s">
        <v>2311</v>
      </c>
      <c r="B42" s="31" t="n">
        <f aca="false">01_Data!$D$45</f>
        <v>47000</v>
      </c>
      <c r="C42" s="62" t="n">
        <f aca="false">01_Data!$D$36</f>
        <v>0.3975</v>
      </c>
      <c r="D42" s="32" t="n">
        <f aca="false">B42*(1-C42)</f>
        <v>28317.5</v>
      </c>
      <c r="E42" s="72" t="n">
        <f aca="false">D42/LB_03</f>
        <v>0.227900107843611</v>
      </c>
      <c r="F42" s="31" t="n">
        <f aca="false">01_Data!$D$39</f>
        <v>25000</v>
      </c>
      <c r="G42" s="72" t="n">
        <f aca="false">F42/LB_04</f>
        <v>0.137956532655691</v>
      </c>
      <c r="H42" s="58" t="n">
        <f aca="false">E42/G42</f>
        <v>1.65197039572167</v>
      </c>
      <c r="I42" s="2" t="s">
        <v>2312</v>
      </c>
      <c r="J42" s="7" t="str">
        <f aca="false">IF(ABS((H42)-00_Assumptions!$D$218)&lt;=00_Assumptions!$E$218,"PASS","FAIL: "&amp;TEXT((H42)-00_Assumptions!$D$218,"#,##0.000"))</f>
        <v>PASS</v>
      </c>
      <c r="K42" s="57" t="str">
        <f aca="false">"register carried "&amp;TEXT(01_Data!$D$40,"0.000")&amp;" / "&amp;TEXT(01_Data!$D$41,"0.000")</f>
        <v>register carried 0.228 / 0.138</v>
      </c>
    </row>
    <row r="43" customFormat="false" ht="15" hidden="false" customHeight="false" outlineLevel="0" collapsed="false">
      <c r="A43" s="9" t="s">
        <v>2313</v>
      </c>
      <c r="B43" s="31" t="n">
        <f aca="false">LB_01</f>
        <v>65000</v>
      </c>
      <c r="C43" s="62" t="n">
        <f aca="false">SW_HAIRCUT</f>
        <v>0.3975</v>
      </c>
      <c r="D43" s="31" t="n">
        <f aca="false">02_Revenue!$D$37</f>
        <v>39162.5</v>
      </c>
      <c r="E43" s="73" t="n">
        <f aca="false">D43/LB_03</f>
        <v>0.315181000209249</v>
      </c>
      <c r="F43" s="31" t="n">
        <f aca="false">02_Revenue!$D$43</f>
        <v>40000</v>
      </c>
      <c r="G43" s="73" t="n">
        <f aca="false">F43/LB_04</f>
        <v>0.220730452249105</v>
      </c>
      <c r="H43" s="63" t="n">
        <f aca="false">E43/G43</f>
        <v>1.42789994311048</v>
      </c>
      <c r="I43" s="57" t="str">
        <f aca="false">SW_OAI_BASIS</f>
        <v>NET</v>
      </c>
    </row>
    <row r="44" customFormat="false" ht="15" hidden="false" customHeight="false" outlineLevel="0" collapsed="false">
      <c r="A44" s="9" t="s">
        <v>2314</v>
      </c>
      <c r="B44" s="31" t="n">
        <f aca="false">LB_01</f>
        <v>65000</v>
      </c>
      <c r="C44" s="62" t="n">
        <f aca="false">01_Data!$D$36</f>
        <v>0.3975</v>
      </c>
      <c r="D44" s="31" t="n">
        <f aca="false">02_Revenue!$D$38</f>
        <v>39162.5</v>
      </c>
      <c r="E44" s="73" t="n">
        <f aca="false">D44/LB_03</f>
        <v>0.315181000209249</v>
      </c>
      <c r="F44" s="31" t="n">
        <f aca="false">02_Revenue!$D$44</f>
        <v>40000</v>
      </c>
      <c r="G44" s="73" t="n">
        <f aca="false">F44/LB_04</f>
        <v>0.220730452249105</v>
      </c>
      <c r="H44" s="63" t="n">
        <f aca="false">E44/G44</f>
        <v>1.42789994311048</v>
      </c>
      <c r="I44" s="2" t="s">
        <v>2315</v>
      </c>
      <c r="J44" s="7" t="str">
        <f aca="false">IF(ABS((H44)-00_Assumptions!$D$144)&lt;=00_Assumptions!$E$144,"PASS","FAIL: "&amp;TEXT((H44)-00_Assumptions!$D$144,"#,##0.000"))</f>
        <v>PASS</v>
      </c>
      <c r="K44" s="7" t="str">
        <f aca="false">IF(ABS((E44)-00_Assumptions!$D$140)&lt;=00_Assumptions!$E$140,"PASS","FAIL: "&amp;TEXT((E44)-00_Assumptions!$D$140,"#,##0.000"))</f>
        <v>PASS</v>
      </c>
      <c r="L44" s="7" t="str">
        <f aca="false">IF(ABS((G44)-00_Assumptions!$D$143)&lt;=00_Assumptions!$E$143,"PASS","FAIL: "&amp;TEXT((G44)-00_Assumptions!$D$143,"#,##0.000"))</f>
        <v>PASS</v>
      </c>
    </row>
    <row r="45" customFormat="false" ht="15" hidden="false" customHeight="false" outlineLevel="0" collapsed="false">
      <c r="A45" s="9" t="s">
        <v>2316</v>
      </c>
      <c r="B45" s="31" t="n">
        <f aca="false">LB_01</f>
        <v>65000</v>
      </c>
      <c r="C45" s="62" t="n">
        <f aca="false">01_Data!$D$37</f>
        <v>0.27</v>
      </c>
      <c r="D45" s="31" t="n">
        <f aca="false">02_Revenue!$D$39</f>
        <v>47450</v>
      </c>
      <c r="E45" s="73" t="n">
        <f aca="false">D45/LB_03</f>
        <v>0.381879054195438</v>
      </c>
      <c r="F45" s="31" t="n">
        <f aca="false">02_Revenue!$D$44</f>
        <v>40000</v>
      </c>
      <c r="G45" s="73" t="n">
        <f aca="false">F45/LB_04</f>
        <v>0.220730452249105</v>
      </c>
      <c r="H45" s="63" t="n">
        <f aca="false">E45/G45</f>
        <v>1.73006964061519</v>
      </c>
      <c r="I45" s="2" t="s">
        <v>2315</v>
      </c>
      <c r="J45" s="7" t="str">
        <f aca="false">IF(ABS((H45)-00_Assumptions!$D$145)&lt;=00_Assumptions!$E$145,"PASS","FAIL: "&amp;TEXT((H45)-00_Assumptions!$D$145,"#,##0.000"))</f>
        <v>PASS</v>
      </c>
      <c r="K45" s="7" t="str">
        <f aca="false">IF(ABS((E45)-00_Assumptions!$D$141)&lt;=00_Assumptions!$E$141,"PASS","FAIL: "&amp;TEXT((E45)-00_Assumptions!$D$141,"#,##0.000"))</f>
        <v>PASS</v>
      </c>
    </row>
    <row r="46" customFormat="false" ht="15" hidden="false" customHeight="false" outlineLevel="0" collapsed="false">
      <c r="A46" s="61" t="s">
        <v>2317</v>
      </c>
      <c r="B46" s="31" t="n">
        <f aca="false">LB_01</f>
        <v>65000</v>
      </c>
      <c r="C46" s="74" t="s">
        <v>511</v>
      </c>
      <c r="D46" s="31" t="n">
        <f aca="false">LB_01</f>
        <v>65000</v>
      </c>
      <c r="E46" s="75" t="n">
        <f aca="false">D46/LB_03</f>
        <v>0.523121992048546</v>
      </c>
      <c r="F46" s="31" t="n">
        <f aca="false">02_Revenue!$D$44</f>
        <v>40000</v>
      </c>
      <c r="G46" s="73" t="n">
        <f aca="false">F46/LB_04</f>
        <v>0.220730452249105</v>
      </c>
      <c r="H46" s="63" t="n">
        <f aca="false">E46/G46</f>
        <v>2.36995841180163</v>
      </c>
      <c r="I46" s="2" t="s">
        <v>2315</v>
      </c>
      <c r="J46" s="7" t="str">
        <f aca="false">IF(ABS((H46)-00_Assumptions!$D$146)&lt;=00_Assumptions!$E$146,"PASS","FAIL: "&amp;TEXT((H46)-00_Assumptions!$D$146,"#,##0.000"))</f>
        <v>PASS</v>
      </c>
      <c r="K46" s="7" t="str">
        <f aca="false">IF(ABS((E46)-00_Assumptions!$D$142)&lt;=00_Assumptions!$E$142,"PASS","FAIL: "&amp;TEXT((E46)-00_Assumptions!$D$142,"#,##0.000"))</f>
        <v>PASS</v>
      </c>
    </row>
    <row r="47" customFormat="false" ht="15" hidden="false" customHeight="false" outlineLevel="0" collapsed="false">
      <c r="A47" s="9" t="s">
        <v>2318</v>
      </c>
      <c r="B47" s="31" t="n">
        <f aca="false">LB_01</f>
        <v>65000</v>
      </c>
      <c r="C47" s="62" t="n">
        <f aca="false">01_Data!$D$36</f>
        <v>0.3975</v>
      </c>
      <c r="D47" s="31" t="n">
        <f aca="false">02_Revenue!$D$38</f>
        <v>39162.5</v>
      </c>
      <c r="E47" s="73" t="n">
        <f aca="false">D47/LB_03</f>
        <v>0.315181000209249</v>
      </c>
      <c r="F47" s="31" t="n">
        <f aca="false">02_Revenue!$D$45</f>
        <v>32000</v>
      </c>
      <c r="G47" s="73" t="n">
        <f aca="false">F47/LB_04</f>
        <v>0.176584361799284</v>
      </c>
      <c r="H47" s="63" t="n">
        <f aca="false">E47/G47</f>
        <v>1.7848749288881</v>
      </c>
      <c r="I47" s="2" t="s">
        <v>2319</v>
      </c>
      <c r="J47" s="7" t="str">
        <f aca="false">IF(ABS((H47)-00_Assumptions!$D$225)&lt;=00_Assumptions!$E$225,"PASS","FAIL: "&amp;TEXT((H47)-00_Assumptions!$D$225,"#,##0.000"))</f>
        <v>PASS</v>
      </c>
    </row>
    <row r="48" customFormat="false" ht="15" hidden="false" customHeight="false" outlineLevel="0" collapsed="false">
      <c r="A48" s="9" t="s">
        <v>2320</v>
      </c>
      <c r="E48" s="76" t="n">
        <f aca="false">E44-E42</f>
        <v>0.0872808923656381</v>
      </c>
      <c r="G48" s="76" t="n">
        <f aca="false">G44-G42</f>
        <v>0.0827739195934145</v>
      </c>
      <c r="H48" s="58" t="n">
        <f aca="false">H44-H42</f>
        <v>-0.224070452611183</v>
      </c>
    </row>
    <row r="49" customFormat="false" ht="15" hidden="false" customHeight="false" outlineLevel="0" collapsed="false">
      <c r="A49" s="2" t="s">
        <v>2321</v>
      </c>
    </row>
    <row r="50" customFormat="false" ht="15" hidden="false" customHeight="false" outlineLevel="0" collapsed="false">
      <c r="A50" s="2" t="s">
        <v>2322</v>
      </c>
    </row>
    <row r="52" customFormat="false" ht="15" hidden="false" customHeight="false" outlineLevel="0" collapsed="false">
      <c r="A52" s="24" t="s">
        <v>2323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customFormat="false" ht="15" hidden="false" customHeight="false" outlineLevel="0" collapsed="false">
      <c r="A53" s="8" t="s">
        <v>306</v>
      </c>
      <c r="B53" s="8" t="s">
        <v>6</v>
      </c>
      <c r="C53" s="8" t="s">
        <v>2048</v>
      </c>
      <c r="D53" s="8" t="s">
        <v>308</v>
      </c>
      <c r="E53" s="8" t="s">
        <v>12</v>
      </c>
    </row>
    <row r="54" customFormat="false" ht="15" hidden="false" customHeight="false" outlineLevel="0" collapsed="false">
      <c r="A54" s="9" t="s">
        <v>2324</v>
      </c>
      <c r="B54" s="2" t="s">
        <v>18</v>
      </c>
      <c r="C54" s="2" t="s">
        <v>2325</v>
      </c>
      <c r="D54" s="31" t="n">
        <f aca="false">01_Data!$D$154</f>
        <v>25000</v>
      </c>
      <c r="E54" s="31" t="n">
        <f aca="false">01_Data!$D$155</f>
        <v>27000</v>
      </c>
    </row>
    <row r="55" customFormat="false" ht="15" hidden="false" customHeight="false" outlineLevel="0" collapsed="false">
      <c r="A55" s="9" t="s">
        <v>2326</v>
      </c>
      <c r="B55" s="2" t="s">
        <v>18</v>
      </c>
      <c r="C55" s="2" t="s">
        <v>2327</v>
      </c>
      <c r="D55" s="31" t="n">
        <f aca="false">01_Data!$D$156</f>
        <v>57000</v>
      </c>
      <c r="E55" s="31" t="n">
        <f aca="false">01_Data!$D$157</f>
        <v>63000</v>
      </c>
    </row>
    <row r="56" customFormat="false" ht="15" hidden="false" customHeight="false" outlineLevel="0" collapsed="false">
      <c r="A56" s="9" t="s">
        <v>2328</v>
      </c>
      <c r="B56" s="2" t="s">
        <v>18</v>
      </c>
      <c r="C56" s="2" t="s">
        <v>2327</v>
      </c>
      <c r="D56" s="31" t="n">
        <f aca="false">01_Data!$D$158</f>
        <v>39000</v>
      </c>
      <c r="E56" s="31" t="n">
        <f aca="false">01_Data!$D$159</f>
        <v>40000</v>
      </c>
    </row>
    <row r="57" customFormat="false" ht="15" hidden="false" customHeight="false" outlineLevel="0" collapsed="false">
      <c r="A57" s="9" t="s">
        <v>2329</v>
      </c>
      <c r="B57" s="2" t="s">
        <v>18</v>
      </c>
      <c r="C57" s="2" t="s">
        <v>2330</v>
      </c>
      <c r="D57" s="31" t="n">
        <f aca="false">01_Data!$D$160</f>
        <v>3700</v>
      </c>
      <c r="E57" s="31" t="n">
        <f aca="false">01_Data!$D$17</f>
        <v>9300</v>
      </c>
    </row>
    <row r="58" customFormat="false" ht="15" hidden="false" customHeight="false" outlineLevel="0" collapsed="false">
      <c r="A58" s="9" t="s">
        <v>2331</v>
      </c>
      <c r="B58" s="2" t="s">
        <v>18</v>
      </c>
      <c r="C58" s="2" t="s">
        <v>2332</v>
      </c>
      <c r="D58" s="31" t="n">
        <f aca="false">AVERAGE(01_Data!$D$17,LB_06b)*00_Assumptions!$F$90</f>
        <v>43200</v>
      </c>
    </row>
    <row r="59" customFormat="false" ht="15" hidden="false" customHeight="false" outlineLevel="0" collapsed="false">
      <c r="A59" s="9" t="s">
        <v>2333</v>
      </c>
      <c r="B59" s="2" t="s">
        <v>18</v>
      </c>
      <c r="C59" s="2" t="s">
        <v>2334</v>
      </c>
      <c r="D59" s="31" t="n">
        <f aca="false">D58*00_Assumptions!$G$34</f>
        <v>8640</v>
      </c>
      <c r="E59" s="51" t="n">
        <f aca="false">00_Assumptions!$G$34</f>
        <v>0.2</v>
      </c>
    </row>
    <row r="60" customFormat="false" ht="15" hidden="false" customHeight="false" outlineLevel="0" collapsed="false">
      <c r="A60" s="9" t="s">
        <v>2335</v>
      </c>
      <c r="B60" s="2" t="s">
        <v>18</v>
      </c>
      <c r="C60" s="2" t="s">
        <v>2336</v>
      </c>
      <c r="D60" s="32" t="n">
        <f aca="false">E54</f>
        <v>27000</v>
      </c>
    </row>
    <row r="61" customFormat="false" ht="15" hidden="false" customHeight="false" outlineLevel="0" collapsed="false">
      <c r="A61" s="3" t="s">
        <v>2337</v>
      </c>
      <c r="B61" s="2" t="s">
        <v>18</v>
      </c>
      <c r="C61" s="2" t="s">
        <v>2338</v>
      </c>
      <c r="D61" s="77" t="n">
        <f aca="false">D58-D59-D60</f>
        <v>7560</v>
      </c>
    </row>
    <row r="63" customFormat="false" ht="15" hidden="false" customHeight="false" outlineLevel="0" collapsed="false">
      <c r="A63" s="3" t="s">
        <v>2339</v>
      </c>
    </row>
    <row r="64" customFormat="false" ht="15" hidden="false" customHeight="false" outlineLevel="0" collapsed="false">
      <c r="A64" s="9" t="s">
        <v>2340</v>
      </c>
      <c r="C64" s="2" t="s">
        <v>2341</v>
      </c>
      <c r="D64" s="31" t="n">
        <f aca="false">01_Data!$D$73</f>
        <v>-11000</v>
      </c>
    </row>
    <row r="65" customFormat="false" ht="15" hidden="false" customHeight="false" outlineLevel="0" collapsed="false">
      <c r="A65" s="9" t="s">
        <v>2342</v>
      </c>
      <c r="C65" s="2" t="s">
        <v>2343</v>
      </c>
      <c r="D65" s="31" t="n">
        <f aca="false">LB_05b*00_Assumptions!$F$90</f>
        <v>2236</v>
      </c>
    </row>
    <row r="66" customFormat="false" ht="15" hidden="false" customHeight="false" outlineLevel="0" collapsed="false">
      <c r="A66" s="3" t="s">
        <v>2344</v>
      </c>
      <c r="C66" s="57" t="str">
        <f aca="false">SW_A_2026_LOSS</f>
        <v>Adjusted-operating-income trajectory (Q2 print; non-GAAP, definition unpublished, L-151/L-152)</v>
      </c>
      <c r="D66" s="11" t="n">
        <f aca="false">IF(SW_A_2026_LOSS="GAAP -11,000 (Jan plan)",D64,D65)</f>
        <v>2236</v>
      </c>
    </row>
    <row r="67" customFormat="false" ht="15" hidden="false" customHeight="false" outlineLevel="0" collapsed="false">
      <c r="A67" s="9" t="s">
        <v>2345</v>
      </c>
      <c r="C67" s="2" t="s">
        <v>2208</v>
      </c>
      <c r="D67" s="31" t="n">
        <f aca="false">01_Data!$D$76</f>
        <v>5600</v>
      </c>
    </row>
    <row r="69" customFormat="false" ht="15" hidden="false" customHeight="false" outlineLevel="0" collapsed="false">
      <c r="A69" s="3" t="s">
        <v>2346</v>
      </c>
    </row>
    <row r="70" customFormat="false" ht="15" hidden="false" customHeight="false" outlineLevel="0" collapsed="false">
      <c r="A70" s="9" t="s">
        <v>2347</v>
      </c>
      <c r="C70" s="2" t="s">
        <v>2348</v>
      </c>
      <c r="D70" s="31" t="n">
        <f aca="false">01_Data!$D$79</f>
        <v>2500</v>
      </c>
      <c r="E70" s="44" t="s">
        <v>2349</v>
      </c>
    </row>
    <row r="71" customFormat="false" ht="15" hidden="false" customHeight="false" outlineLevel="0" collapsed="false">
      <c r="A71" s="9" t="s">
        <v>2350</v>
      </c>
      <c r="C71" s="57" t="str">
        <f aca="false">SW_15B_FACILITY</f>
        <v>Does not close</v>
      </c>
      <c r="D71" s="31" t="n">
        <f aca="false">IF(SW_15B_FACILITY="Closes",01_Data!$D$80,01_Data!$D$123)</f>
        <v>0</v>
      </c>
      <c r="E71" s="78" t="str">
        <f aca="false">01_Data!$D$81</f>
        <v>NOT closed as of 2026-09-09 ('set to finalize' Sep-3; PB deal still Upcoming)</v>
      </c>
    </row>
    <row r="72" customFormat="false" ht="15" hidden="false" customHeight="false" outlineLevel="0" collapsed="false">
      <c r="A72" s="9" t="s">
        <v>2351</v>
      </c>
      <c r="D72" s="32" t="n">
        <f aca="false">D70+D71</f>
        <v>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2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8" min="6" style="1" width="14"/>
  </cols>
  <sheetData>
    <row r="1" customFormat="false" ht="15" hidden="false" customHeight="false" outlineLevel="0" collapsed="false">
      <c r="A1" s="2" t="s">
        <v>2352</v>
      </c>
    </row>
    <row r="3" customFormat="false" ht="15" hidden="false" customHeight="false" outlineLevel="0" collapsed="false">
      <c r="A3" s="24" t="s">
        <v>2353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customFormat="false" ht="15" hidden="false" customHeight="false" outlineLevel="0" collapsed="false">
      <c r="A4" s="8" t="s">
        <v>306</v>
      </c>
      <c r="B4" s="8" t="s">
        <v>6</v>
      </c>
      <c r="C4" s="8" t="s">
        <v>2048</v>
      </c>
      <c r="D4" s="8" t="s">
        <v>308</v>
      </c>
      <c r="E4" s="8" t="s">
        <v>2023</v>
      </c>
      <c r="F4" s="8" t="s">
        <v>201</v>
      </c>
      <c r="G4" s="8" t="s">
        <v>12</v>
      </c>
    </row>
    <row r="5" customFormat="false" ht="15" hidden="false" customHeight="false" outlineLevel="0" collapsed="false">
      <c r="A5" s="9" t="s">
        <v>2354</v>
      </c>
      <c r="B5" s="2" t="s">
        <v>18</v>
      </c>
      <c r="C5" s="2" t="s">
        <v>2355</v>
      </c>
      <c r="D5" s="11" t="n">
        <f aca="false">01_Data!$D$34</f>
        <v>965000</v>
      </c>
      <c r="E5" s="2" t="s">
        <v>511</v>
      </c>
    </row>
    <row r="6" customFormat="false" ht="15" hidden="false" customHeight="false" outlineLevel="0" collapsed="false">
      <c r="A6" s="9" t="s">
        <v>2356</v>
      </c>
      <c r="B6" s="2" t="s">
        <v>18</v>
      </c>
      <c r="C6" s="2" t="s">
        <v>2357</v>
      </c>
      <c r="D6" s="11" t="n">
        <f aca="false">01_Data!$D$35</f>
        <v>852000</v>
      </c>
      <c r="E6" s="2" t="s">
        <v>511</v>
      </c>
    </row>
    <row r="7" customFormat="false" ht="15" hidden="false" customHeight="false" outlineLevel="0" collapsed="false">
      <c r="A7" s="9" t="s">
        <v>2358</v>
      </c>
      <c r="B7" s="2" t="s">
        <v>524</v>
      </c>
      <c r="C7" s="2" t="s">
        <v>1554</v>
      </c>
      <c r="D7" s="79" t="n">
        <f aca="false">D5/LB_01</f>
        <v>14.8461538461538</v>
      </c>
      <c r="E7" s="2" t="s">
        <v>1979</v>
      </c>
      <c r="F7" s="7" t="str">
        <f aca="false">IF(ABS((D7)-00_Assumptions!$D$135)&lt;=00_Assumptions!$E$135,"PASS","FAIL: "&amp;TEXT((D7)-00_Assumptions!$D$135,"#,##0.000"))</f>
        <v>PASS</v>
      </c>
    </row>
    <row r="8" customFormat="false" ht="15" hidden="false" customHeight="false" outlineLevel="0" collapsed="false">
      <c r="A8" s="9" t="s">
        <v>2359</v>
      </c>
      <c r="B8" s="2" t="s">
        <v>524</v>
      </c>
      <c r="C8" s="2" t="s">
        <v>1554</v>
      </c>
      <c r="D8" s="79" t="n">
        <f aca="false">D5/02_Revenue!$D$37</f>
        <v>24.6409192467284</v>
      </c>
      <c r="E8" s="62" t="n">
        <f aca="false">SW_HAIRCUT</f>
        <v>0.3975</v>
      </c>
    </row>
    <row r="9" customFormat="false" ht="15" hidden="false" customHeight="false" outlineLevel="0" collapsed="false">
      <c r="A9" s="9" t="s">
        <v>2360</v>
      </c>
      <c r="B9" s="2" t="s">
        <v>524</v>
      </c>
      <c r="C9" s="2" t="s">
        <v>1554</v>
      </c>
      <c r="D9" s="79" t="n">
        <f aca="false">D5/02_Revenue!$D$38</f>
        <v>24.6409192467284</v>
      </c>
      <c r="E9" s="62" t="n">
        <f aca="false">01_Data!$D$36</f>
        <v>0.3975</v>
      </c>
      <c r="F9" s="7" t="str">
        <f aca="false">IF(ABS((D9)-00_Assumptions!$D$136)&lt;=00_Assumptions!$E$136,"PASS","FAIL: "&amp;TEXT((D9)-00_Assumptions!$D$136,"#,##0.000"))</f>
        <v>PASS</v>
      </c>
    </row>
    <row r="10" customFormat="false" ht="15" hidden="false" customHeight="false" outlineLevel="0" collapsed="false">
      <c r="A10" s="9" t="s">
        <v>2361</v>
      </c>
      <c r="B10" s="2" t="s">
        <v>524</v>
      </c>
      <c r="C10" s="2" t="s">
        <v>1554</v>
      </c>
      <c r="D10" s="79" t="n">
        <f aca="false">D5/02_Revenue!$D$39</f>
        <v>20.3371970495258</v>
      </c>
      <c r="E10" s="62" t="n">
        <f aca="false">01_Data!$D$37</f>
        <v>0.27</v>
      </c>
      <c r="F10" s="7" t="str">
        <f aca="false">IF(ABS((D10)-00_Assumptions!$D$137)&lt;=00_Assumptions!$E$137,"PASS","FAIL: "&amp;TEXT((D10)-00_Assumptions!$D$137,"#,##0.000"))</f>
        <v>PASS</v>
      </c>
    </row>
    <row r="11" customFormat="false" ht="15" hidden="false" customHeight="false" outlineLevel="0" collapsed="false">
      <c r="A11" s="9" t="s">
        <v>2362</v>
      </c>
      <c r="B11" s="2" t="s">
        <v>524</v>
      </c>
      <c r="C11" s="2" t="s">
        <v>1554</v>
      </c>
      <c r="D11" s="79" t="n">
        <f aca="false">D6/02_Revenue!$D$43</f>
        <v>21.3</v>
      </c>
      <c r="E11" s="57" t="str">
        <f aca="false">SW_OAI_BASIS</f>
        <v>NET</v>
      </c>
    </row>
    <row r="12" customFormat="false" ht="15" hidden="false" customHeight="false" outlineLevel="0" collapsed="false">
      <c r="A12" s="9" t="s">
        <v>2363</v>
      </c>
      <c r="B12" s="2" t="s">
        <v>524</v>
      </c>
      <c r="C12" s="2" t="s">
        <v>1554</v>
      </c>
      <c r="D12" s="79" t="n">
        <f aca="false">D6/02_Revenue!$D$44</f>
        <v>21.3</v>
      </c>
      <c r="E12" s="2" t="s">
        <v>2315</v>
      </c>
      <c r="F12" s="7" t="str">
        <f aca="false">IF(ABS((D12)-00_Assumptions!$D$138)&lt;=00_Assumptions!$E$138,"PASS","FAIL: "&amp;TEXT((D12)-00_Assumptions!$D$138,"#,##0.000"))</f>
        <v>PASS</v>
      </c>
    </row>
    <row r="13" customFormat="false" ht="15" hidden="false" customHeight="false" outlineLevel="0" collapsed="false">
      <c r="A13" s="9" t="s">
        <v>2364</v>
      </c>
      <c r="B13" s="2" t="s">
        <v>524</v>
      </c>
      <c r="C13" s="2" t="s">
        <v>1554</v>
      </c>
      <c r="D13" s="79" t="n">
        <f aca="false">D6/02_Revenue!$D$45</f>
        <v>26.625</v>
      </c>
      <c r="E13" s="13" t="n">
        <f aca="false">01_Data!$D$38</f>
        <v>0.2</v>
      </c>
      <c r="F13" s="7" t="str">
        <f aca="false">IF(ABS((D13)-00_Assumptions!$D$139)&lt;=00_Assumptions!$E$139,"PASS","FAIL: "&amp;TEXT((D13)-00_Assumptions!$D$139,"#,##0.000"))</f>
        <v>PASS</v>
      </c>
      <c r="G13" s="61" t="s">
        <v>2365</v>
      </c>
    </row>
    <row r="14" customFormat="false" ht="15" hidden="false" customHeight="false" outlineLevel="0" collapsed="false">
      <c r="A14" s="9" t="s">
        <v>2366</v>
      </c>
      <c r="B14" s="2" t="s">
        <v>24</v>
      </c>
      <c r="C14" s="2" t="s">
        <v>1554</v>
      </c>
      <c r="D14" s="67" t="n">
        <f aca="false">D8/D11-1</f>
        <v>0.156850668860487</v>
      </c>
      <c r="E14" s="62" t="n">
        <f aca="false">SW_HAIRCUT</f>
        <v>0.3975</v>
      </c>
    </row>
    <row r="15" customFormat="false" ht="15" hidden="false" customHeight="false" outlineLevel="0" collapsed="false">
      <c r="A15" s="9" t="s">
        <v>2367</v>
      </c>
      <c r="B15" s="2" t="s">
        <v>24</v>
      </c>
      <c r="C15" s="2" t="s">
        <v>1554</v>
      </c>
      <c r="D15" s="67" t="n">
        <f aca="false">D10/D12-1</f>
        <v>-0.0452020164541871</v>
      </c>
      <c r="E15" s="62" t="n">
        <f aca="false">01_Data!$D$37</f>
        <v>0.27</v>
      </c>
      <c r="F15" s="7" t="str">
        <f aca="false">IF(ABS((D15)-00_Assumptions!$D$223)&lt;=00_Assumptions!$E$223,"PASS","FAIL: "&amp;TEXT((D15)-00_Assumptions!$D$223,"#,##0.000"))</f>
        <v>PASS</v>
      </c>
    </row>
    <row r="16" customFormat="false" ht="15" hidden="false" customHeight="false" outlineLevel="0" collapsed="false">
      <c r="A16" s="9" t="s">
        <v>2368</v>
      </c>
      <c r="B16" s="2" t="s">
        <v>524</v>
      </c>
      <c r="C16" s="2" t="s">
        <v>2369</v>
      </c>
      <c r="D16" s="79" t="n">
        <f aca="false">D5/05_Cash_Fund!$D$42</f>
        <v>34.0778670433478</v>
      </c>
      <c r="E16" s="62" t="n">
        <f aca="false">01_Data!$D$36</f>
        <v>0.3975</v>
      </c>
      <c r="F16" s="7" t="str">
        <f aca="false">IF(ABS((D16)-00_Assumptions!$D$217)&lt;=00_Assumptions!$E$217,"PASS","FAIL: "&amp;TEXT((D16)-00_Assumptions!$D$217,"#,##0.000"))</f>
        <v>PASS</v>
      </c>
    </row>
    <row r="17" customFormat="false" ht="15" hidden="false" customHeight="false" outlineLevel="0" collapsed="false">
      <c r="A17" s="9" t="s">
        <v>2370</v>
      </c>
      <c r="B17" s="2" t="s">
        <v>524</v>
      </c>
      <c r="C17" s="2" t="s">
        <v>2371</v>
      </c>
      <c r="D17" s="79" t="n">
        <f aca="false">D6/01_Data!$D$39</f>
        <v>34.08</v>
      </c>
      <c r="E17" s="2" t="s">
        <v>2312</v>
      </c>
      <c r="F17" s="7" t="str">
        <f aca="false">IF(ABS((D17)-00_Assumptions!$D$217)&lt;=00_Assumptions!$E$217,"PASS","FAIL: "&amp;TEXT((D17)-00_Assumptions!$D$217,"#,##0.000"))</f>
        <v>PASS</v>
      </c>
    </row>
    <row r="18" customFormat="false" ht="15" hidden="false" customHeight="false" outlineLevel="0" collapsed="false">
      <c r="A18" s="9" t="s">
        <v>2372</v>
      </c>
      <c r="B18" s="2" t="s">
        <v>24</v>
      </c>
      <c r="C18" s="2" t="s">
        <v>1554</v>
      </c>
      <c r="D18" s="67" t="n">
        <f aca="false">D9/D12-1</f>
        <v>0.156850668860487</v>
      </c>
      <c r="E18" s="62" t="n">
        <f aca="false">01_Data!$D$36</f>
        <v>0.3975</v>
      </c>
      <c r="F18" s="7" t="str">
        <f aca="false">IF(ABS((D18)-00_Assumptions!$D$222)&lt;=00_Assumptions!$E$222,"PASS","FAIL: "&amp;TEXT((D18)-00_Assumptions!$D$222,"#,##0.000"))</f>
        <v>PASS</v>
      </c>
    </row>
    <row r="19" customFormat="false" ht="15" hidden="false" customHeight="false" outlineLevel="0" collapsed="false">
      <c r="A19" s="2" t="s">
        <v>2373</v>
      </c>
    </row>
    <row r="20" customFormat="false" ht="15" hidden="false" customHeight="false" outlineLevel="0" collapsed="false">
      <c r="A20" s="2" t="s">
        <v>2374</v>
      </c>
    </row>
    <row r="23" customFormat="false" ht="15" hidden="false" customHeight="false" outlineLevel="0" collapsed="false">
      <c r="A23" s="24" t="s">
        <v>2375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customFormat="false" ht="22.35" hidden="false" customHeight="false" outlineLevel="0" collapsed="false">
      <c r="A24" s="8" t="s">
        <v>2302</v>
      </c>
      <c r="B24" s="8" t="s">
        <v>2376</v>
      </c>
      <c r="C24" s="8" t="s">
        <v>2377</v>
      </c>
      <c r="D24" s="8" t="s">
        <v>2378</v>
      </c>
      <c r="E24" s="8" t="s">
        <v>2379</v>
      </c>
      <c r="F24" s="8" t="s">
        <v>2380</v>
      </c>
      <c r="G24" s="8" t="s">
        <v>201</v>
      </c>
      <c r="H24" s="8" t="s">
        <v>12</v>
      </c>
    </row>
    <row r="25" customFormat="false" ht="15" hidden="false" customHeight="false" outlineLevel="0" collapsed="false">
      <c r="A25" s="9" t="s">
        <v>2381</v>
      </c>
      <c r="B25" s="80" t="n">
        <f aca="false">01_Data!$D$353</f>
        <v>8.2</v>
      </c>
      <c r="C25" s="81" t="n">
        <f aca="false">$D$5/B25/00_Assumptions!$G$90</f>
        <v>117.682926829268</v>
      </c>
      <c r="D25" s="80" t="n">
        <f aca="false">01_Data!$D$354</f>
        <v>4.53</v>
      </c>
      <c r="E25" s="81" t="n">
        <f aca="false">$D$6/D25/00_Assumptions!$G$90</f>
        <v>188.079470198676</v>
      </c>
      <c r="F25" s="63" t="n">
        <f aca="false">E25/C25</f>
        <v>1.59818824417527</v>
      </c>
      <c r="G25" s="7" t="str">
        <f aca="false">IF(ABS((F25)-00_Assumptions!$D$204)&lt;=00_Assumptions!$E$204,"PASS","FAIL: "&amp;TEXT((F25)-00_Assumptions!$D$204,"#,##0.000"))</f>
        <v>PASS</v>
      </c>
      <c r="H25" s="82" t="n">
        <f aca="false">E25-C25</f>
        <v>70.3965433694072</v>
      </c>
      <c r="I25" s="2" t="s">
        <v>2382</v>
      </c>
    </row>
    <row r="26" customFormat="false" ht="15" hidden="false" customHeight="false" outlineLevel="0" collapsed="false">
      <c r="A26" s="9" t="s">
        <v>2383</v>
      </c>
      <c r="B26" s="80" t="n">
        <f aca="false">11_AIBQ!$H$37</f>
        <v>8.15</v>
      </c>
      <c r="C26" s="81" t="n">
        <f aca="false">$D$5/B26/00_Assumptions!$G$90</f>
        <v>118.40490797546</v>
      </c>
      <c r="D26" s="80" t="n">
        <f aca="false">11_AIBQ!$H$41</f>
        <v>4.87</v>
      </c>
      <c r="E26" s="81" t="n">
        <f aca="false">$D$6/D26/00_Assumptions!$G$90</f>
        <v>174.948665297741</v>
      </c>
      <c r="F26" s="63" t="n">
        <f aca="false">E26/C26</f>
        <v>1.47754572246279</v>
      </c>
      <c r="G26" s="7" t="str">
        <f aca="false">IF(ABS((F26)-00_Assumptions!$D$202)&lt;=00_Assumptions!$E$202,"PASS","FAIL: "&amp;TEXT((F26)-00_Assumptions!$D$202,"#,##0.000"))</f>
        <v>PASS</v>
      </c>
      <c r="H26" s="82" t="n">
        <f aca="false">E26-C26</f>
        <v>56.5437573222812</v>
      </c>
      <c r="I26" s="2" t="s">
        <v>2384</v>
      </c>
    </row>
    <row r="27" customFormat="false" ht="15" hidden="false" customHeight="false" outlineLevel="0" collapsed="false">
      <c r="A27" s="9" t="s">
        <v>2385</v>
      </c>
      <c r="B27" s="80" t="n">
        <f aca="false">11_AIBQ!$H$38</f>
        <v>8.135</v>
      </c>
      <c r="C27" s="81" t="n">
        <f aca="false">$D$5/B27/00_Assumptions!$G$90</f>
        <v>118.623232944069</v>
      </c>
      <c r="D27" s="80" t="n">
        <f aca="false">11_AIBQ!$H$41</f>
        <v>4.87</v>
      </c>
      <c r="E27" s="81" t="n">
        <f aca="false">$D$6/D27/00_Assumptions!$G$90</f>
        <v>174.948665297741</v>
      </c>
      <c r="F27" s="63" t="n">
        <f aca="false">E27/C27</f>
        <v>1.47482631315764</v>
      </c>
      <c r="G27" s="7" t="str">
        <f aca="false">IF(ABS((F27)-00_Assumptions!$D$203)&lt;=00_Assumptions!$E$203,"PASS","FAIL: "&amp;TEXT((F27)-00_Assumptions!$D$203,"#,##0.000"))</f>
        <v>PASS</v>
      </c>
      <c r="H27" s="7" t="str">
        <f aca="false">IF(ABS((C27)-00_Assumptions!$D$201)&lt;=00_Assumptions!$E$201,"PASS","FAIL: "&amp;TEXT((C27)-00_Assumptions!$D$201,"#,##0.000"))</f>
        <v>PASS</v>
      </c>
    </row>
    <row r="28" customFormat="false" ht="15" hidden="false" customHeight="false" outlineLevel="0" collapsed="false">
      <c r="A28" s="9" t="s">
        <v>2386</v>
      </c>
      <c r="B28" s="80" t="n">
        <f aca="false">11_AIBQ!$H$39</f>
        <v>8.0375</v>
      </c>
      <c r="C28" s="81" t="n">
        <f aca="false">$D$5/B28/00_Assumptions!$G$90</f>
        <v>120.062208398134</v>
      </c>
      <c r="D28" s="80" t="n">
        <f aca="false">11_AIBQ!$H$41</f>
        <v>4.87</v>
      </c>
      <c r="E28" s="81" t="n">
        <f aca="false">$D$6/D28/00_Assumptions!$G$90</f>
        <v>174.948665297741</v>
      </c>
      <c r="F28" s="63" t="n">
        <f aca="false">E28/C28</f>
        <v>1.45715015267419</v>
      </c>
    </row>
    <row r="29" customFormat="false" ht="15" hidden="false" customHeight="false" outlineLevel="0" collapsed="false">
      <c r="A29" s="9" t="s">
        <v>2387</v>
      </c>
      <c r="B29" s="80" t="n">
        <f aca="false">11_AIBQ!$H$37</f>
        <v>8.15</v>
      </c>
      <c r="C29" s="81" t="n">
        <f aca="false">$D$5/B29/00_Assumptions!$G$90</f>
        <v>118.40490797546</v>
      </c>
      <c r="D29" s="80" t="n">
        <f aca="false">11_AIBQ!$H$42</f>
        <v>4.79</v>
      </c>
      <c r="E29" s="81" t="n">
        <f aca="false">$D$6/D29/00_Assumptions!$G$90</f>
        <v>177.870563674322</v>
      </c>
      <c r="F29" s="63" t="n">
        <f aca="false">E29/C29</f>
        <v>1.50222289528054</v>
      </c>
    </row>
    <row r="30" customFormat="false" ht="15" hidden="false" customHeight="false" outlineLevel="0" collapsed="false">
      <c r="A30" s="9" t="s">
        <v>2388</v>
      </c>
      <c r="B30" s="80" t="n">
        <f aca="false">11_AIBQ!$H$40</f>
        <v>8.15</v>
      </c>
      <c r="C30" s="81" t="n">
        <f aca="false">$D$5/B30/00_Assumptions!$G$90</f>
        <v>118.40490797546</v>
      </c>
      <c r="D30" s="80" t="n">
        <f aca="false">11_AIBQ!$H$43</f>
        <v>4.87</v>
      </c>
      <c r="E30" s="81" t="n">
        <f aca="false">$D$6/D30/00_Assumptions!$G$90</f>
        <v>174.948665297741</v>
      </c>
      <c r="F30" s="63" t="n">
        <f aca="false">E30/C30</f>
        <v>1.47754572246279</v>
      </c>
    </row>
    <row r="31" customFormat="false" ht="15" hidden="false" customHeight="false" outlineLevel="0" collapsed="false">
      <c r="A31" s="2" t="s">
        <v>2389</v>
      </c>
      <c r="G31" s="7" t="str">
        <f aca="false">IF(ABS((C26)-00_Assumptions!$D$199)&lt;=00_Assumptions!$E$199,"PASS","FAIL: "&amp;TEXT((C26)-00_Assumptions!$D$199,"#,##0.000"))</f>
        <v>PASS</v>
      </c>
      <c r="H31" s="7" t="str">
        <f aca="false">IF(ABS((E26)-00_Assumptions!$D$200)&lt;=00_Assumptions!$E$200,"PASS","FAIL: "&amp;TEXT((E26)-00_Assumptions!$D$200,"#,##0.000"))</f>
        <v>PASS</v>
      </c>
      <c r="I31" s="7" t="str">
        <f aca="false">IF(ABS((E25)-00_Assumptions!$D$205)&lt;=00_Assumptions!$E$205,"PASS","FAIL: "&amp;TEXT((E25)-00_Assumptions!$D$205,"#,##0.000"))</f>
        <v>PASS</v>
      </c>
      <c r="J31" s="7" t="str">
        <f aca="false">IF(ABS((H26)-00_Assumptions!$D$206)&lt;=00_Assumptions!$E$206,"PASS","FAIL: "&amp;TEXT((H26)-00_Assumptions!$D$206,"#,##0.000"))</f>
        <v>PASS</v>
      </c>
    </row>
    <row r="32" customFormat="false" ht="15" hidden="false" customHeight="false" outlineLevel="0" collapsed="false">
      <c r="A32" s="2" t="s">
        <v>2390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K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10" min="9" style="1" width="12"/>
  </cols>
  <sheetData>
    <row r="1" customFormat="false" ht="15" hidden="false" customHeight="false" outlineLevel="0" collapsed="false">
      <c r="A1" s="2" t="s">
        <v>2391</v>
      </c>
    </row>
    <row r="4" customFormat="false" ht="15" hidden="false" customHeight="false" outlineLevel="0" collapsed="false">
      <c r="A4" s="24" t="s">
        <v>2392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customFormat="false" ht="22.35" hidden="false" customHeight="false" outlineLevel="0" collapsed="false">
      <c r="A5" s="8" t="s">
        <v>2304</v>
      </c>
      <c r="B5" s="8" t="s">
        <v>2310</v>
      </c>
      <c r="C5" s="8" t="s">
        <v>2305</v>
      </c>
      <c r="D5" s="8" t="s">
        <v>2393</v>
      </c>
      <c r="E5" s="8" t="s">
        <v>2307</v>
      </c>
      <c r="F5" s="8" t="s">
        <v>2394</v>
      </c>
      <c r="G5" s="8" t="s">
        <v>2395</v>
      </c>
      <c r="H5" s="8" t="s">
        <v>2396</v>
      </c>
      <c r="I5" s="8" t="s">
        <v>201</v>
      </c>
    </row>
    <row r="6" customFormat="false" ht="15" hidden="false" customHeight="false" outlineLevel="0" collapsed="false">
      <c r="A6" s="62" t="n">
        <f aca="false">01_Data!$D$37</f>
        <v>0.27</v>
      </c>
      <c r="B6" s="9" t="s">
        <v>2315</v>
      </c>
      <c r="C6" s="31" t="n">
        <f aca="false">LB_01*(1-A6)</f>
        <v>47450</v>
      </c>
      <c r="D6" s="79" t="n">
        <f aca="false">01_Data!$D$34/C6</f>
        <v>20.3371970495258</v>
      </c>
      <c r="E6" s="31" t="n">
        <f aca="false">LB_02</f>
        <v>40000</v>
      </c>
      <c r="F6" s="79" t="n">
        <f aca="false">01_Data!$D$35/E6</f>
        <v>21.3</v>
      </c>
      <c r="G6" s="67" t="n">
        <f aca="false">D6/F6-1</f>
        <v>-0.0452020164541871</v>
      </c>
      <c r="H6" s="83" t="n">
        <f aca="false">(C6/LB_03)/(E6/LB_04)</f>
        <v>1.73006964061519</v>
      </c>
      <c r="I6" s="7" t="str">
        <f aca="false">IF(ABS((G6)-00_Assumptions!$D$223)&lt;=00_Assumptions!$E$223,"PASS","FAIL: "&amp;TEXT((G6)-00_Assumptions!$D$223,"#,##0.000"))</f>
        <v>PASS</v>
      </c>
      <c r="J6" s="7" t="str">
        <f aca="false">IF(ABS((H6)-00_Assumptions!$D$145)&lt;=00_Assumptions!$E$145,"PASS","FAIL: "&amp;TEXT((H6)-00_Assumptions!$D$145,"#,##0.000"))</f>
        <v>PASS</v>
      </c>
    </row>
    <row r="7" customFormat="false" ht="15" hidden="false" customHeight="false" outlineLevel="0" collapsed="false">
      <c r="A7" s="62" t="n">
        <f aca="false">00_Assumptions!$G$37</f>
        <v>0.33</v>
      </c>
      <c r="B7" s="9" t="s">
        <v>2315</v>
      </c>
      <c r="C7" s="31" t="n">
        <f aca="false">LB_01*(1-A7)</f>
        <v>43550</v>
      </c>
      <c r="D7" s="79" t="n">
        <f aca="false">01_Data!$D$34/C7</f>
        <v>22.158438576349</v>
      </c>
      <c r="E7" s="31" t="n">
        <f aca="false">LB_02</f>
        <v>40000</v>
      </c>
      <c r="F7" s="79" t="n">
        <f aca="false">01_Data!$D$35/E7</f>
        <v>21.3</v>
      </c>
      <c r="G7" s="67" t="n">
        <f aca="false">D7/F7-1</f>
        <v>0.0403022805797666</v>
      </c>
      <c r="H7" s="83" t="n">
        <f aca="false">(C7/LB_03)/(E7/LB_04)</f>
        <v>1.58787213590709</v>
      </c>
    </row>
    <row r="8" customFormat="false" ht="15" hidden="false" customHeight="false" outlineLevel="0" collapsed="false">
      <c r="A8" s="62" t="n">
        <f aca="false">01_Data!$D$36</f>
        <v>0.3975</v>
      </c>
      <c r="B8" s="9" t="s">
        <v>2315</v>
      </c>
      <c r="C8" s="31" t="n">
        <f aca="false">LB_01*(1-A8)</f>
        <v>39162.5</v>
      </c>
      <c r="D8" s="79" t="n">
        <f aca="false">01_Data!$D$34/C8</f>
        <v>24.6409192467284</v>
      </c>
      <c r="E8" s="31" t="n">
        <f aca="false">LB_02</f>
        <v>40000</v>
      </c>
      <c r="F8" s="79" t="n">
        <f aca="false">01_Data!$D$35/E8</f>
        <v>21.3</v>
      </c>
      <c r="G8" s="67" t="n">
        <f aca="false">D8/F8-1</f>
        <v>0.156850668860487</v>
      </c>
      <c r="H8" s="83" t="n">
        <f aca="false">(C8/LB_03)/(E8/LB_04)</f>
        <v>1.42789994311048</v>
      </c>
      <c r="I8" s="7" t="str">
        <f aca="false">IF(ABS((G8)-00_Assumptions!$D$222)&lt;=00_Assumptions!$E$222,"PASS","FAIL: "&amp;TEXT((G8)-00_Assumptions!$D$222,"#,##0.000"))</f>
        <v>PASS</v>
      </c>
      <c r="J8" s="7" t="str">
        <f aca="false">IF(ABS((H8)-00_Assumptions!$D$144)&lt;=00_Assumptions!$E$144,"PASS","FAIL: "&amp;TEXT((H8)-00_Assumptions!$D$144,"#,##0.000"))</f>
        <v>PASS</v>
      </c>
    </row>
    <row r="10" customFormat="false" ht="15" hidden="false" customHeight="false" outlineLevel="0" collapsed="false">
      <c r="A10" s="62" t="n">
        <f aca="false">01_Data!$D$37</f>
        <v>0.27</v>
      </c>
      <c r="B10" s="61" t="s">
        <v>1979</v>
      </c>
      <c r="C10" s="31" t="n">
        <f aca="false">LB_01*(1-A10)</f>
        <v>47450</v>
      </c>
      <c r="D10" s="79" t="n">
        <f aca="false">01_Data!$D$34/C10</f>
        <v>20.3371970495258</v>
      </c>
      <c r="E10" s="31" t="n">
        <f aca="false">LB_02*(1-01_Data!$D$38)</f>
        <v>32000</v>
      </c>
      <c r="F10" s="79" t="n">
        <f aca="false">01_Data!$D$35/E10</f>
        <v>26.625</v>
      </c>
      <c r="G10" s="67" t="n">
        <f aca="false">D10/F10-1</f>
        <v>-0.23616161316335</v>
      </c>
      <c r="H10" s="83" t="n">
        <f aca="false">(C10/LB_03)/(E10/LB_04)</f>
        <v>2.16258705076899</v>
      </c>
    </row>
    <row r="11" customFormat="false" ht="15" hidden="false" customHeight="false" outlineLevel="0" collapsed="false">
      <c r="A11" s="62" t="n">
        <f aca="false">00_Assumptions!$G$37</f>
        <v>0.33</v>
      </c>
      <c r="B11" s="61" t="s">
        <v>1979</v>
      </c>
      <c r="C11" s="31" t="n">
        <f aca="false">LB_01*(1-A11)</f>
        <v>43550</v>
      </c>
      <c r="D11" s="79" t="n">
        <f aca="false">01_Data!$D$34/C11</f>
        <v>22.158438576349</v>
      </c>
      <c r="E11" s="31" t="n">
        <f aca="false">LB_02*(1-01_Data!$D$38)</f>
        <v>32000</v>
      </c>
      <c r="F11" s="79" t="n">
        <f aca="false">01_Data!$D$35/E11</f>
        <v>26.625</v>
      </c>
      <c r="G11" s="67" t="n">
        <f aca="false">D11/F11-1</f>
        <v>-0.167758175536187</v>
      </c>
      <c r="H11" s="83" t="n">
        <f aca="false">(C11/LB_03)/(E11/LB_04)</f>
        <v>1.98484016988387</v>
      </c>
    </row>
    <row r="12" customFormat="false" ht="15" hidden="false" customHeight="false" outlineLevel="0" collapsed="false">
      <c r="A12" s="62" t="n">
        <f aca="false">01_Data!$D$36</f>
        <v>0.3975</v>
      </c>
      <c r="B12" s="61" t="s">
        <v>1979</v>
      </c>
      <c r="C12" s="31" t="n">
        <f aca="false">LB_01*(1-A12)</f>
        <v>39162.5</v>
      </c>
      <c r="D12" s="79" t="n">
        <f aca="false">01_Data!$D$34/C12</f>
        <v>24.6409192467284</v>
      </c>
      <c r="E12" s="31" t="n">
        <f aca="false">LB_02*(1-01_Data!$D$38)</f>
        <v>32000</v>
      </c>
      <c r="F12" s="79" t="n">
        <f aca="false">01_Data!$D$35/E12</f>
        <v>26.625</v>
      </c>
      <c r="G12" s="67" t="n">
        <f aca="false">D12/F12-1</f>
        <v>-0.0745194649116103</v>
      </c>
      <c r="H12" s="83" t="n">
        <f aca="false">(C12/LB_03)/(E12/LB_04)</f>
        <v>1.7848749288881</v>
      </c>
      <c r="I12" s="7" t="str">
        <f aca="false">IF(ABS((G12)-00_Assumptions!$D$224)&lt;=00_Assumptions!$E$224,"PASS","FAIL: "&amp;TEXT((G12)-00_Assumptions!$D$224,"#,##0.000"))</f>
        <v>PASS</v>
      </c>
      <c r="J12" s="7" t="str">
        <f aca="false">IF(ABS((H12)-00_Assumptions!$D$225)&lt;=00_Assumptions!$E$225,"PASS","FAIL: "&amp;TEXT((H12)-00_Assumptions!$D$225,"#,##0.000"))</f>
        <v>PASS</v>
      </c>
    </row>
    <row r="14" customFormat="false" ht="15" hidden="false" customHeight="false" outlineLevel="0" collapsed="false">
      <c r="A14" s="2" t="s">
        <v>2397</v>
      </c>
    </row>
    <row r="15" customFormat="false" ht="15" hidden="false" customHeight="false" outlineLevel="0" collapsed="false">
      <c r="A15" s="2" t="s">
        <v>2398</v>
      </c>
    </row>
    <row r="16" customFormat="false" ht="15" hidden="false" customHeight="false" outlineLevel="0" collapsed="false">
      <c r="A16" s="9" t="s">
        <v>2399</v>
      </c>
      <c r="C16" s="62" t="n">
        <f aca="false">SW_HAIRCUT</f>
        <v>0.3975</v>
      </c>
      <c r="D16" s="2" t="s">
        <v>2400</v>
      </c>
      <c r="E16" s="57" t="str">
        <f aca="false">SW_OAI_BASIS</f>
        <v>NET</v>
      </c>
    </row>
    <row r="24" customFormat="false" ht="15" hidden="false" customHeight="false" outlineLevel="0" collapsed="false">
      <c r="A24" s="24" t="s">
        <v>2401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customFormat="false" ht="15" hidden="false" customHeight="false" outlineLevel="0" collapsed="false">
      <c r="A25" s="84" t="s">
        <v>2402</v>
      </c>
    </row>
    <row r="26" customFormat="false" ht="15" hidden="false" customHeight="false" outlineLevel="0" collapsed="false">
      <c r="A26" s="59" t="s">
        <v>2403</v>
      </c>
      <c r="B26" s="14" t="n">
        <f aca="false">00_Assumptions!$I$96</f>
        <v>0.6</v>
      </c>
      <c r="C26" s="14" t="n">
        <f aca="false">00_Assumptions!$I$97</f>
        <v>0.7</v>
      </c>
      <c r="D26" s="14" t="n">
        <f aca="false">00_Assumptions!$I$98</f>
        <v>0.77</v>
      </c>
      <c r="E26" s="59" t="s">
        <v>104</v>
      </c>
      <c r="F26" s="59" t="s">
        <v>2404</v>
      </c>
      <c r="G26" s="59" t="s">
        <v>2405</v>
      </c>
    </row>
    <row r="27" customFormat="false" ht="15" hidden="false" customHeight="false" outlineLevel="0" collapsed="false">
      <c r="A27" s="11" t="n">
        <f aca="false">00_Assumptions!$D$87</f>
        <v>150000</v>
      </c>
      <c r="B27" s="32" t="n">
        <f aca="false">$A27*(1-B$26)+$E$27-$F$27-$G$27</f>
        <v>-11355</v>
      </c>
      <c r="C27" s="32" t="n">
        <f aca="false">$A27*(1-C$26)+$E$27-$F$27-$G$27</f>
        <v>-26355</v>
      </c>
      <c r="D27" s="32" t="n">
        <f aca="false">$A27*(1-D$26)+$E$27-$F$27-$G$27</f>
        <v>-36855</v>
      </c>
      <c r="E27" s="31" t="n">
        <f aca="false">00_Assumptions!$D$89</f>
        <v>22000</v>
      </c>
      <c r="F27" s="31" t="n">
        <f aca="false">09_Obligations!$I$64</f>
        <v>53355</v>
      </c>
      <c r="G27" s="31" t="n">
        <f aca="false">09_Obligations!$I$74</f>
        <v>40000</v>
      </c>
    </row>
    <row r="28" customFormat="false" ht="15" hidden="false" customHeight="false" outlineLevel="0" collapsed="false">
      <c r="A28" s="11" t="n">
        <f aca="false">00_Assumptions!$E$87</f>
        <v>175000</v>
      </c>
      <c r="B28" s="32" t="n">
        <f aca="false">$A28*(1-B$26)+$E$27-$F$27-$G$27</f>
        <v>-1355</v>
      </c>
      <c r="C28" s="32" t="n">
        <f aca="false">$A28*(1-C$26)+$E$27-$F$27-$G$27</f>
        <v>-18855</v>
      </c>
      <c r="D28" s="32" t="n">
        <f aca="false">$A28*(1-D$26)+$E$27-$F$27-$G$27</f>
        <v>-31105</v>
      </c>
    </row>
    <row r="29" customFormat="false" ht="15" hidden="false" customHeight="false" outlineLevel="0" collapsed="false">
      <c r="A29" s="11" t="n">
        <f aca="false">00_Assumptions!$F$87</f>
        <v>200000</v>
      </c>
      <c r="B29" s="32" t="n">
        <f aca="false">$A29*(1-B$26)+$E$27-$F$27-$G$27</f>
        <v>8645</v>
      </c>
      <c r="C29" s="32" t="n">
        <f aca="false">$A29*(1-C$26)+$E$27-$F$27-$G$27</f>
        <v>-11355</v>
      </c>
      <c r="D29" s="32" t="n">
        <f aca="false">$A29*(1-D$26)+$E$27-$F$27-$G$27</f>
        <v>-25355</v>
      </c>
    </row>
    <row r="30" customFormat="false" ht="15" hidden="false" customHeight="false" outlineLevel="0" collapsed="false">
      <c r="A30" s="84" t="s">
        <v>2406</v>
      </c>
    </row>
    <row r="31" customFormat="false" ht="15" hidden="false" customHeight="false" outlineLevel="0" collapsed="false">
      <c r="A31" s="59" t="s">
        <v>2403</v>
      </c>
      <c r="B31" s="14" t="n">
        <f aca="false">00_Assumptions!$I$96</f>
        <v>0.6</v>
      </c>
      <c r="C31" s="14" t="n">
        <f aca="false">00_Assumptions!$I$97</f>
        <v>0.7</v>
      </c>
      <c r="D31" s="14" t="n">
        <f aca="false">00_Assumptions!$I$98</f>
        <v>0.77</v>
      </c>
      <c r="E31" s="59" t="s">
        <v>104</v>
      </c>
      <c r="F31" s="59" t="s">
        <v>2404</v>
      </c>
      <c r="G31" s="59" t="s">
        <v>2405</v>
      </c>
    </row>
    <row r="32" customFormat="false" ht="15" hidden="false" customHeight="false" outlineLevel="0" collapsed="false">
      <c r="A32" s="11" t="n">
        <f aca="false">00_Assumptions!$D$87</f>
        <v>150000</v>
      </c>
      <c r="B32" s="32" t="n">
        <f aca="false">$A32*(1-B$31)+$E$32-$F$32-$G$32</f>
        <v>-3355</v>
      </c>
      <c r="C32" s="32" t="n">
        <f aca="false">$A32*(1-C$31)+$E$32-$F$32-$G$32</f>
        <v>-18355</v>
      </c>
      <c r="D32" s="32" t="n">
        <f aca="false">$A32*(1-D$31)+$E$32-$F$32-$G$32</f>
        <v>-28855</v>
      </c>
      <c r="E32" s="31" t="n">
        <f aca="false">00_Assumptions!$E$89</f>
        <v>30000</v>
      </c>
      <c r="F32" s="31" t="n">
        <f aca="false">09_Obligations!$I$64</f>
        <v>53355</v>
      </c>
      <c r="G32" s="31" t="n">
        <f aca="false">09_Obligations!$I$74</f>
        <v>40000</v>
      </c>
    </row>
    <row r="33" customFormat="false" ht="15" hidden="false" customHeight="false" outlineLevel="0" collapsed="false">
      <c r="A33" s="11" t="n">
        <f aca="false">00_Assumptions!$E$87</f>
        <v>175000</v>
      </c>
      <c r="B33" s="32" t="n">
        <f aca="false">$A33*(1-B$31)+$E$32-$F$32-$G$32</f>
        <v>6645</v>
      </c>
      <c r="C33" s="32" t="n">
        <f aca="false">$A33*(1-C$31)+$E$32-$F$32-$G$32</f>
        <v>-10855</v>
      </c>
      <c r="D33" s="32" t="n">
        <f aca="false">$A33*(1-D$31)+$E$32-$F$32-$G$32</f>
        <v>-23105</v>
      </c>
    </row>
    <row r="34" customFormat="false" ht="15" hidden="false" customHeight="false" outlineLevel="0" collapsed="false">
      <c r="A34" s="11" t="n">
        <f aca="false">00_Assumptions!$F$87</f>
        <v>200000</v>
      </c>
      <c r="B34" s="32" t="n">
        <f aca="false">$A34*(1-B$31)+$E$32-$F$32-$G$32</f>
        <v>16645</v>
      </c>
      <c r="C34" s="32" t="n">
        <f aca="false">$A34*(1-C$31)+$E$32-$F$32-$G$32</f>
        <v>-3355</v>
      </c>
      <c r="D34" s="32" t="n">
        <f aca="false">$A34*(1-D$31)+$E$32-$F$32-$G$32</f>
        <v>-17355</v>
      </c>
    </row>
    <row r="35" customFormat="false" ht="15" hidden="false" customHeight="false" outlineLevel="0" collapsed="false">
      <c r="A35" s="84" t="s">
        <v>2407</v>
      </c>
    </row>
    <row r="36" customFormat="false" ht="15" hidden="false" customHeight="false" outlineLevel="0" collapsed="false">
      <c r="A36" s="59" t="s">
        <v>2403</v>
      </c>
      <c r="B36" s="14" t="n">
        <f aca="false">00_Assumptions!$I$96</f>
        <v>0.6</v>
      </c>
      <c r="C36" s="14" t="n">
        <f aca="false">00_Assumptions!$I$97</f>
        <v>0.7</v>
      </c>
      <c r="D36" s="14" t="n">
        <f aca="false">00_Assumptions!$I$98</f>
        <v>0.77</v>
      </c>
      <c r="E36" s="59" t="s">
        <v>104</v>
      </c>
      <c r="F36" s="59" t="s">
        <v>2404</v>
      </c>
      <c r="G36" s="59" t="s">
        <v>2405</v>
      </c>
    </row>
    <row r="37" customFormat="false" ht="15" hidden="false" customHeight="false" outlineLevel="0" collapsed="false">
      <c r="A37" s="11" t="n">
        <f aca="false">00_Assumptions!$D$87</f>
        <v>150000</v>
      </c>
      <c r="B37" s="32" t="n">
        <f aca="false">$A37*(1-B$36)+$E$37-$F$37-$G$37</f>
        <v>-17855</v>
      </c>
      <c r="C37" s="32" t="n">
        <f aca="false">$A37*(1-C$36)+$E$37-$F$37-$G$37</f>
        <v>-32855</v>
      </c>
      <c r="D37" s="32" t="n">
        <f aca="false">$A37*(1-D$36)+$E$37-$F$37-$G$37</f>
        <v>-43355</v>
      </c>
      <c r="E37" s="31" t="n">
        <f aca="false">00_Assumptions!$D$89</f>
        <v>22000</v>
      </c>
      <c r="F37" s="31" t="n">
        <f aca="false">09_Obligations!$I$64</f>
        <v>53355</v>
      </c>
      <c r="G37" s="31" t="n">
        <f aca="false">09_Obligations!$I$71</f>
        <v>46500</v>
      </c>
    </row>
    <row r="38" customFormat="false" ht="15" hidden="false" customHeight="false" outlineLevel="0" collapsed="false">
      <c r="A38" s="11" t="n">
        <f aca="false">00_Assumptions!$E$87</f>
        <v>175000</v>
      </c>
      <c r="B38" s="32" t="n">
        <f aca="false">$A38*(1-B$36)+$E$37-$F$37-$G$37</f>
        <v>-7855</v>
      </c>
      <c r="C38" s="32" t="n">
        <f aca="false">$A38*(1-C$36)+$E$37-$F$37-$G$37</f>
        <v>-25355</v>
      </c>
      <c r="D38" s="32" t="n">
        <f aca="false">$A38*(1-D$36)+$E$37-$F$37-$G$37</f>
        <v>-37605</v>
      </c>
    </row>
    <row r="39" customFormat="false" ht="15" hidden="false" customHeight="false" outlineLevel="0" collapsed="false">
      <c r="A39" s="11" t="n">
        <f aca="false">00_Assumptions!$F$87</f>
        <v>200000</v>
      </c>
      <c r="B39" s="32" t="n">
        <f aca="false">$A39*(1-B$36)+$E$37-$F$37-$G$37</f>
        <v>2145</v>
      </c>
      <c r="C39" s="32" t="n">
        <f aca="false">$A39*(1-C$36)+$E$37-$F$37-$G$37</f>
        <v>-17855</v>
      </c>
      <c r="D39" s="32" t="n">
        <f aca="false">$A39*(1-D$36)+$E$37-$F$37-$G$37</f>
        <v>-31855</v>
      </c>
    </row>
    <row r="40" customFormat="false" ht="15" hidden="false" customHeight="false" outlineLevel="0" collapsed="false">
      <c r="A40" s="2" t="s">
        <v>2408</v>
      </c>
      <c r="G40" s="11" t="n">
        <f aca="false">00_Assumptions!$F$87*(1-00_Assumptions!$I$98)+00_Assumptions!$D$89-09_Obligations!$I$64-09_Obligations!$I$70</f>
        <v>-25355</v>
      </c>
      <c r="H40" s="7" t="str">
        <f aca="false">IF(ABS((G40)-00_Assumptions!$D$183)&lt;=00_Assumptions!$E$183,"PASS","FAIL: "&amp;TEXT((G40)-00_Assumptions!$D$183,"#,##0.000"))</f>
        <v>PASS</v>
      </c>
    </row>
    <row r="41" customFormat="false" ht="15" hidden="false" customHeight="false" outlineLevel="0" collapsed="false">
      <c r="A41" s="9" t="s">
        <v>2409</v>
      </c>
      <c r="C41" s="57" t="str">
        <f aca="false">SW_GOOGLE_VALUE</f>
        <v>reported</v>
      </c>
      <c r="D41" s="49" t="n">
        <f aca="false">SW_TPU_RATE</f>
        <v>9.3</v>
      </c>
      <c r="E41" s="85" t="n">
        <f aca="false">SW_GW_2028</f>
        <v>5</v>
      </c>
    </row>
    <row r="44" customFormat="false" ht="15" hidden="false" customHeight="false" outlineLevel="0" collapsed="false">
      <c r="A44" s="24" t="s">
        <v>2410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customFormat="false" ht="15" hidden="false" customHeight="false" outlineLevel="0" collapsed="false">
      <c r="A45" s="59" t="s">
        <v>2411</v>
      </c>
      <c r="B45" s="11" t="n">
        <f aca="false">00_Assumptions!$F$27</f>
        <v>600000</v>
      </c>
      <c r="C45" s="11" t="n">
        <f aca="false">00_Assumptions!$E$27</f>
        <v>750000</v>
      </c>
      <c r="D45" s="11" t="n">
        <f aca="false">00_Assumptions!$D$27</f>
        <v>900000</v>
      </c>
      <c r="E45" s="59" t="s">
        <v>2412</v>
      </c>
      <c r="F45" s="59" t="s">
        <v>2413</v>
      </c>
      <c r="G45" s="59" t="s">
        <v>2414</v>
      </c>
      <c r="H45" s="59" t="s">
        <v>2415</v>
      </c>
    </row>
    <row r="46" customFormat="false" ht="15" hidden="false" customHeight="false" outlineLevel="0" collapsed="false">
      <c r="A46" s="14" t="n">
        <f aca="false">00_Assumptions!$D$26</f>
        <v>0.4</v>
      </c>
      <c r="B46" s="31" t="n">
        <f aca="false">$E46-(B$45-LB_07a)*$H$46-$G$46*$E46</f>
        <v>-89994.241456</v>
      </c>
      <c r="C46" s="31" t="n">
        <f aca="false">$E46-(C$45-LB_07a)*$H$46-$G$46*$E46</f>
        <v>-142494.241456</v>
      </c>
      <c r="D46" s="31" t="n">
        <f aca="false">$E46-(D$45-LB_07a)*$H$46-$G$46*$E46</f>
        <v>-194994.241456</v>
      </c>
      <c r="E46" s="31" t="n">
        <f aca="false">02_Revenue!$M$64*(1+A46)^$F$46</f>
        <v>146436.79792</v>
      </c>
      <c r="F46" s="57" t="n">
        <f aca="false">(00_Assumptions!$K$2-00_Assumptions!$G$2)</f>
        <v>4</v>
      </c>
      <c r="G46" s="51" t="n">
        <f aca="false">00_Assumptions!$G$28</f>
        <v>0.3</v>
      </c>
      <c r="H46" s="51" t="n">
        <f aca="false">00_Assumptions!$G$86</f>
        <v>0.35</v>
      </c>
    </row>
    <row r="47" customFormat="false" ht="15" hidden="false" customHeight="false" outlineLevel="0" collapsed="false">
      <c r="A47" s="14" t="n">
        <f aca="false">00_Assumptions!$E$26</f>
        <v>0.7</v>
      </c>
      <c r="B47" s="31" t="n">
        <f aca="false">$E47-(B$45-LB_07a)*$H$46-$G$46*$E47</f>
        <v>30359.835989</v>
      </c>
      <c r="C47" s="31" t="n">
        <f aca="false">$E47-(C$45-LB_07a)*$H$46-$G$46*$E47</f>
        <v>-22140.1640109999</v>
      </c>
      <c r="D47" s="31" t="n">
        <f aca="false">$E47-(D$45-LB_07a)*$H$46-$G$46*$E47</f>
        <v>-74640.164011</v>
      </c>
      <c r="E47" s="31" t="n">
        <f aca="false">02_Revenue!$M$64*(1+A47)^$F$46</f>
        <v>318371.19427</v>
      </c>
    </row>
    <row r="48" customFormat="false" ht="15" hidden="false" customHeight="false" outlineLevel="0" collapsed="false">
      <c r="A48" s="14" t="n">
        <f aca="false">00_Assumptions!$F$26</f>
        <v>1</v>
      </c>
      <c r="B48" s="31" t="n">
        <f aca="false">$E48-(B$45-LB_07a)*$H$46-$G$46*$E48</f>
        <v>234429.44</v>
      </c>
      <c r="C48" s="31" t="n">
        <f aca="false">$E48-(C$45-LB_07a)*$H$46-$G$46*$E48</f>
        <v>181929.44</v>
      </c>
      <c r="D48" s="31" t="n">
        <f aca="false">$E48-(D$45-LB_07a)*$H$46-$G$46*$E48</f>
        <v>129429.44</v>
      </c>
      <c r="E48" s="31" t="n">
        <f aca="false">02_Revenue!$M$64*(1+A48)^$F$46</f>
        <v>609899.2</v>
      </c>
    </row>
    <row r="50" customFormat="false" ht="15" hidden="false" customHeight="false" outlineLevel="0" collapsed="false">
      <c r="A50" s="9" t="s">
        <v>2416</v>
      </c>
      <c r="B50" s="31" t="n">
        <f aca="false">(B45-LB_07a)*$H$46</f>
        <v>192500</v>
      </c>
      <c r="C50" s="31" t="n">
        <f aca="false">(C45-LB_07a)*$H$46</f>
        <v>245000</v>
      </c>
      <c r="D50" s="31" t="n">
        <f aca="false">(D45-LB_07a)*$H$46</f>
        <v>297500</v>
      </c>
    </row>
    <row r="51" customFormat="false" ht="15" hidden="false" customHeight="false" outlineLevel="0" collapsed="false">
      <c r="A51" s="9" t="s">
        <v>2417</v>
      </c>
      <c r="C51" s="64" t="n">
        <f aca="false">C47</f>
        <v>-22140.1640109999</v>
      </c>
      <c r="D51" s="3" t="str">
        <f aca="false">IF(C47&gt;=0,"positive","negative")</f>
        <v>negative</v>
      </c>
    </row>
    <row r="52" customFormat="false" ht="15" hidden="false" customHeight="false" outlineLevel="0" collapsed="false">
      <c r="A52" s="9" t="s">
        <v>2418</v>
      </c>
      <c r="C52" s="31" t="n">
        <f aca="false">01_Data!$D$158</f>
        <v>39000</v>
      </c>
    </row>
    <row r="53" customFormat="false" ht="15" hidden="false" customHeight="false" outlineLevel="0" collapsed="false">
      <c r="A53" s="9" t="s">
        <v>2419</v>
      </c>
      <c r="B53" s="51" t="n">
        <f aca="false">00_Assumptions!$D$86</f>
        <v>0.15</v>
      </c>
      <c r="C53" s="51" t="n">
        <f aca="false">00_Assumptions!$E$86</f>
        <v>0.22</v>
      </c>
      <c r="D53" s="51" t="n">
        <f aca="false">00_Assumptions!$F$86</f>
        <v>0.28</v>
      </c>
      <c r="E53" s="51" t="n">
        <f aca="false">00_Assumptions!$G$86</f>
        <v>0.35</v>
      </c>
    </row>
    <row r="54" customFormat="false" ht="15" hidden="false" customHeight="false" outlineLevel="0" collapsed="false">
      <c r="A54" s="9" t="s">
        <v>2420</v>
      </c>
      <c r="C54" s="31" t="n">
        <f aca="false">02_Revenue!$M$64</f>
        <v>38118.7</v>
      </c>
    </row>
    <row r="55" customFormat="false" ht="15" hidden="false" customHeight="false" outlineLevel="0" collapsed="false">
      <c r="A55" s="2" t="s">
        <v>2421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K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34"/>
    <col collapsed="false" customWidth="true" hidden="false" outlineLevel="0" max="5" min="5" style="1" width="22"/>
    <col collapsed="false" customWidth="true" hidden="false" outlineLevel="0" max="6" min="6" style="1" width="34"/>
    <col collapsed="false" customWidth="true" hidden="false" outlineLevel="0" max="7" min="7" style="1" width="26"/>
    <col collapsed="false" customWidth="true" hidden="false" outlineLevel="0" max="8" min="8" style="1" width="30"/>
  </cols>
  <sheetData>
    <row r="1" customFormat="false" ht="15" hidden="false" customHeight="false" outlineLevel="0" collapsed="false">
      <c r="A1" s="2" t="s">
        <v>2422</v>
      </c>
    </row>
    <row r="2" customFormat="false" ht="15" hidden="false" customHeight="false" outlineLevel="0" collapsed="false">
      <c r="A2" s="8" t="s">
        <v>2423</v>
      </c>
      <c r="B2" s="8" t="s">
        <v>6</v>
      </c>
      <c r="C2" s="8" t="s">
        <v>2220</v>
      </c>
      <c r="D2" s="8" t="s">
        <v>2424</v>
      </c>
      <c r="E2" s="8" t="s">
        <v>2221</v>
      </c>
      <c r="F2" s="8" t="s">
        <v>2424</v>
      </c>
      <c r="G2" s="8" t="s">
        <v>2425</v>
      </c>
      <c r="H2" s="8" t="s">
        <v>12</v>
      </c>
    </row>
    <row r="3" customFormat="false" ht="15" hidden="false" customHeight="false" outlineLevel="0" collapsed="false">
      <c r="A3" s="3" t="s">
        <v>2426</v>
      </c>
      <c r="B3" s="2" t="s">
        <v>18</v>
      </c>
      <c r="C3" s="11" t="n">
        <f aca="false">01_Data!$D$34</f>
        <v>965000</v>
      </c>
      <c r="D3" s="2" t="s">
        <v>2427</v>
      </c>
      <c r="E3" s="11" t="n">
        <f aca="false">01_Data!$D$35</f>
        <v>852000</v>
      </c>
      <c r="F3" s="2" t="s">
        <v>2428</v>
      </c>
      <c r="G3" s="2" t="s">
        <v>2429</v>
      </c>
      <c r="H3" s="2" t="s">
        <v>483</v>
      </c>
    </row>
    <row r="4" customFormat="false" ht="15" hidden="false" customHeight="false" outlineLevel="0" collapsed="false">
      <c r="A4" s="3" t="s">
        <v>2430</v>
      </c>
      <c r="B4" s="2" t="s">
        <v>18</v>
      </c>
      <c r="C4" s="11" t="n">
        <f aca="false">LB_03</f>
        <v>124254</v>
      </c>
      <c r="D4" s="2" t="s">
        <v>2431</v>
      </c>
      <c r="E4" s="11" t="n">
        <f aca="false">LB_04</f>
        <v>181216.5</v>
      </c>
      <c r="F4" s="2" t="s">
        <v>2432</v>
      </c>
      <c r="G4" s="2" t="s">
        <v>2433</v>
      </c>
      <c r="H4" s="2" t="s">
        <v>2434</v>
      </c>
    </row>
    <row r="5" customFormat="false" ht="15" hidden="false" customHeight="false" outlineLevel="0" collapsed="false">
      <c r="A5" s="3" t="s">
        <v>2435</v>
      </c>
      <c r="B5" s="2" t="s">
        <v>14</v>
      </c>
      <c r="C5" s="11" t="n">
        <f aca="false">LB_01</f>
        <v>65000</v>
      </c>
      <c r="D5" s="2" t="s">
        <v>2436</v>
      </c>
      <c r="E5" s="11" t="n">
        <f aca="false">LB_02</f>
        <v>40000</v>
      </c>
      <c r="F5" s="57" t="str">
        <f aca="false">"basis unstated ("&amp;SW_OAI_BASIS&amp;" assumed) · T2 · 2026-07"</f>
        <v>basis unstated (NET assumed) · T2 · 2026-07</v>
      </c>
      <c r="G5" s="2" t="s">
        <v>2437</v>
      </c>
      <c r="H5" s="2" t="s">
        <v>2438</v>
      </c>
    </row>
    <row r="6" customFormat="false" ht="15" hidden="false" customHeight="false" outlineLevel="0" collapsed="false">
      <c r="A6" s="3" t="s">
        <v>2439</v>
      </c>
      <c r="B6" s="2" t="s">
        <v>14</v>
      </c>
      <c r="C6" s="11" t="n">
        <f aca="false">02_Revenue!$D$37</f>
        <v>39162.5</v>
      </c>
      <c r="D6" s="62" t="n">
        <f aca="false">SW_HAIRCUT</f>
        <v>0.3975</v>
      </c>
      <c r="E6" s="11" t="n">
        <f aca="false">02_Revenue!$D$43</f>
        <v>40000</v>
      </c>
      <c r="F6" s="57" t="str">
        <f aca="false">SW_OAI_BASIS</f>
        <v>NET</v>
      </c>
      <c r="G6" s="2" t="s">
        <v>2440</v>
      </c>
      <c r="H6" s="2" t="s">
        <v>2441</v>
      </c>
    </row>
    <row r="7" customFormat="false" ht="15" hidden="false" customHeight="false" outlineLevel="0" collapsed="false">
      <c r="A7" s="3" t="s">
        <v>2442</v>
      </c>
      <c r="B7" s="2" t="s">
        <v>18</v>
      </c>
      <c r="C7" s="11" t="n">
        <f aca="false">LB_05a</f>
        <v>11600</v>
      </c>
      <c r="D7" s="2" t="s">
        <v>2443</v>
      </c>
      <c r="E7" s="11" t="n">
        <f aca="false">LB_06a</f>
        <v>6700</v>
      </c>
      <c r="F7" s="2" t="s">
        <v>2444</v>
      </c>
      <c r="G7" s="2" t="s">
        <v>2445</v>
      </c>
      <c r="H7" s="2" t="s">
        <v>2446</v>
      </c>
    </row>
    <row r="8" customFormat="false" ht="15" hidden="false" customHeight="false" outlineLevel="0" collapsed="false">
      <c r="A8" s="3" t="s">
        <v>2447</v>
      </c>
      <c r="B8" s="2" t="s">
        <v>18</v>
      </c>
      <c r="C8" s="11" t="n">
        <f aca="false">LB_05b</f>
        <v>559</v>
      </c>
      <c r="D8" s="2" t="s">
        <v>2448</v>
      </c>
      <c r="E8" s="11" t="n">
        <f aca="false">-LB_06b</f>
        <v>-12300</v>
      </c>
      <c r="F8" s="2" t="s">
        <v>2449</v>
      </c>
      <c r="G8" s="2" t="s">
        <v>2450</v>
      </c>
      <c r="H8" s="2" t="s">
        <v>2451</v>
      </c>
    </row>
    <row r="9" customFormat="false" ht="15" hidden="false" customHeight="false" outlineLevel="0" collapsed="false">
      <c r="A9" s="3" t="s">
        <v>2452</v>
      </c>
      <c r="B9" s="2" t="s">
        <v>18</v>
      </c>
      <c r="C9" s="11" t="str">
        <f aca="false">TEXT(02_Revenue!$M$57,"#,##0")&amp;" - "&amp;TEXT(02_Revenue!$M$56,"#,##0")</f>
        <v>48,830 - 62,580</v>
      </c>
      <c r="D9" s="2" t="s">
        <v>2453</v>
      </c>
      <c r="E9" s="11" t="str">
        <f aca="false">TEXT(02_Revenue!$M$65,"#,##0")&amp;" - "&amp;TEXT(02_Revenue!$M$67,"#,##0")</f>
        <v>32,400 - 45,500</v>
      </c>
      <c r="F9" s="2" t="s">
        <v>2454</v>
      </c>
      <c r="G9" s="2" t="s">
        <v>2455</v>
      </c>
      <c r="H9" s="57" t="str">
        <f aca="false">"live scenario: "&amp;TEXT(02_Revenue!$M$54,"#,##0")&amp;" / "&amp;TEXT(02_Revenue!$M$64,"#,##0")</f>
        <v>live scenario: 60,080 / 38,119</v>
      </c>
    </row>
    <row r="10" customFormat="false" ht="15" hidden="false" customHeight="false" outlineLevel="0" collapsed="false">
      <c r="A10" s="3" t="s">
        <v>2456</v>
      </c>
      <c r="B10" s="2" t="s">
        <v>18</v>
      </c>
      <c r="C10" s="11" t="n">
        <f aca="false">09_Obligations!$B$18</f>
        <v>324100</v>
      </c>
      <c r="D10" s="57" t="str">
        <f aca="false">"8 contracts · T1-T3; reported-$ "&amp;TEXT(09_Obligations!$B$20,"#,##0")&amp;" [VERIFY, T3]"</f>
        <v>8 contracts · T1-T3; reported-$ 524,100 [VERIFY, T3]</v>
      </c>
      <c r="E10" s="11" t="n">
        <f aca="false">09_Obligations!$B$38</f>
        <v>480400</v>
      </c>
      <c r="F10" s="57" t="str">
        <f aca="false">"4 contracts · T1-T2; recalled-$ "&amp;TEXT(09_Obligations!$B$39,"#,##0")&amp;" (CNV)"</f>
        <v>4 contracts · T1-T2; recalled-$ 690,000 (CNV)</v>
      </c>
      <c r="G10" s="2" t="s">
        <v>2457</v>
      </c>
      <c r="H10" s="2" t="s">
        <v>2458</v>
      </c>
    </row>
    <row r="11" customFormat="false" ht="15" hidden="false" customHeight="false" outlineLevel="0" collapsed="false">
      <c r="A11" s="3" t="s">
        <v>2459</v>
      </c>
      <c r="B11" s="2" t="s">
        <v>713</v>
      </c>
      <c r="C11" s="7" t="str">
        <f aca="false">"Google "&amp;TEXT(01_Data!$D$231,"0")&amp;" GW contracted (reported value T3 only) + "&amp;TEXT(01_Data!$D$232,"0")&amp;" GW line of sight; AMD "&amp;TEXT(01_Data!$D$235,"0")&amp;" GW"</f>
        <v>Google 5 GW contracted (reported value T3 only) + 10 GW line of sight; AMD 2 GW</v>
      </c>
      <c r="D11" s="2" t="s">
        <v>2460</v>
      </c>
      <c r="E11" s="7" t="str">
        <f aca="false">"SB Energy "&amp;TEXT(09_Obligations!$E$38,"0.00")&amp;" GW-IT (T1 leases, rent undisclosed); AMD "&amp;TEXT(01_Data!$D$253,"0")&amp;" GW; Broadcom "&amp;TEXT(01_Data!$D$233,"0.0")&amp;" GW 2027 / &gt;"&amp;TEXT(01_Data!$D$234,"0")&amp;" GW 2028"</f>
        <v>SB Energy 8.75 GW-IT (T1 leases, rent undisclosed); AMD 6 GW; Broadcom 1.3 GW 2027 / &gt;5 GW 2028</v>
      </c>
      <c r="F11" s="2" t="s">
        <v>2461</v>
      </c>
      <c r="G11" s="2" t="s">
        <v>2457</v>
      </c>
      <c r="H11" s="2" t="s">
        <v>2462</v>
      </c>
    </row>
    <row r="12" customFormat="false" ht="15" hidden="false" customHeight="false" outlineLevel="0" collapsed="false">
      <c r="A12" s="3" t="s">
        <v>2463</v>
      </c>
      <c r="B12" s="2" t="s">
        <v>686</v>
      </c>
      <c r="C12" s="7" t="str">
        <f aca="false">"confidential "&amp;01_Data!$D$402&amp;"; expected "&amp;01_Data!$D$403&amp;" (PB); "&amp;01_Data!$D$404</f>
        <v>confidential 2026-06-01; expected October 2026 (PB); mid-October 2026 reported (Forbes headline); late Sep / early Oct (The Information)</v>
      </c>
      <c r="D12" s="2" t="s">
        <v>2464</v>
      </c>
      <c r="E12" s="7" t="str">
        <f aca="false">"confidential "&amp;01_Data!$D$405&amp;"; SW_IPO_OAI = "&amp;SW_IPO_OAI&amp;"; CFO: "&amp;01_Data!$D$406</f>
        <v>confidential 2026-06-08; SW_IPO_OAI = 2027; CFO: 'will be a public company in 2027', possibly sooner</v>
      </c>
      <c r="F12" s="2" t="s">
        <v>2465</v>
      </c>
      <c r="G12" s="2" t="s">
        <v>1924</v>
      </c>
      <c r="H12" s="57" t="str">
        <f aca="false">SW_IPO_OAI</f>
        <v>2027</v>
      </c>
    </row>
    <row r="13" customFormat="false" ht="15" hidden="false" customHeight="false" outlineLevel="0" collapsed="false">
      <c r="A13" s="3" t="s">
        <v>2466</v>
      </c>
      <c r="B13" s="2" t="s">
        <v>2467</v>
      </c>
      <c r="C13" s="7" t="str">
        <f aca="false">00_Assumptions!$D$4</f>
        <v>Base</v>
      </c>
      <c r="D13" s="2" t="s">
        <v>2468</v>
      </c>
      <c r="E13" s="23" t="n">
        <f aca="false">SW_HAIRCUT</f>
        <v>0.3975</v>
      </c>
      <c r="F13" s="2" t="s">
        <v>2469</v>
      </c>
      <c r="G13" s="2" t="s">
        <v>2470</v>
      </c>
      <c r="H13" s="2" t="s">
        <v>2471</v>
      </c>
    </row>
    <row r="14" customFormat="false" ht="15" hidden="false" customHeight="false" outlineLevel="0" collapsed="false">
      <c r="A14" s="3" t="s">
        <v>2472</v>
      </c>
      <c r="B14" s="2" t="s">
        <v>524</v>
      </c>
      <c r="C14" s="73" t="n">
        <f aca="false">05_Cash_Fund!$E$43</f>
        <v>0.315181000209249</v>
      </c>
      <c r="D14" s="62" t="n">
        <f aca="false">SW_HAIRCUT</f>
        <v>0.3975</v>
      </c>
      <c r="E14" s="73" t="n">
        <f aca="false">05_Cash_Fund!$G$43</f>
        <v>0.220730452249105</v>
      </c>
      <c r="F14" s="57" t="str">
        <f aca="false">"ratio "&amp;TEXT(05_Cash_Fund!$H$43,"0.00x")</f>
        <v>ratio 1.43x</v>
      </c>
      <c r="G14" s="2" t="s">
        <v>2473</v>
      </c>
      <c r="H14" s="2" t="s">
        <v>2474</v>
      </c>
    </row>
    <row r="16" customFormat="false" ht="15" hidden="false" customHeight="false" outlineLevel="0" collapsed="false">
      <c r="A16" s="24" t="s">
        <v>2475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customFormat="false" ht="15" hidden="false" customHeight="false" outlineLevel="0" collapsed="false">
      <c r="A17" s="8" t="s">
        <v>2476</v>
      </c>
      <c r="B17" s="8" t="s">
        <v>2477</v>
      </c>
      <c r="C17" s="8" t="s">
        <v>308</v>
      </c>
      <c r="D17" s="8" t="s">
        <v>6</v>
      </c>
      <c r="E17" s="8" t="s">
        <v>309</v>
      </c>
      <c r="F17" s="8" t="s">
        <v>312</v>
      </c>
      <c r="G17" s="8" t="s">
        <v>311</v>
      </c>
      <c r="H17" s="8" t="s">
        <v>2478</v>
      </c>
    </row>
    <row r="18" customFormat="false" ht="15" hidden="false" customHeight="false" outlineLevel="0" collapsed="false">
      <c r="A18" s="55" t="s">
        <v>2479</v>
      </c>
      <c r="B18" s="9" t="s">
        <v>2480</v>
      </c>
      <c r="C18" s="11" t="n">
        <f aca="false">LB_01</f>
        <v>65000</v>
      </c>
      <c r="D18" s="2" t="s">
        <v>14</v>
      </c>
      <c r="E18" s="2" t="s">
        <v>320</v>
      </c>
      <c r="F18" s="2" t="s">
        <v>323</v>
      </c>
      <c r="G18" s="2" t="s">
        <v>322</v>
      </c>
      <c r="H18" s="2" t="s">
        <v>2481</v>
      </c>
    </row>
    <row r="19" customFormat="false" ht="15" hidden="false" customHeight="false" outlineLevel="0" collapsed="false">
      <c r="A19" s="55" t="s">
        <v>2482</v>
      </c>
      <c r="B19" s="9" t="s">
        <v>2483</v>
      </c>
      <c r="C19" s="11" t="n">
        <f aca="false">LB_02</f>
        <v>40000</v>
      </c>
      <c r="D19" s="2" t="s">
        <v>14</v>
      </c>
      <c r="E19" s="2" t="s">
        <v>330</v>
      </c>
      <c r="F19" s="2" t="s">
        <v>323</v>
      </c>
      <c r="G19" s="2" t="s">
        <v>322</v>
      </c>
      <c r="H19" s="2" t="s">
        <v>2484</v>
      </c>
    </row>
    <row r="20" customFormat="false" ht="15" hidden="false" customHeight="false" outlineLevel="0" collapsed="false">
      <c r="A20" s="55" t="s">
        <v>2485</v>
      </c>
      <c r="B20" s="9" t="s">
        <v>2486</v>
      </c>
      <c r="C20" s="11" t="n">
        <f aca="false">LB_03</f>
        <v>124254</v>
      </c>
      <c r="D20" s="2" t="s">
        <v>18</v>
      </c>
      <c r="E20" s="2" t="s">
        <v>336</v>
      </c>
      <c r="F20" s="2" t="s">
        <v>323</v>
      </c>
      <c r="G20" s="2" t="s">
        <v>2487</v>
      </c>
      <c r="H20" s="2" t="s">
        <v>2488</v>
      </c>
    </row>
    <row r="21" customFormat="false" ht="15" hidden="false" customHeight="false" outlineLevel="0" collapsed="false">
      <c r="A21" s="55" t="s">
        <v>2489</v>
      </c>
      <c r="B21" s="9" t="s">
        <v>2490</v>
      </c>
      <c r="C21" s="11" t="n">
        <f aca="false">LB_04</f>
        <v>181216.5</v>
      </c>
      <c r="D21" s="2" t="s">
        <v>18</v>
      </c>
      <c r="E21" s="2" t="s">
        <v>345</v>
      </c>
      <c r="F21" s="2" t="s">
        <v>323</v>
      </c>
      <c r="G21" s="2" t="s">
        <v>2487</v>
      </c>
      <c r="H21" s="2" t="s">
        <v>2491</v>
      </c>
    </row>
    <row r="22" customFormat="false" ht="15" hidden="false" customHeight="false" outlineLevel="0" collapsed="false">
      <c r="A22" s="55" t="s">
        <v>2492</v>
      </c>
      <c r="B22" s="9" t="s">
        <v>2493</v>
      </c>
      <c r="C22" s="11" t="n">
        <f aca="false">LB_05a</f>
        <v>11600</v>
      </c>
      <c r="D22" s="2" t="s">
        <v>18</v>
      </c>
      <c r="E22" s="2" t="s">
        <v>351</v>
      </c>
      <c r="F22" s="2" t="s">
        <v>2494</v>
      </c>
      <c r="G22" s="2" t="s">
        <v>2495</v>
      </c>
      <c r="H22" s="2" t="s">
        <v>2496</v>
      </c>
    </row>
    <row r="23" customFormat="false" ht="15" hidden="false" customHeight="false" outlineLevel="0" collapsed="false">
      <c r="A23" s="55" t="s">
        <v>2497</v>
      </c>
      <c r="B23" s="9" t="s">
        <v>2498</v>
      </c>
      <c r="C23" s="11" t="n">
        <f aca="false">LB_06a</f>
        <v>6700</v>
      </c>
      <c r="D23" s="2" t="s">
        <v>18</v>
      </c>
      <c r="E23" s="2" t="s">
        <v>351</v>
      </c>
      <c r="F23" s="2" t="s">
        <v>323</v>
      </c>
      <c r="G23" s="2" t="s">
        <v>322</v>
      </c>
      <c r="H23" s="2" t="s">
        <v>2499</v>
      </c>
    </row>
    <row r="24" customFormat="false" ht="15" hidden="false" customHeight="false" outlineLevel="0" collapsed="false">
      <c r="A24" s="55" t="s">
        <v>2500</v>
      </c>
      <c r="B24" s="9" t="s">
        <v>2501</v>
      </c>
      <c r="C24" s="11" t="n">
        <f aca="false">LB_07a</f>
        <v>50000</v>
      </c>
      <c r="D24" s="2" t="s">
        <v>18</v>
      </c>
      <c r="E24" s="2" t="s">
        <v>2502</v>
      </c>
      <c r="F24" s="2" t="s">
        <v>323</v>
      </c>
      <c r="G24" s="2" t="s">
        <v>2503</v>
      </c>
      <c r="H24" s="2" t="s">
        <v>2504</v>
      </c>
    </row>
    <row r="25" customFormat="false" ht="15" hidden="false" customHeight="false" outlineLevel="0" collapsed="false">
      <c r="A25" s="55" t="s">
        <v>2505</v>
      </c>
      <c r="B25" s="9" t="s">
        <v>2506</v>
      </c>
      <c r="C25" s="11" t="n">
        <f aca="false">LB_08</f>
        <v>24100</v>
      </c>
      <c r="D25" s="2" t="s">
        <v>18</v>
      </c>
      <c r="E25" s="2" t="s">
        <v>432</v>
      </c>
      <c r="F25" s="2" t="s">
        <v>434</v>
      </c>
      <c r="G25" s="2" t="s">
        <v>322</v>
      </c>
      <c r="H25" s="2" t="s">
        <v>2507</v>
      </c>
    </row>
    <row r="26" customFormat="false" ht="15" hidden="false" customHeight="false" outlineLevel="0" collapsed="false">
      <c r="A26" s="55" t="s">
        <v>2508</v>
      </c>
      <c r="B26" s="9" t="s">
        <v>2509</v>
      </c>
      <c r="C26" s="19" t="n">
        <f aca="false">LB_09</f>
        <v>8</v>
      </c>
      <c r="D26" s="2" t="s">
        <v>445</v>
      </c>
      <c r="E26" s="2" t="s">
        <v>446</v>
      </c>
      <c r="F26" s="2" t="s">
        <v>434</v>
      </c>
      <c r="G26" s="2" t="s">
        <v>322</v>
      </c>
      <c r="H26" s="2" t="s">
        <v>2510</v>
      </c>
    </row>
    <row r="27" customFormat="false" ht="15" hidden="false" customHeight="false" outlineLevel="0" collapsed="false">
      <c r="A27" s="55" t="s">
        <v>2511</v>
      </c>
      <c r="B27" s="9" t="s">
        <v>2512</v>
      </c>
      <c r="C27" s="11" t="n">
        <f aca="false">LB_10</f>
        <v>190000</v>
      </c>
      <c r="D27" s="2" t="s">
        <v>18</v>
      </c>
      <c r="E27" s="2" t="s">
        <v>471</v>
      </c>
      <c r="F27" s="2" t="s">
        <v>323</v>
      </c>
      <c r="G27" s="2" t="s">
        <v>338</v>
      </c>
      <c r="H27" s="2" t="s">
        <v>2513</v>
      </c>
    </row>
    <row r="28" customFormat="false" ht="15" hidden="false" customHeight="false" outlineLevel="0" collapsed="false">
      <c r="A28" s="2" t="s">
        <v>2514</v>
      </c>
      <c r="C28" s="11" t="n">
        <f aca="false">LB_05b</f>
        <v>559</v>
      </c>
      <c r="D28" s="2" t="s">
        <v>2515</v>
      </c>
      <c r="E28" s="11" t="n">
        <f aca="false">LB_06b</f>
        <v>12300</v>
      </c>
      <c r="F28" s="2" t="s">
        <v>2516</v>
      </c>
      <c r="G28" s="11" t="n">
        <f aca="false">LB_07b</f>
        <v>750000</v>
      </c>
      <c r="H28" s="57" t="str">
        <f aca="false">"LB_10 high = "&amp;TEXT(01_Data!$D$32,"#,##0")&amp;"; RVG = "&amp;TEXT(01_Data!$D$27,"#,##0")</f>
        <v>LB_10 high = 200,000; RVG = 105,000</v>
      </c>
    </row>
    <row r="30" customFormat="false" ht="15" hidden="false" customHeight="false" outlineLevel="0" collapsed="false">
      <c r="A30" s="24" t="s">
        <v>2517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customFormat="false" ht="15" hidden="false" customHeight="false" outlineLevel="0" collapsed="false">
      <c r="A31" s="8" t="s">
        <v>2518</v>
      </c>
      <c r="B31" s="8" t="s">
        <v>308</v>
      </c>
      <c r="C31" s="8" t="s">
        <v>2519</v>
      </c>
      <c r="D31" s="8" t="s">
        <v>2520</v>
      </c>
    </row>
    <row r="32" customFormat="false" ht="15" hidden="false" customHeight="false" outlineLevel="0" collapsed="false">
      <c r="A32" s="3" t="s">
        <v>2521</v>
      </c>
      <c r="B32" s="11" t="n">
        <f aca="false">09_Obligations!$I$88</f>
        <v>-27655</v>
      </c>
      <c r="C32" s="57" t="str">
        <f aca="false">"to "&amp;TEXT(09_Obligations!$I$89,"#,##0")&amp;"; Google leg = "&amp;SW_GOOGLE_VALUE</f>
        <v>to -25,355; Google leg = reported</v>
      </c>
      <c r="D32" s="86" t="s">
        <v>2522</v>
      </c>
    </row>
    <row r="33" customFormat="false" ht="15" hidden="false" customHeight="false" outlineLevel="0" collapsed="false">
      <c r="A33" s="3" t="s">
        <v>2523</v>
      </c>
      <c r="B33" s="11" t="n">
        <f aca="false">09_Obligations!$I$90</f>
        <v>-46255</v>
      </c>
      <c r="C33" s="9" t="str">
        <f aca="false">IF(B33&lt;0,"plan does not cover commitments","covers")</f>
        <v>plan does not cover commitments</v>
      </c>
      <c r="D33" s="86" t="s">
        <v>2524</v>
      </c>
    </row>
    <row r="34" customFormat="false" ht="15" hidden="false" customHeight="false" outlineLevel="0" collapsed="false">
      <c r="A34" s="3" t="s">
        <v>2525</v>
      </c>
      <c r="B34" s="14" t="n">
        <f aca="false">06_Valuation!$D$18</f>
        <v>0.156850668860487</v>
      </c>
      <c r="C34" s="9" t="str">
        <f aca="false">IF(B34&gt;0,"Anthropic richer (+)","Anthropic cheaper (-)")</f>
        <v>Anthropic richer (+)</v>
      </c>
      <c r="D34" s="86" t="s">
        <v>2526</v>
      </c>
    </row>
    <row r="35" customFormat="false" ht="15" hidden="false" customHeight="false" outlineLevel="0" collapsed="false">
      <c r="A35" s="3" t="s">
        <v>2527</v>
      </c>
      <c r="B35" s="14" t="n">
        <f aca="false">06_Valuation!$D$15</f>
        <v>-0.0452020164541871</v>
      </c>
      <c r="C35" s="9" t="str">
        <f aca="false">IF(B35&gt;0,"Anthropic richer (+)","Anthropic cheaper (-)")</f>
        <v>Anthropic cheaper (-)</v>
      </c>
      <c r="D35" s="86" t="s">
        <v>2528</v>
      </c>
    </row>
    <row r="36" customFormat="false" ht="15" hidden="false" customHeight="false" outlineLevel="0" collapsed="false">
      <c r="A36" s="3" t="s">
        <v>2529</v>
      </c>
      <c r="B36" s="14" t="n">
        <f aca="false">06_Valuation!$D$14</f>
        <v>0.156850668860487</v>
      </c>
      <c r="C36" s="9" t="str">
        <f aca="false">IF(B36&gt;0,"Anthropic richer (+)","Anthropic cheaper (-)")</f>
        <v>Anthropic richer (+)</v>
      </c>
      <c r="D36" s="86" t="s">
        <v>2530</v>
      </c>
    </row>
    <row r="37" customFormat="false" ht="15" hidden="false" customHeight="false" outlineLevel="0" collapsed="false">
      <c r="A37" s="3" t="s">
        <v>2531</v>
      </c>
      <c r="B37" s="87" t="n">
        <f aca="false">11_AIBQ!$H$40</f>
        <v>8.15</v>
      </c>
      <c r="C37" s="80" t="n">
        <f aca="false">11_AIBQ!$H$43</f>
        <v>4.87</v>
      </c>
      <c r="D37" s="86" t="s">
        <v>2532</v>
      </c>
    </row>
    <row r="38" customFormat="false" ht="15" hidden="false" customHeight="false" outlineLevel="0" collapsed="false">
      <c r="A38" s="3" t="s">
        <v>2533</v>
      </c>
      <c r="B38" s="81" t="n">
        <f aca="false">06_Valuation!$C$30</f>
        <v>118.40490797546</v>
      </c>
      <c r="C38" s="49" t="n">
        <f aca="false">06_Valuation!$E$30</f>
        <v>174.948665297741</v>
      </c>
      <c r="D38" s="88" t="n">
        <f aca="false">06_Valuation!$F$30</f>
        <v>1.47754572246279</v>
      </c>
    </row>
    <row r="39" customFormat="false" ht="15" hidden="false" customHeight="false" outlineLevel="0" collapsed="false">
      <c r="A39" s="3" t="s">
        <v>2534</v>
      </c>
      <c r="B39" s="83" t="n">
        <f aca="false">05_Cash_Fund!$H$43</f>
        <v>1.42789994311048</v>
      </c>
      <c r="C39" s="9" t="str">
        <f aca="false">IF(B39&gt;1,"Anthropic more capital-efficient","OpenAI more capital-efficient")</f>
        <v>Anthropic more capital-efficient</v>
      </c>
      <c r="D39" s="86" t="s">
        <v>2535</v>
      </c>
    </row>
    <row r="40" customFormat="false" ht="15" hidden="false" customHeight="false" outlineLevel="0" collapsed="false">
      <c r="A40" s="3" t="s">
        <v>2536</v>
      </c>
      <c r="B40" s="11" t="n">
        <f aca="false">05_Cash_Fund!$D$66</f>
        <v>2236</v>
      </c>
      <c r="C40" s="57" t="str">
        <f aca="false">SW_A_2026_LOSS</f>
        <v>Adjusted-operating-income trajectory (Q2 print; non-GAAP, definition unpublished, L-151/L-152)</v>
      </c>
      <c r="D40" s="86" t="s">
        <v>2537</v>
      </c>
    </row>
    <row r="41" customFormat="false" ht="15" hidden="false" customHeight="false" outlineLevel="0" collapsed="false">
      <c r="A41" s="3" t="s">
        <v>2538</v>
      </c>
      <c r="B41" s="7" t="str">
        <f aca="false">00_Assumptions!$D$4</f>
        <v>Base</v>
      </c>
      <c r="C41" s="9" t="str">
        <f aca="false">" Bear = flat July run-rate, GM 44/55/60, training plan +25%, OpenAI growth 0%/40%; Bull = YE 120,000, GM 60/63/77, plan -15%, 20%/100%"</f>
        <v> Bear = flat July run-rate, GM 44/55/60, training plan +25%, OpenAI growth 0%/40%; Bull = YE 120,000, GM 60/63/77, plan -15%, 20%/100%</v>
      </c>
      <c r="D41" s="86" t="s">
        <v>2539</v>
      </c>
    </row>
    <row r="43" customFormat="false" ht="15" hidden="false" customHeight="false" outlineLevel="0" collapsed="false">
      <c r="A43" s="24" t="s">
        <v>2540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customFormat="false" ht="15" hidden="false" customHeight="false" outlineLevel="0" collapsed="false">
      <c r="A44" s="8" t="s">
        <v>201</v>
      </c>
      <c r="B44" s="8" t="s">
        <v>202</v>
      </c>
      <c r="C44" s="8" t="s">
        <v>203</v>
      </c>
      <c r="D44" s="8" t="s">
        <v>2541</v>
      </c>
      <c r="E44" s="8" t="s">
        <v>204</v>
      </c>
    </row>
    <row r="45" customFormat="false" ht="15" hidden="false" customHeight="false" outlineLevel="0" collapsed="false">
      <c r="A45" s="9" t="s">
        <v>205</v>
      </c>
      <c r="B45" s="57" t="n">
        <f aca="false">00_Assumptions!$D$132</f>
        <v>126754</v>
      </c>
      <c r="C45" s="57" t="n">
        <f aca="false">00_Assumptions!$E$132</f>
        <v>0.05</v>
      </c>
      <c r="D45" s="7" t="str">
        <f aca="false">05_Cash_Fund!$E$17</f>
        <v>PASS</v>
      </c>
      <c r="E45" s="2" t="s">
        <v>2542</v>
      </c>
    </row>
    <row r="46" customFormat="false" ht="15" hidden="false" customHeight="false" outlineLevel="0" collapsed="false">
      <c r="A46" s="9" t="s">
        <v>208</v>
      </c>
      <c r="B46" s="57" t="n">
        <f aca="false">00_Assumptions!$D$133</f>
        <v>186436.5</v>
      </c>
      <c r="C46" s="57" t="n">
        <f aca="false">00_Assumptions!$E$133</f>
        <v>0.05</v>
      </c>
      <c r="D46" s="7" t="str">
        <f aca="false">05_Cash_Fund!$K$17</f>
        <v>PASS</v>
      </c>
      <c r="E46" s="2" t="s">
        <v>2543</v>
      </c>
    </row>
    <row r="47" customFormat="false" ht="15" hidden="false" customHeight="false" outlineLevel="0" collapsed="false">
      <c r="A47" s="9" t="s">
        <v>209</v>
      </c>
      <c r="B47" s="57" t="n">
        <f aca="false">00_Assumptions!$D$134</f>
        <v>39162</v>
      </c>
      <c r="C47" s="57" t="n">
        <f aca="false">00_Assumptions!$E$134</f>
        <v>0.5</v>
      </c>
      <c r="D47" s="7" t="str">
        <f aca="false">02_Revenue!$F$38</f>
        <v>PASS</v>
      </c>
      <c r="E47" s="2" t="s">
        <v>2544</v>
      </c>
    </row>
    <row r="48" customFormat="false" ht="15" hidden="false" customHeight="false" outlineLevel="0" collapsed="false">
      <c r="A48" s="9" t="s">
        <v>210</v>
      </c>
      <c r="B48" s="57" t="n">
        <f aca="false">00_Assumptions!$D$135</f>
        <v>14.8</v>
      </c>
      <c r="C48" s="57" t="n">
        <f aca="false">00_Assumptions!$E$135</f>
        <v>0.05</v>
      </c>
      <c r="D48" s="7" t="str">
        <f aca="false">06_Valuation!$F$7</f>
        <v>PASS</v>
      </c>
      <c r="E48" s="2" t="s">
        <v>2545</v>
      </c>
    </row>
    <row r="49" customFormat="false" ht="15" hidden="false" customHeight="false" outlineLevel="0" collapsed="false">
      <c r="A49" s="9" t="s">
        <v>211</v>
      </c>
      <c r="B49" s="57" t="n">
        <f aca="false">00_Assumptions!$D$136</f>
        <v>24.6</v>
      </c>
      <c r="C49" s="57" t="n">
        <f aca="false">00_Assumptions!$E$136</f>
        <v>0.05</v>
      </c>
      <c r="D49" s="7" t="str">
        <f aca="false">06_Valuation!$F$9</f>
        <v>PASS</v>
      </c>
      <c r="E49" s="2" t="s">
        <v>2546</v>
      </c>
    </row>
    <row r="50" customFormat="false" ht="15" hidden="false" customHeight="false" outlineLevel="0" collapsed="false">
      <c r="A50" s="9" t="s">
        <v>212</v>
      </c>
      <c r="B50" s="57" t="n">
        <f aca="false">00_Assumptions!$D$137</f>
        <v>20.3</v>
      </c>
      <c r="C50" s="57" t="n">
        <f aca="false">00_Assumptions!$E$137</f>
        <v>0.05</v>
      </c>
      <c r="D50" s="7" t="str">
        <f aca="false">06_Valuation!$F$10</f>
        <v>PASS</v>
      </c>
      <c r="E50" s="2" t="s">
        <v>2547</v>
      </c>
    </row>
    <row r="51" customFormat="false" ht="15" hidden="false" customHeight="false" outlineLevel="0" collapsed="false">
      <c r="A51" s="9" t="s">
        <v>213</v>
      </c>
      <c r="B51" s="57" t="n">
        <f aca="false">00_Assumptions!$D$138</f>
        <v>21.3</v>
      </c>
      <c r="C51" s="57" t="n">
        <f aca="false">00_Assumptions!$E$138</f>
        <v>0.05</v>
      </c>
      <c r="D51" s="7" t="str">
        <f aca="false">06_Valuation!$F$12</f>
        <v>PASS</v>
      </c>
      <c r="E51" s="2" t="s">
        <v>2548</v>
      </c>
    </row>
    <row r="52" customFormat="false" ht="15" hidden="false" customHeight="false" outlineLevel="0" collapsed="false">
      <c r="A52" s="9" t="s">
        <v>214</v>
      </c>
      <c r="B52" s="57" t="n">
        <f aca="false">00_Assumptions!$D$139</f>
        <v>26.6</v>
      </c>
      <c r="C52" s="57" t="n">
        <f aca="false">00_Assumptions!$E$139</f>
        <v>0.05</v>
      </c>
      <c r="D52" s="7" t="str">
        <f aca="false">06_Valuation!$F$13</f>
        <v>PASS</v>
      </c>
      <c r="E52" s="2" t="s">
        <v>2549</v>
      </c>
    </row>
    <row r="53" customFormat="false" ht="15" hidden="false" customHeight="false" outlineLevel="0" collapsed="false">
      <c r="A53" s="9" t="s">
        <v>215</v>
      </c>
      <c r="B53" s="57" t="n">
        <f aca="false">00_Assumptions!$D$140</f>
        <v>0.315</v>
      </c>
      <c r="C53" s="57" t="n">
        <f aca="false">00_Assumptions!$E$140</f>
        <v>0.0005</v>
      </c>
      <c r="D53" s="7" t="str">
        <f aca="false">05_Cash_Fund!$K$44</f>
        <v>PASS</v>
      </c>
      <c r="E53" s="2" t="s">
        <v>2550</v>
      </c>
    </row>
    <row r="54" customFormat="false" ht="15" hidden="false" customHeight="false" outlineLevel="0" collapsed="false">
      <c r="A54" s="9" t="s">
        <v>216</v>
      </c>
      <c r="B54" s="57" t="n">
        <f aca="false">00_Assumptions!$D$141</f>
        <v>0.382</v>
      </c>
      <c r="C54" s="57" t="n">
        <f aca="false">00_Assumptions!$E$141</f>
        <v>0.0005</v>
      </c>
      <c r="D54" s="7" t="str">
        <f aca="false">05_Cash_Fund!$K$45</f>
        <v>PASS</v>
      </c>
      <c r="E54" s="2" t="s">
        <v>2551</v>
      </c>
    </row>
    <row r="55" customFormat="false" ht="15" hidden="false" customHeight="false" outlineLevel="0" collapsed="false">
      <c r="A55" s="9" t="s">
        <v>217</v>
      </c>
      <c r="B55" s="57" t="n">
        <f aca="false">00_Assumptions!$D$142</f>
        <v>0.523</v>
      </c>
      <c r="C55" s="57" t="n">
        <f aca="false">00_Assumptions!$E$142</f>
        <v>0.0005</v>
      </c>
      <c r="D55" s="7" t="str">
        <f aca="false">05_Cash_Fund!$K$46</f>
        <v>PASS</v>
      </c>
      <c r="E55" s="2" t="s">
        <v>2552</v>
      </c>
    </row>
    <row r="56" customFormat="false" ht="15" hidden="false" customHeight="false" outlineLevel="0" collapsed="false">
      <c r="A56" s="9" t="s">
        <v>218</v>
      </c>
      <c r="B56" s="57" t="n">
        <f aca="false">00_Assumptions!$D$143</f>
        <v>0.221</v>
      </c>
      <c r="C56" s="57" t="n">
        <f aca="false">00_Assumptions!$E$143</f>
        <v>0.0005</v>
      </c>
      <c r="D56" s="7" t="str">
        <f aca="false">05_Cash_Fund!$L$44</f>
        <v>PASS</v>
      </c>
      <c r="E56" s="2" t="s">
        <v>2553</v>
      </c>
    </row>
    <row r="57" customFormat="false" ht="15" hidden="false" customHeight="false" outlineLevel="0" collapsed="false">
      <c r="A57" s="9" t="s">
        <v>219</v>
      </c>
      <c r="B57" s="57" t="n">
        <f aca="false">00_Assumptions!$D$144</f>
        <v>1.43</v>
      </c>
      <c r="C57" s="57" t="n">
        <f aca="false">00_Assumptions!$E$144</f>
        <v>0.005</v>
      </c>
      <c r="D57" s="7" t="str">
        <f aca="false">07_Sensitivity!$J$8</f>
        <v>PASS</v>
      </c>
      <c r="E57" s="2" t="s">
        <v>2554</v>
      </c>
    </row>
    <row r="58" customFormat="false" ht="15" hidden="false" customHeight="false" outlineLevel="0" collapsed="false">
      <c r="A58" s="9" t="s">
        <v>220</v>
      </c>
      <c r="B58" s="57" t="n">
        <f aca="false">00_Assumptions!$D$145</f>
        <v>1.73</v>
      </c>
      <c r="C58" s="57" t="n">
        <f aca="false">00_Assumptions!$E$145</f>
        <v>0.005</v>
      </c>
      <c r="D58" s="7" t="str">
        <f aca="false">07_Sensitivity!$J$6</f>
        <v>PASS</v>
      </c>
      <c r="E58" s="2" t="s">
        <v>2555</v>
      </c>
    </row>
    <row r="59" customFormat="false" ht="15" hidden="false" customHeight="false" outlineLevel="0" collapsed="false">
      <c r="A59" s="9" t="s">
        <v>221</v>
      </c>
      <c r="B59" s="57" t="n">
        <f aca="false">00_Assumptions!$D$146</f>
        <v>2.37</v>
      </c>
      <c r="C59" s="57" t="n">
        <f aca="false">00_Assumptions!$E$146</f>
        <v>0.005</v>
      </c>
      <c r="D59" s="7" t="str">
        <f aca="false">05_Cash_Fund!$J$46</f>
        <v>PASS</v>
      </c>
      <c r="E59" s="2" t="s">
        <v>2556</v>
      </c>
    </row>
    <row r="60" customFormat="false" ht="15" hidden="false" customHeight="false" outlineLevel="0" collapsed="false">
      <c r="A60" s="9" t="s">
        <v>222</v>
      </c>
      <c r="B60" s="57" t="n">
        <f aca="false">00_Assumptions!$D$147</f>
        <v>57580</v>
      </c>
      <c r="C60" s="57" t="n">
        <f aca="false">00_Assumptions!$E$147</f>
        <v>0.5</v>
      </c>
      <c r="D60" s="7" t="str">
        <f aca="false">02_Revenue!$O$55</f>
        <v>PASS</v>
      </c>
      <c r="E60" s="2" t="s">
        <v>2557</v>
      </c>
    </row>
    <row r="61" customFormat="false" ht="15" hidden="false" customHeight="false" outlineLevel="0" collapsed="false">
      <c r="A61" s="9" t="s">
        <v>223</v>
      </c>
      <c r="B61" s="57" t="n">
        <f aca="false">00_Assumptions!$D$148</f>
        <v>62580</v>
      </c>
      <c r="C61" s="57" t="n">
        <f aca="false">00_Assumptions!$E$148</f>
        <v>0.5</v>
      </c>
      <c r="D61" s="7" t="str">
        <f aca="false">02_Revenue!$O$56</f>
        <v>PASS</v>
      </c>
      <c r="E61" s="2" t="s">
        <v>2558</v>
      </c>
    </row>
    <row r="62" customFormat="false" ht="15" hidden="false" customHeight="false" outlineLevel="0" collapsed="false">
      <c r="A62" s="9" t="s">
        <v>224</v>
      </c>
      <c r="B62" s="57" t="n">
        <f aca="false">00_Assumptions!$D$149</f>
        <v>48830</v>
      </c>
      <c r="C62" s="57" t="n">
        <f aca="false">00_Assumptions!$E$149</f>
        <v>0.5</v>
      </c>
      <c r="D62" s="7" t="str">
        <f aca="false">02_Revenue!$O$57</f>
        <v>PASS</v>
      </c>
      <c r="E62" s="2" t="s">
        <v>2559</v>
      </c>
    </row>
    <row r="63" customFormat="false" ht="15" hidden="false" customHeight="false" outlineLevel="0" collapsed="false">
      <c r="A63" s="9" t="s">
        <v>225</v>
      </c>
      <c r="B63" s="57" t="n">
        <f aca="false">00_Assumptions!$D$150</f>
        <v>16330</v>
      </c>
      <c r="C63" s="57" t="n">
        <f aca="false">00_Assumptions!$E$150</f>
        <v>0.5</v>
      </c>
      <c r="D63" s="7" t="str">
        <f aca="false">04_PL!$G$34</f>
        <v>PASS</v>
      </c>
      <c r="E63" s="2" t="s">
        <v>2560</v>
      </c>
    </row>
    <row r="64" customFormat="false" ht="15" hidden="false" customHeight="false" outlineLevel="0" collapsed="false">
      <c r="A64" s="9" t="s">
        <v>226</v>
      </c>
      <c r="B64" s="57" t="n">
        <f aca="false">00_Assumptions!$D$151</f>
        <v>2.45</v>
      </c>
      <c r="C64" s="57" t="n">
        <f aca="false">00_Assumptions!$E$151</f>
        <v>0.005</v>
      </c>
      <c r="D64" s="7" t="str">
        <f aca="false">04_PL!$G$35</f>
        <v>PASS</v>
      </c>
      <c r="E64" s="2" t="s">
        <v>2561</v>
      </c>
    </row>
    <row r="65" customFormat="false" ht="15" hidden="false" customHeight="false" outlineLevel="0" collapsed="false">
      <c r="A65" s="9" t="s">
        <v>227</v>
      </c>
      <c r="B65" s="57" t="n">
        <f aca="false">00_Assumptions!$D$152</f>
        <v>32400</v>
      </c>
      <c r="C65" s="57" t="n">
        <f aca="false">00_Assumptions!$E$152</f>
        <v>0.5</v>
      </c>
      <c r="D65" s="7" t="str">
        <f aca="false">02_Revenue!$O$65</f>
        <v>PASS</v>
      </c>
      <c r="E65" s="2" t="s">
        <v>2562</v>
      </c>
    </row>
    <row r="66" customFormat="false" ht="15" hidden="false" customHeight="false" outlineLevel="0" collapsed="false">
      <c r="A66" s="9" t="s">
        <v>228</v>
      </c>
      <c r="B66" s="57" t="n">
        <f aca="false">00_Assumptions!$D$153</f>
        <v>38119</v>
      </c>
      <c r="C66" s="57" t="n">
        <f aca="false">00_Assumptions!$E$153</f>
        <v>0.5</v>
      </c>
      <c r="D66" s="7" t="str">
        <f aca="false">02_Revenue!$O$66</f>
        <v>PASS</v>
      </c>
      <c r="E66" s="2" t="s">
        <v>2563</v>
      </c>
    </row>
    <row r="67" customFormat="false" ht="15" hidden="false" customHeight="false" outlineLevel="0" collapsed="false">
      <c r="A67" s="9" t="s">
        <v>229</v>
      </c>
      <c r="B67" s="57" t="n">
        <f aca="false">00_Assumptions!$D$154</f>
        <v>45500</v>
      </c>
      <c r="C67" s="57" t="n">
        <f aca="false">00_Assumptions!$E$154</f>
        <v>0.5</v>
      </c>
      <c r="D67" s="7" t="str">
        <f aca="false">02_Revenue!$O$67</f>
        <v>PASS</v>
      </c>
      <c r="E67" s="2" t="s">
        <v>2564</v>
      </c>
    </row>
    <row r="68" customFormat="false" ht="15" hidden="false" customHeight="false" outlineLevel="0" collapsed="false">
      <c r="A68" s="9" t="s">
        <v>230</v>
      </c>
      <c r="B68" s="57" t="n">
        <f aca="false">00_Assumptions!$D$155</f>
        <v>324100</v>
      </c>
      <c r="C68" s="57" t="n">
        <f aca="false">00_Assumptions!$E$155</f>
        <v>0.5</v>
      </c>
      <c r="D68" s="7" t="str">
        <f aca="false">09_Obligations!$H$52</f>
        <v>PASS</v>
      </c>
      <c r="E68" s="2" t="s">
        <v>2565</v>
      </c>
    </row>
    <row r="69" customFormat="false" ht="15" hidden="false" customHeight="false" outlineLevel="0" collapsed="false">
      <c r="A69" s="9" t="s">
        <v>231</v>
      </c>
      <c r="B69" s="57" t="n">
        <f aca="false">00_Assumptions!$D$156</f>
        <v>358600</v>
      </c>
      <c r="C69" s="57" t="n">
        <f aca="false">00_Assumptions!$E$156</f>
        <v>0.5</v>
      </c>
      <c r="D69" s="7" t="str">
        <f aca="false">09_Obligations!$H$53</f>
        <v>PASS</v>
      </c>
      <c r="E69" s="2" t="s">
        <v>2566</v>
      </c>
    </row>
    <row r="70" customFormat="false" ht="15" hidden="false" customHeight="false" outlineLevel="0" collapsed="false">
      <c r="A70" s="9" t="s">
        <v>232</v>
      </c>
      <c r="B70" s="57" t="n">
        <f aca="false">00_Assumptions!$D$157</f>
        <v>524100</v>
      </c>
      <c r="C70" s="57" t="n">
        <f aca="false">00_Assumptions!$E$157</f>
        <v>0.5</v>
      </c>
      <c r="D70" s="7" t="str">
        <f aca="false">09_Obligations!$H$54</f>
        <v>PASS</v>
      </c>
      <c r="E70" s="2" t="s">
        <v>2567</v>
      </c>
    </row>
    <row r="71" customFormat="false" ht="15" hidden="false" customHeight="false" outlineLevel="0" collapsed="false">
      <c r="A71" s="9" t="s">
        <v>233</v>
      </c>
      <c r="B71" s="57" t="n">
        <f aca="false">00_Assumptions!$D$158</f>
        <v>480400</v>
      </c>
      <c r="C71" s="57" t="n">
        <f aca="false">00_Assumptions!$E$158</f>
        <v>0.5</v>
      </c>
      <c r="D71" s="7" t="str">
        <f aca="false">09_Obligations!$C$38</f>
        <v>PASS</v>
      </c>
      <c r="E71" s="2" t="s">
        <v>2568</v>
      </c>
    </row>
    <row r="72" customFormat="false" ht="15" hidden="false" customHeight="false" outlineLevel="0" collapsed="false">
      <c r="A72" s="9" t="s">
        <v>234</v>
      </c>
      <c r="B72" s="57" t="n">
        <f aca="false">00_Assumptions!$D$159</f>
        <v>690000</v>
      </c>
      <c r="C72" s="57" t="n">
        <f aca="false">00_Assumptions!$E$159</f>
        <v>0.5</v>
      </c>
      <c r="D72" s="7" t="str">
        <f aca="false">09_Obligations!$C$39</f>
        <v>PASS</v>
      </c>
      <c r="E72" s="2" t="s">
        <v>2569</v>
      </c>
    </row>
    <row r="73" customFormat="false" ht="15" hidden="false" customHeight="false" outlineLevel="0" collapsed="false">
      <c r="A73" s="9" t="s">
        <v>235</v>
      </c>
      <c r="B73" s="57" t="n">
        <f aca="false">00_Assumptions!$D$160</f>
        <v>175000</v>
      </c>
      <c r="C73" s="57" t="n">
        <f aca="false">00_Assumptions!$E$160</f>
        <v>0.5</v>
      </c>
      <c r="D73" s="7" t="str">
        <f aca="false">09_Obligations!$H$46</f>
        <v>PASS</v>
      </c>
      <c r="E73" s="2" t="s">
        <v>2570</v>
      </c>
    </row>
    <row r="74" customFormat="false" ht="15" hidden="false" customHeight="false" outlineLevel="0" collapsed="false">
      <c r="A74" s="9" t="s">
        <v>236</v>
      </c>
      <c r="B74" s="57" t="n">
        <f aca="false">00_Assumptions!$D$161</f>
        <v>99100</v>
      </c>
      <c r="C74" s="57" t="n">
        <f aca="false">00_Assumptions!$E$161</f>
        <v>0.5</v>
      </c>
      <c r="D74" s="7" t="str">
        <f aca="false">09_Obligations!$H$48</f>
        <v>PASS</v>
      </c>
      <c r="E74" s="2" t="s">
        <v>2571</v>
      </c>
    </row>
    <row r="75" customFormat="false" ht="15" hidden="false" customHeight="false" outlineLevel="0" collapsed="false">
      <c r="A75" s="9" t="s">
        <v>237</v>
      </c>
      <c r="B75" s="57" t="n">
        <f aca="false">00_Assumptions!$D$162</f>
        <v>61250</v>
      </c>
      <c r="C75" s="57" t="n">
        <f aca="false">00_Assumptions!$E$162</f>
        <v>0.5</v>
      </c>
      <c r="D75" s="7" t="str">
        <f aca="false">09_Obligations!$H$47</f>
        <v>PASS</v>
      </c>
      <c r="E75" s="2" t="s">
        <v>2572</v>
      </c>
    </row>
    <row r="76" customFormat="false" ht="15" hidden="false" customHeight="false" outlineLevel="0" collapsed="false">
      <c r="A76" s="9" t="s">
        <v>238</v>
      </c>
      <c r="B76" s="57" t="n">
        <f aca="false">00_Assumptions!$D$163</f>
        <v>48000</v>
      </c>
      <c r="C76" s="57" t="n">
        <f aca="false">00_Assumptions!$E$163</f>
        <v>500</v>
      </c>
      <c r="D76" s="7" t="str">
        <f aca="false">09_Obligations!$F$18</f>
        <v>PASS</v>
      </c>
      <c r="E76" s="2" t="s">
        <v>2573</v>
      </c>
    </row>
    <row r="77" customFormat="false" ht="15" hidden="false" customHeight="false" outlineLevel="0" collapsed="false">
      <c r="A77" s="9" t="s">
        <v>239</v>
      </c>
      <c r="B77" s="57" t="n">
        <f aca="false">00_Assumptions!$D$164</f>
        <v>28158</v>
      </c>
      <c r="C77" s="57" t="n">
        <f aca="false">00_Assumptions!$E$164</f>
        <v>0.5</v>
      </c>
      <c r="D77" s="7" t="str">
        <f aca="false">09_Obligations!$G$65</f>
        <v>PASS</v>
      </c>
      <c r="E77" s="2" t="s">
        <v>2574</v>
      </c>
    </row>
    <row r="78" customFormat="false" ht="15" hidden="false" customHeight="false" outlineLevel="0" collapsed="false">
      <c r="A78" s="9" t="s">
        <v>240</v>
      </c>
      <c r="B78" s="57" t="n">
        <f aca="false">00_Assumptions!$D$165</f>
        <v>47730</v>
      </c>
      <c r="C78" s="57" t="n">
        <f aca="false">00_Assumptions!$E$165</f>
        <v>0.5</v>
      </c>
      <c r="D78" s="7" t="str">
        <f aca="false">09_Obligations!$H$65</f>
        <v>PASS</v>
      </c>
      <c r="E78" s="2" t="s">
        <v>2575</v>
      </c>
    </row>
    <row r="79" customFormat="false" ht="15" hidden="false" customHeight="false" outlineLevel="0" collapsed="false">
      <c r="A79" s="9" t="s">
        <v>241</v>
      </c>
      <c r="B79" s="57" t="n">
        <f aca="false">00_Assumptions!$D$166</f>
        <v>53355</v>
      </c>
      <c r="C79" s="57" t="n">
        <f aca="false">00_Assumptions!$E$166</f>
        <v>0.5</v>
      </c>
      <c r="D79" s="7" t="str">
        <f aca="false">09_Obligations!$I$65</f>
        <v>PASS</v>
      </c>
      <c r="E79" s="2" t="s">
        <v>2576</v>
      </c>
    </row>
    <row r="80" customFormat="false" ht="15" hidden="false" customHeight="false" outlineLevel="0" collapsed="false">
      <c r="A80" s="9" t="s">
        <v>242</v>
      </c>
      <c r="B80" s="57" t="n">
        <f aca="false">00_Assumptions!$D$167</f>
        <v>44605</v>
      </c>
      <c r="C80" s="57" t="n">
        <f aca="false">00_Assumptions!$E$167</f>
        <v>0.5</v>
      </c>
      <c r="D80" s="7" t="str">
        <f aca="false">09_Obligations!$J$65</f>
        <v>PASS</v>
      </c>
      <c r="E80" s="2" t="s">
        <v>2577</v>
      </c>
    </row>
    <row r="81" customFormat="false" ht="15" hidden="false" customHeight="false" outlineLevel="0" collapsed="false">
      <c r="A81" s="9" t="s">
        <v>243</v>
      </c>
      <c r="B81" s="57" t="n">
        <f aca="false">00_Assumptions!$D$168</f>
        <v>38355</v>
      </c>
      <c r="C81" s="57" t="n">
        <f aca="false">00_Assumptions!$E$168</f>
        <v>0.5</v>
      </c>
      <c r="D81" s="7" t="str">
        <f aca="false">09_Obligations!$K$65</f>
        <v>PASS</v>
      </c>
      <c r="E81" s="2" t="s">
        <v>2578</v>
      </c>
    </row>
    <row r="82" customFormat="false" ht="15" hidden="false" customHeight="false" outlineLevel="0" collapsed="false">
      <c r="A82" s="9" t="s">
        <v>244</v>
      </c>
      <c r="B82" s="57" t="n">
        <f aca="false">00_Assumptions!$D$169</f>
        <v>110083</v>
      </c>
      <c r="C82" s="57" t="n">
        <f aca="false">00_Assumptions!$E$169</f>
        <v>0.5</v>
      </c>
      <c r="D82" s="7" t="str">
        <f aca="false">09_Obligations!$H$69</f>
        <v>PASS</v>
      </c>
      <c r="E82" s="2" t="s">
        <v>2579</v>
      </c>
    </row>
    <row r="83" customFormat="false" ht="15" hidden="false" customHeight="false" outlineLevel="0" collapsed="false">
      <c r="A83" s="9" t="s">
        <v>245</v>
      </c>
      <c r="B83" s="57" t="n">
        <f aca="false">00_Assumptions!$D$170</f>
        <v>93355</v>
      </c>
      <c r="C83" s="57" t="n">
        <f aca="false">00_Assumptions!$E$170</f>
        <v>0.5</v>
      </c>
      <c r="D83" s="7" t="str">
        <f aca="false">09_Obligations!$J$73</f>
        <v>PASS</v>
      </c>
      <c r="E83" s="2" t="s">
        <v>2580</v>
      </c>
    </row>
    <row r="84" customFormat="false" ht="15" hidden="false" customHeight="false" outlineLevel="0" collapsed="false">
      <c r="A84" s="9" t="s">
        <v>246</v>
      </c>
      <c r="B84" s="57" t="n">
        <f aca="false">00_Assumptions!$D$171</f>
        <v>65700</v>
      </c>
      <c r="C84" s="57" t="n">
        <f aca="false">00_Assumptions!$E$171</f>
        <v>0.5</v>
      </c>
      <c r="D84" s="7" t="str">
        <f aca="false">09_Obligations!$L$82</f>
        <v>PASS</v>
      </c>
      <c r="E84" s="2" t="s">
        <v>2581</v>
      </c>
    </row>
    <row r="85" customFormat="false" ht="15" hidden="false" customHeight="false" outlineLevel="0" collapsed="false">
      <c r="A85" s="9" t="s">
        <v>247</v>
      </c>
      <c r="B85" s="57" t="n">
        <f aca="false">00_Assumptions!$D$172</f>
        <v>68000</v>
      </c>
      <c r="C85" s="57" t="n">
        <f aca="false">00_Assumptions!$E$172</f>
        <v>0.5</v>
      </c>
      <c r="D85" s="7" t="str">
        <f aca="false">09_Obligations!$L$83</f>
        <v>PASS</v>
      </c>
      <c r="E85" s="2" t="s">
        <v>2582</v>
      </c>
    </row>
    <row r="86" customFormat="false" ht="15" hidden="false" customHeight="false" outlineLevel="0" collapsed="false">
      <c r="A86" s="9" t="s">
        <v>248</v>
      </c>
      <c r="B86" s="57" t="n">
        <f aca="false">00_Assumptions!$D$173</f>
        <v>65800</v>
      </c>
      <c r="C86" s="57" t="n">
        <f aca="false">00_Assumptions!$E$173</f>
        <v>0.5</v>
      </c>
      <c r="D86" s="7" t="str">
        <f aca="false">09_Obligations!$M$82</f>
        <v>PASS</v>
      </c>
      <c r="E86" s="2" t="s">
        <v>2583</v>
      </c>
    </row>
    <row r="87" customFormat="false" ht="15" hidden="false" customHeight="false" outlineLevel="0" collapsed="false">
      <c r="A87" s="9" t="s">
        <v>249</v>
      </c>
      <c r="B87" s="57" t="n">
        <f aca="false">00_Assumptions!$D$174</f>
        <v>69500</v>
      </c>
      <c r="C87" s="57" t="n">
        <f aca="false">00_Assumptions!$E$174</f>
        <v>0.5</v>
      </c>
      <c r="D87" s="7" t="str">
        <f aca="false">09_Obligations!$M$83</f>
        <v>PASS</v>
      </c>
      <c r="E87" s="2" t="s">
        <v>2584</v>
      </c>
    </row>
    <row r="88" customFormat="false" ht="15" hidden="false" customHeight="false" outlineLevel="0" collapsed="false">
      <c r="A88" s="9" t="s">
        <v>250</v>
      </c>
      <c r="B88" s="57" t="n">
        <f aca="false">00_Assumptions!$D$175</f>
        <v>-27655</v>
      </c>
      <c r="C88" s="57" t="n">
        <f aca="false">00_Assumptions!$E$175</f>
        <v>0.5</v>
      </c>
      <c r="D88" s="7" t="str">
        <f aca="false">09_Obligations!$AO$98</f>
        <v>PASS</v>
      </c>
      <c r="E88" s="2" t="s">
        <v>2585</v>
      </c>
    </row>
    <row r="89" customFormat="false" ht="15" hidden="false" customHeight="false" outlineLevel="0" collapsed="false">
      <c r="A89" s="9" t="s">
        <v>251</v>
      </c>
      <c r="B89" s="57" t="n">
        <f aca="false">00_Assumptions!$D$176</f>
        <v>-25355</v>
      </c>
      <c r="C89" s="57" t="n">
        <f aca="false">00_Assumptions!$E$176</f>
        <v>0.5</v>
      </c>
      <c r="D89" s="7" t="str">
        <f aca="false">09_Obligations!$AR$98</f>
        <v>PASS</v>
      </c>
      <c r="E89" s="2"/>
    </row>
    <row r="90" customFormat="false" ht="15" hidden="false" customHeight="false" outlineLevel="0" collapsed="false">
      <c r="A90" s="9" t="s">
        <v>252</v>
      </c>
      <c r="B90" s="57" t="n">
        <f aca="false">00_Assumptions!$D$177</f>
        <v>-21930</v>
      </c>
      <c r="C90" s="57" t="n">
        <f aca="false">00_Assumptions!$E$177</f>
        <v>0.5</v>
      </c>
      <c r="D90" s="7" t="str">
        <f aca="false">09_Obligations!$AN$98</f>
        <v>PASS</v>
      </c>
      <c r="E90" s="2" t="s">
        <v>2586</v>
      </c>
    </row>
    <row r="91" customFormat="false" ht="15" hidden="false" customHeight="false" outlineLevel="0" collapsed="false">
      <c r="A91" s="9" t="s">
        <v>253</v>
      </c>
      <c r="B91" s="57" t="n">
        <f aca="false">00_Assumptions!$D$178</f>
        <v>-18230</v>
      </c>
      <c r="C91" s="57" t="n">
        <f aca="false">00_Assumptions!$E$178</f>
        <v>0.5</v>
      </c>
      <c r="D91" s="7" t="str">
        <f aca="false">09_Obligations!$AQ$98</f>
        <v>PASS</v>
      </c>
      <c r="E91" s="2"/>
    </row>
    <row r="92" customFormat="false" ht="15" hidden="false" customHeight="false" outlineLevel="0" collapsed="false">
      <c r="A92" s="9" t="s">
        <v>254</v>
      </c>
      <c r="B92" s="57" t="n">
        <f aca="false">00_Assumptions!$D$179</f>
        <v>-33000</v>
      </c>
      <c r="C92" s="57" t="n">
        <f aca="false">00_Assumptions!$E$179</f>
        <v>1500</v>
      </c>
      <c r="D92" s="7" t="str">
        <f aca="false">09_Obligations!$AO$99</f>
        <v>PASS</v>
      </c>
      <c r="E92" s="2" t="s">
        <v>2587</v>
      </c>
    </row>
    <row r="93" customFormat="false" ht="15" hidden="false" customHeight="false" outlineLevel="0" collapsed="false">
      <c r="A93" s="9" t="s">
        <v>255</v>
      </c>
      <c r="B93" s="57" t="n">
        <f aca="false">00_Assumptions!$D$180</f>
        <v>-126000</v>
      </c>
      <c r="C93" s="57" t="n">
        <f aca="false">00_Assumptions!$E$180</f>
        <v>1500</v>
      </c>
      <c r="D93" s="7" t="str">
        <f aca="false">09_Obligations!$AO$101</f>
        <v>PASS</v>
      </c>
      <c r="E93" s="2" t="s">
        <v>2588</v>
      </c>
    </row>
    <row r="94" customFormat="false" ht="15" hidden="false" customHeight="false" outlineLevel="0" collapsed="false">
      <c r="A94" s="9" t="s">
        <v>256</v>
      </c>
      <c r="B94" s="57" t="n">
        <f aca="false">00_Assumptions!$D$181</f>
        <v>-49000</v>
      </c>
      <c r="C94" s="57" t="n">
        <f aca="false">00_Assumptions!$E$181</f>
        <v>1500</v>
      </c>
      <c r="D94" s="7" t="str">
        <f aca="false">09_Obligations!$AO$100</f>
        <v>PASS</v>
      </c>
      <c r="E94" s="2" t="s">
        <v>2589</v>
      </c>
    </row>
    <row r="95" customFormat="false" ht="15" hidden="false" customHeight="false" outlineLevel="0" collapsed="false">
      <c r="A95" s="9" t="s">
        <v>257</v>
      </c>
      <c r="B95" s="57" t="n">
        <f aca="false">00_Assumptions!$D$182</f>
        <v>-174000</v>
      </c>
      <c r="C95" s="57" t="n">
        <f aca="false">00_Assumptions!$E$182</f>
        <v>1500</v>
      </c>
      <c r="D95" s="7" t="str">
        <f aca="false">09_Obligations!$AO$102</f>
        <v>PASS</v>
      </c>
      <c r="E95" s="2" t="s">
        <v>2590</v>
      </c>
    </row>
    <row r="96" customFormat="false" ht="15" hidden="false" customHeight="false" outlineLevel="0" collapsed="false">
      <c r="A96" s="9" t="s">
        <v>258</v>
      </c>
      <c r="B96" s="57" t="n">
        <f aca="false">00_Assumptions!$D$183</f>
        <v>-25355</v>
      </c>
      <c r="C96" s="57" t="n">
        <f aca="false">00_Assumptions!$E$183</f>
        <v>0.5</v>
      </c>
      <c r="D96" s="7" t="str">
        <f aca="false">07_Sensitivity!$H$40</f>
        <v>PASS</v>
      </c>
      <c r="E96" s="2" t="s">
        <v>2591</v>
      </c>
    </row>
    <row r="97" customFormat="false" ht="15" hidden="false" customHeight="false" outlineLevel="0" collapsed="false">
      <c r="A97" s="9" t="s">
        <v>259</v>
      </c>
      <c r="B97" s="57" t="n">
        <f aca="false">00_Assumptions!$D$184</f>
        <v>10900</v>
      </c>
      <c r="C97" s="57" t="n">
        <f aca="false">00_Assumptions!$E$184</f>
        <v>0.5</v>
      </c>
      <c r="D97" s="7" t="str">
        <f aca="false">03_Costs!$H$49</f>
        <v>PASS</v>
      </c>
      <c r="E97" s="2" t="s">
        <v>2592</v>
      </c>
    </row>
    <row r="98" customFormat="false" ht="15" hidden="false" customHeight="false" outlineLevel="0" collapsed="false">
      <c r="A98" s="9" t="s">
        <v>260</v>
      </c>
      <c r="B98" s="57" t="n">
        <f aca="false">00_Assumptions!$D$185</f>
        <v>0.31</v>
      </c>
      <c r="C98" s="57" t="n">
        <f aca="false">00_Assumptions!$E$185</f>
        <v>0.005</v>
      </c>
      <c r="D98" s="7" t="str">
        <f aca="false">03_Costs!$G$54</f>
        <v>PASS</v>
      </c>
      <c r="E98" s="2" t="s">
        <v>2593</v>
      </c>
    </row>
    <row r="99" customFormat="false" ht="15" hidden="false" customHeight="false" outlineLevel="0" collapsed="false">
      <c r="A99" s="9" t="s">
        <v>261</v>
      </c>
      <c r="B99" s="57" t="n">
        <f aca="false">00_Assumptions!$D$186</f>
        <v>0.51</v>
      </c>
      <c r="C99" s="57" t="n">
        <f aca="false">00_Assumptions!$E$186</f>
        <v>0.005</v>
      </c>
      <c r="D99" s="7" t="str">
        <f aca="false">03_Costs!$H$54</f>
        <v>PASS</v>
      </c>
      <c r="E99" s="2" t="s">
        <v>2594</v>
      </c>
    </row>
    <row r="100" customFormat="false" ht="15" hidden="false" customHeight="false" outlineLevel="0" collapsed="false">
      <c r="A100" s="9" t="s">
        <v>262</v>
      </c>
      <c r="B100" s="57" t="n">
        <f aca="false">00_Assumptions!$D$187</f>
        <v>7.375</v>
      </c>
      <c r="C100" s="57" t="n">
        <f aca="false">00_Assumptions!$E$187</f>
        <v>0.0005</v>
      </c>
      <c r="D100" s="7" t="str">
        <f aca="false">11_AIBQ!$I$10</f>
        <v>PASS</v>
      </c>
      <c r="E100" s="2" t="s">
        <v>2595</v>
      </c>
    </row>
    <row r="101" customFormat="false" ht="15" hidden="false" customHeight="false" outlineLevel="0" collapsed="false">
      <c r="A101" s="9" t="s">
        <v>263</v>
      </c>
      <c r="B101" s="57" t="n">
        <f aca="false">00_Assumptions!$D$188</f>
        <v>7.3</v>
      </c>
      <c r="C101" s="57" t="n">
        <f aca="false">00_Assumptions!$E$188</f>
        <v>0.0005</v>
      </c>
      <c r="D101" s="7" t="str">
        <f aca="false">11_AIBQ!$J$10</f>
        <v>PASS</v>
      </c>
      <c r="E101" s="2" t="s">
        <v>2596</v>
      </c>
    </row>
    <row r="102" customFormat="false" ht="15" hidden="false" customHeight="false" outlineLevel="0" collapsed="false">
      <c r="A102" s="9" t="s">
        <v>264</v>
      </c>
      <c r="B102" s="57" t="n">
        <f aca="false">00_Assumptions!$D$189</f>
        <v>5.55</v>
      </c>
      <c r="C102" s="57" t="n">
        <f aca="false">00_Assumptions!$E$189</f>
        <v>0.0005</v>
      </c>
      <c r="D102" s="7" t="str">
        <f aca="false">11_AIBQ!$I$18</f>
        <v>PASS</v>
      </c>
      <c r="E102" s="2" t="s">
        <v>2597</v>
      </c>
    </row>
    <row r="103" customFormat="false" ht="15" hidden="false" customHeight="false" outlineLevel="0" collapsed="false">
      <c r="A103" s="9" t="s">
        <v>265</v>
      </c>
      <c r="B103" s="57" t="n">
        <f aca="false">00_Assumptions!$D$190</f>
        <v>3.925</v>
      </c>
      <c r="C103" s="57" t="n">
        <f aca="false">00_Assumptions!$E$190</f>
        <v>0.0005</v>
      </c>
      <c r="D103" s="7" t="str">
        <f aca="false">11_AIBQ!$I$25</f>
        <v>PASS</v>
      </c>
      <c r="E103" s="2" t="s">
        <v>2598</v>
      </c>
    </row>
    <row r="104" customFormat="false" ht="15" hidden="false" customHeight="false" outlineLevel="0" collapsed="false">
      <c r="A104" s="9" t="s">
        <v>266</v>
      </c>
      <c r="B104" s="57" t="n">
        <f aca="false">00_Assumptions!$D$191</f>
        <v>5.6</v>
      </c>
      <c r="C104" s="57" t="n">
        <f aca="false">00_Assumptions!$E$191</f>
        <v>0.0005</v>
      </c>
      <c r="D104" s="7" t="str">
        <f aca="false">11_AIBQ!$I$33</f>
        <v>PASS</v>
      </c>
      <c r="E104" s="2" t="s">
        <v>2599</v>
      </c>
    </row>
    <row r="105" customFormat="false" ht="15" hidden="false" customHeight="false" outlineLevel="0" collapsed="false">
      <c r="A105" s="9" t="s">
        <v>267</v>
      </c>
      <c r="B105" s="57" t="n">
        <f aca="false">00_Assumptions!$D$192</f>
        <v>8.15</v>
      </c>
      <c r="C105" s="57" t="n">
        <f aca="false">00_Assumptions!$E$192</f>
        <v>0.005</v>
      </c>
      <c r="D105" s="7" t="str">
        <f aca="false">11_AIBQ!$J$37</f>
        <v>PASS</v>
      </c>
      <c r="E105" s="2" t="s">
        <v>2600</v>
      </c>
    </row>
    <row r="106" customFormat="false" ht="15" hidden="false" customHeight="false" outlineLevel="0" collapsed="false">
      <c r="A106" s="9" t="s">
        <v>268</v>
      </c>
      <c r="B106" s="57" t="n">
        <f aca="false">00_Assumptions!$D$193</f>
        <v>8.13</v>
      </c>
      <c r="C106" s="57" t="n">
        <f aca="false">00_Assumptions!$E$193</f>
        <v>0.006</v>
      </c>
      <c r="D106" s="7" t="str">
        <f aca="false">11_AIBQ!$J$38</f>
        <v>PASS</v>
      </c>
      <c r="E106" s="2" t="s">
        <v>2601</v>
      </c>
    </row>
    <row r="107" customFormat="false" ht="15" hidden="false" customHeight="false" outlineLevel="0" collapsed="false">
      <c r="A107" s="9" t="s">
        <v>269</v>
      </c>
      <c r="B107" s="57" t="n">
        <f aca="false">00_Assumptions!$D$194</f>
        <v>8.04</v>
      </c>
      <c r="C107" s="57" t="n">
        <f aca="false">00_Assumptions!$E$194</f>
        <v>0.005</v>
      </c>
      <c r="D107" s="7" t="str">
        <f aca="false">11_AIBQ!$J$39</f>
        <v>PASS</v>
      </c>
      <c r="E107" s="2" t="s">
        <v>2602</v>
      </c>
    </row>
    <row r="108" customFormat="false" ht="15" hidden="false" customHeight="false" outlineLevel="0" collapsed="false">
      <c r="A108" s="9" t="s">
        <v>270</v>
      </c>
      <c r="B108" s="57" t="n">
        <f aca="false">00_Assumptions!$D$195</f>
        <v>4.87</v>
      </c>
      <c r="C108" s="57" t="n">
        <f aca="false">00_Assumptions!$E$195</f>
        <v>0.005</v>
      </c>
      <c r="D108" s="7" t="str">
        <f aca="false">11_AIBQ!$J$41</f>
        <v>PASS</v>
      </c>
      <c r="E108" s="2" t="s">
        <v>2603</v>
      </c>
    </row>
    <row r="109" customFormat="false" ht="15" hidden="false" customHeight="false" outlineLevel="0" collapsed="false">
      <c r="A109" s="9" t="s">
        <v>271</v>
      </c>
      <c r="B109" s="57" t="n">
        <f aca="false">00_Assumptions!$D$196</f>
        <v>4.79</v>
      </c>
      <c r="C109" s="57" t="n">
        <f aca="false">00_Assumptions!$E$196</f>
        <v>0.005</v>
      </c>
      <c r="D109" s="7" t="str">
        <f aca="false">11_AIBQ!$J$42</f>
        <v>PASS</v>
      </c>
      <c r="E109" s="2" t="s">
        <v>2604</v>
      </c>
    </row>
    <row r="110" customFormat="false" ht="15" hidden="false" customHeight="false" outlineLevel="0" collapsed="false">
      <c r="A110" s="9" t="s">
        <v>272</v>
      </c>
      <c r="B110" s="57" t="n">
        <f aca="false">00_Assumptions!$D$197</f>
        <v>0.55</v>
      </c>
      <c r="C110" s="57" t="n">
        <f aca="false">00_Assumptions!$E$197</f>
        <v>0.005</v>
      </c>
      <c r="D110" s="7" t="str">
        <f aca="false">11_AIBQ!$D$44</f>
        <v>PASS</v>
      </c>
      <c r="E110" s="2" t="s">
        <v>2605</v>
      </c>
    </row>
    <row r="111" customFormat="false" ht="15" hidden="false" customHeight="false" outlineLevel="0" collapsed="false">
      <c r="A111" s="9" t="s">
        <v>273</v>
      </c>
      <c r="B111" s="57" t="n">
        <f aca="false">00_Assumptions!$D$198</f>
        <v>0.5</v>
      </c>
      <c r="C111" s="57" t="n">
        <f aca="false">00_Assumptions!$E$198</f>
        <v>0.005</v>
      </c>
      <c r="D111" s="7" t="str">
        <f aca="false">11_AIBQ!$G$44</f>
        <v>PASS</v>
      </c>
      <c r="E111" s="2" t="s">
        <v>2606</v>
      </c>
    </row>
    <row r="112" customFormat="false" ht="15" hidden="false" customHeight="false" outlineLevel="0" collapsed="false">
      <c r="A112" s="9" t="s">
        <v>274</v>
      </c>
      <c r="B112" s="57" t="n">
        <f aca="false">00_Assumptions!$D$199</f>
        <v>118</v>
      </c>
      <c r="C112" s="57" t="n">
        <f aca="false">00_Assumptions!$E$199</f>
        <v>0.5</v>
      </c>
      <c r="D112" s="7" t="str">
        <f aca="false">06_Valuation!$G$31</f>
        <v>PASS</v>
      </c>
      <c r="E112" s="2" t="s">
        <v>2607</v>
      </c>
    </row>
    <row r="113" customFormat="false" ht="15" hidden="false" customHeight="false" outlineLevel="0" collapsed="false">
      <c r="A113" s="9" t="s">
        <v>275</v>
      </c>
      <c r="B113" s="57" t="n">
        <f aca="false">00_Assumptions!$D$200</f>
        <v>175</v>
      </c>
      <c r="C113" s="57" t="n">
        <f aca="false">00_Assumptions!$E$200</f>
        <v>0.5</v>
      </c>
      <c r="D113" s="7" t="str">
        <f aca="false">06_Valuation!$H$31</f>
        <v>PASS</v>
      </c>
      <c r="E113" s="2" t="s">
        <v>2608</v>
      </c>
    </row>
    <row r="114" customFormat="false" ht="15" hidden="false" customHeight="false" outlineLevel="0" collapsed="false">
      <c r="A114" s="9" t="s">
        <v>276</v>
      </c>
      <c r="B114" s="57" t="n">
        <f aca="false">00_Assumptions!$D$201</f>
        <v>119</v>
      </c>
      <c r="C114" s="57" t="n">
        <f aca="false">00_Assumptions!$E$201</f>
        <v>0.5</v>
      </c>
      <c r="D114" s="7" t="str">
        <f aca="false">06_Valuation!$H$27</f>
        <v>PASS</v>
      </c>
      <c r="E114" s="2" t="s">
        <v>2609</v>
      </c>
    </row>
    <row r="115" customFormat="false" ht="15" hidden="false" customHeight="false" outlineLevel="0" collapsed="false">
      <c r="A115" s="9" t="s">
        <v>277</v>
      </c>
      <c r="B115" s="57" t="n">
        <f aca="false">00_Assumptions!$D$202</f>
        <v>1.48</v>
      </c>
      <c r="C115" s="57" t="n">
        <f aca="false">00_Assumptions!$E$202</f>
        <v>0.005</v>
      </c>
      <c r="D115" s="7" t="str">
        <f aca="false">06_Valuation!$G$26</f>
        <v>PASS</v>
      </c>
      <c r="E115" s="2" t="s">
        <v>2610</v>
      </c>
    </row>
    <row r="116" customFormat="false" ht="15" hidden="false" customHeight="false" outlineLevel="0" collapsed="false">
      <c r="A116" s="9" t="s">
        <v>278</v>
      </c>
      <c r="B116" s="57" t="n">
        <f aca="false">00_Assumptions!$D$203</f>
        <v>1.47</v>
      </c>
      <c r="C116" s="57" t="n">
        <f aca="false">00_Assumptions!$E$203</f>
        <v>0.005</v>
      </c>
      <c r="D116" s="7" t="str">
        <f aca="false">06_Valuation!$G$27</f>
        <v>PASS</v>
      </c>
      <c r="E116" s="2" t="s">
        <v>2611</v>
      </c>
    </row>
    <row r="117" customFormat="false" ht="15" hidden="false" customHeight="false" outlineLevel="0" collapsed="false">
      <c r="A117" s="9" t="s">
        <v>279</v>
      </c>
      <c r="B117" s="57" t="n">
        <f aca="false">00_Assumptions!$D$204</f>
        <v>1.6</v>
      </c>
      <c r="C117" s="57" t="n">
        <f aca="false">00_Assumptions!$E$204</f>
        <v>0.005</v>
      </c>
      <c r="D117" s="7" t="str">
        <f aca="false">06_Valuation!$G$25</f>
        <v>PASS</v>
      </c>
      <c r="E117" s="2" t="s">
        <v>2612</v>
      </c>
    </row>
    <row r="118" customFormat="false" ht="15" hidden="false" customHeight="false" outlineLevel="0" collapsed="false">
      <c r="A118" s="9" t="s">
        <v>280</v>
      </c>
      <c r="B118" s="57" t="n">
        <f aca="false">00_Assumptions!$D$205</f>
        <v>188</v>
      </c>
      <c r="C118" s="57" t="n">
        <f aca="false">00_Assumptions!$E$205</f>
        <v>0.5</v>
      </c>
      <c r="D118" s="7" t="str">
        <f aca="false">06_Valuation!$I$31</f>
        <v>PASS</v>
      </c>
      <c r="E118" s="2" t="s">
        <v>2613</v>
      </c>
    </row>
    <row r="119" customFormat="false" ht="15" hidden="false" customHeight="false" outlineLevel="0" collapsed="false">
      <c r="A119" s="9" t="s">
        <v>281</v>
      </c>
      <c r="B119" s="57" t="n">
        <f aca="false">00_Assumptions!$D$206</f>
        <v>57</v>
      </c>
      <c r="C119" s="57" t="n">
        <f aca="false">00_Assumptions!$E$206</f>
        <v>0.5</v>
      </c>
      <c r="D119" s="7" t="str">
        <f aca="false">06_Valuation!$J$31</f>
        <v>PASS</v>
      </c>
      <c r="E119" s="2" t="s">
        <v>2614</v>
      </c>
    </row>
    <row r="120" customFormat="false" ht="15" hidden="false" customHeight="false" outlineLevel="0" collapsed="false">
      <c r="A120" s="9" t="s">
        <v>282</v>
      </c>
      <c r="B120" s="57" t="n">
        <f aca="false">00_Assumptions!$D$207</f>
        <v>176250</v>
      </c>
      <c r="C120" s="57" t="n">
        <f aca="false">00_Assumptions!$E$207</f>
        <v>0.5</v>
      </c>
      <c r="D120" s="7" t="str">
        <f aca="false">02_Revenue!$L$74</f>
        <v>PASS</v>
      </c>
      <c r="E120" s="2" t="s">
        <v>2615</v>
      </c>
    </row>
    <row r="121" customFormat="false" ht="15" hidden="false" customHeight="false" outlineLevel="0" collapsed="false">
      <c r="A121" s="9" t="s">
        <v>283</v>
      </c>
      <c r="B121" s="57" t="n">
        <f aca="false">00_Assumptions!$D$208</f>
        <v>197841</v>
      </c>
      <c r="C121" s="57" t="n">
        <f aca="false">00_Assumptions!$E$208</f>
        <v>0.5</v>
      </c>
      <c r="D121" s="7" t="str">
        <f aca="false">02_Revenue!$M$74</f>
        <v>PASS</v>
      </c>
      <c r="E121" s="2" t="s">
        <v>2616</v>
      </c>
    </row>
    <row r="122" customFormat="false" ht="15" hidden="false" customHeight="false" outlineLevel="0" collapsed="false">
      <c r="A122" s="9" t="s">
        <v>284</v>
      </c>
      <c r="B122" s="57" t="n">
        <f aca="false">00_Assumptions!$D$209</f>
        <v>231276</v>
      </c>
      <c r="C122" s="57" t="n">
        <f aca="false">00_Assumptions!$E$209</f>
        <v>0.5</v>
      </c>
      <c r="D122" s="7" t="str">
        <f aca="false">02_Revenue!$L$75</f>
        <v>PASS</v>
      </c>
      <c r="E122" s="2" t="s">
        <v>2617</v>
      </c>
    </row>
    <row r="123" customFormat="false" ht="15" hidden="false" customHeight="false" outlineLevel="0" collapsed="false">
      <c r="A123" s="9" t="s">
        <v>285</v>
      </c>
      <c r="B123" s="57" t="n">
        <f aca="false">00_Assumptions!$D$210</f>
        <v>266446</v>
      </c>
      <c r="C123" s="57" t="n">
        <f aca="false">00_Assumptions!$E$210</f>
        <v>0.5</v>
      </c>
      <c r="D123" s="7" t="str">
        <f aca="false">02_Revenue!$M$75</f>
        <v>PASS</v>
      </c>
      <c r="E123" s="2" t="s">
        <v>2618</v>
      </c>
    </row>
    <row r="124" customFormat="false" ht="15" hidden="false" customHeight="false" outlineLevel="0" collapsed="false">
      <c r="A124" s="9" t="s">
        <v>286</v>
      </c>
      <c r="B124" s="57" t="n">
        <f aca="false">00_Assumptions!$D$211</f>
        <v>286000</v>
      </c>
      <c r="C124" s="57" t="n">
        <f aca="false">00_Assumptions!$E$211</f>
        <v>0.5</v>
      </c>
      <c r="D124" s="7" t="str">
        <f aca="false">02_Revenue!$L$76</f>
        <v>PASS</v>
      </c>
      <c r="E124" s="2" t="s">
        <v>2619</v>
      </c>
    </row>
    <row r="125" customFormat="false" ht="15" hidden="false" customHeight="false" outlineLevel="0" collapsed="false">
      <c r="A125" s="9" t="s">
        <v>287</v>
      </c>
      <c r="B125" s="57" t="n">
        <f aca="false">00_Assumptions!$D$212</f>
        <v>354640</v>
      </c>
      <c r="C125" s="57" t="n">
        <f aca="false">00_Assumptions!$E$212</f>
        <v>0.5</v>
      </c>
      <c r="D125" s="7" t="str">
        <f aca="false">02_Revenue!$M$76</f>
        <v>PASS</v>
      </c>
      <c r="E125" s="2" t="s">
        <v>2620</v>
      </c>
    </row>
    <row r="126" customFormat="false" ht="15" hidden="false" customHeight="false" outlineLevel="0" collapsed="false">
      <c r="A126" s="9" t="s">
        <v>288</v>
      </c>
      <c r="B126" s="57" t="n">
        <f aca="false">00_Assumptions!$D$213</f>
        <v>325</v>
      </c>
      <c r="C126" s="57" t="n">
        <f aca="false">00_Assumptions!$E$213</f>
        <v>0.5</v>
      </c>
      <c r="D126" s="7" t="str">
        <f aca="false">10_Financing!$E$18</f>
        <v>PASS</v>
      </c>
      <c r="E126" s="2" t="s">
        <v>2621</v>
      </c>
    </row>
    <row r="127" customFormat="false" ht="15" hidden="false" customHeight="false" outlineLevel="0" collapsed="false">
      <c r="A127" s="9" t="s">
        <v>289</v>
      </c>
      <c r="B127" s="57" t="n">
        <f aca="false">00_Assumptions!$D$214</f>
        <v>400</v>
      </c>
      <c r="C127" s="57" t="n">
        <f aca="false">00_Assumptions!$E$214</f>
        <v>0.5</v>
      </c>
      <c r="D127" s="7" t="str">
        <f aca="false">10_Financing!$F$18</f>
        <v>PASS</v>
      </c>
      <c r="E127" s="2" t="s">
        <v>2622</v>
      </c>
    </row>
    <row r="128" customFormat="false" ht="15" hidden="false" customHeight="false" outlineLevel="0" collapsed="false">
      <c r="A128" s="9" t="s">
        <v>290</v>
      </c>
      <c r="B128" s="57" t="n">
        <f aca="false">00_Assumptions!$D$215</f>
        <v>1121</v>
      </c>
      <c r="C128" s="57" t="n">
        <f aca="false">00_Assumptions!$E$215</f>
        <v>0.5</v>
      </c>
      <c r="D128" s="7" t="str">
        <f aca="false">10_Financing!$E$19</f>
        <v>PASS</v>
      </c>
      <c r="E128" s="2" t="s">
        <v>2623</v>
      </c>
    </row>
    <row r="129" customFormat="false" ht="15" hidden="false" customHeight="false" outlineLevel="0" collapsed="false">
      <c r="A129" s="9" t="s">
        <v>291</v>
      </c>
      <c r="B129" s="57" t="n">
        <f aca="false">00_Assumptions!$D$216</f>
        <v>1380</v>
      </c>
      <c r="C129" s="57" t="n">
        <f aca="false">00_Assumptions!$E$216</f>
        <v>0.5</v>
      </c>
      <c r="D129" s="7" t="str">
        <f aca="false">10_Financing!$F$19</f>
        <v>PASS</v>
      </c>
      <c r="E129" s="2" t="s">
        <v>2624</v>
      </c>
    </row>
    <row r="130" customFormat="false" ht="15" hidden="false" customHeight="false" outlineLevel="0" collapsed="false">
      <c r="A130" s="9" t="s">
        <v>292</v>
      </c>
      <c r="B130" s="57" t="n">
        <f aca="false">00_Assumptions!$D$217</f>
        <v>34.1</v>
      </c>
      <c r="C130" s="57" t="n">
        <f aca="false">00_Assumptions!$E$217</f>
        <v>0.05</v>
      </c>
      <c r="D130" s="7" t="str">
        <f aca="false">06_Valuation!$F$17</f>
        <v>PASS</v>
      </c>
      <c r="E130" s="2" t="s">
        <v>2625</v>
      </c>
    </row>
    <row r="131" customFormat="false" ht="15" hidden="false" customHeight="false" outlineLevel="0" collapsed="false">
      <c r="A131" s="9" t="s">
        <v>293</v>
      </c>
      <c r="B131" s="57" t="n">
        <f aca="false">00_Assumptions!$D$218</f>
        <v>1.65</v>
      </c>
      <c r="C131" s="57" t="n">
        <f aca="false">00_Assumptions!$E$218</f>
        <v>0.005</v>
      </c>
      <c r="D131" s="7" t="str">
        <f aca="false">05_Cash_Fund!$J$42</f>
        <v>PASS</v>
      </c>
      <c r="E131" s="2" t="s">
        <v>2626</v>
      </c>
    </row>
    <row r="132" customFormat="false" ht="15" hidden="false" customHeight="false" outlineLevel="0" collapsed="false">
      <c r="A132" s="9" t="s">
        <v>294</v>
      </c>
      <c r="B132" s="57" t="n">
        <f aca="false">00_Assumptions!$D$219</f>
        <v>4.76</v>
      </c>
      <c r="C132" s="57" t="n">
        <f aca="false">00_Assumptions!$E$219</f>
        <v>0.005</v>
      </c>
      <c r="D132" s="7" t="str">
        <f aca="false">13_OutsideView!$E$27</f>
        <v>PASS</v>
      </c>
      <c r="E132" s="2" t="s">
        <v>2627</v>
      </c>
    </row>
    <row r="133" customFormat="false" ht="15" hidden="false" customHeight="false" outlineLevel="0" collapsed="false">
      <c r="A133" s="9" t="s">
        <v>295</v>
      </c>
      <c r="B133" s="57" t="n">
        <f aca="false">00_Assumptions!$D$220</f>
        <v>3.33</v>
      </c>
      <c r="C133" s="57" t="n">
        <f aca="false">00_Assumptions!$E$220</f>
        <v>0.005</v>
      </c>
      <c r="D133" s="7" t="str">
        <f aca="false">13_OutsideView!$E$28</f>
        <v>PASS</v>
      </c>
      <c r="E133" s="2" t="s">
        <v>2628</v>
      </c>
    </row>
    <row r="134" customFormat="false" ht="15" hidden="false" customHeight="false" outlineLevel="0" collapsed="false">
      <c r="A134" s="9" t="s">
        <v>296</v>
      </c>
      <c r="B134" s="57" t="n">
        <f aca="false">00_Assumptions!$D$221</f>
        <v>249356</v>
      </c>
      <c r="C134" s="57" t="n">
        <f aca="false">00_Assumptions!$E$221</f>
        <v>1</v>
      </c>
      <c r="D134" s="7" t="str">
        <f aca="false">13_OutsideView!$E$29</f>
        <v>PASS</v>
      </c>
      <c r="E134" s="2" t="s">
        <v>2629</v>
      </c>
    </row>
    <row r="135" customFormat="false" ht="15" hidden="false" customHeight="false" outlineLevel="0" collapsed="false">
      <c r="A135" s="9" t="s">
        <v>297</v>
      </c>
      <c r="B135" s="57" t="n">
        <f aca="false">00_Assumptions!$D$222</f>
        <v>0.15</v>
      </c>
      <c r="C135" s="57" t="n">
        <f aca="false">00_Assumptions!$E$222</f>
        <v>0.01</v>
      </c>
      <c r="D135" s="7" t="str">
        <f aca="false">07_Sensitivity!$I$8</f>
        <v>PASS</v>
      </c>
      <c r="E135" s="2" t="s">
        <v>2630</v>
      </c>
    </row>
    <row r="136" customFormat="false" ht="15" hidden="false" customHeight="false" outlineLevel="0" collapsed="false">
      <c r="A136" s="9" t="s">
        <v>298</v>
      </c>
      <c r="B136" s="57" t="n">
        <f aca="false">00_Assumptions!$D$223</f>
        <v>-0.05</v>
      </c>
      <c r="C136" s="57" t="n">
        <f aca="false">00_Assumptions!$E$223</f>
        <v>0.01</v>
      </c>
      <c r="D136" s="7" t="str">
        <f aca="false">07_Sensitivity!$I$6</f>
        <v>PASS</v>
      </c>
      <c r="E136" s="2" t="s">
        <v>2631</v>
      </c>
    </row>
    <row r="137" customFormat="false" ht="15" hidden="false" customHeight="false" outlineLevel="0" collapsed="false">
      <c r="A137" s="9" t="s">
        <v>299</v>
      </c>
      <c r="B137" s="57" t="n">
        <f aca="false">00_Assumptions!$D$224</f>
        <v>-0.07</v>
      </c>
      <c r="C137" s="57" t="n">
        <f aca="false">00_Assumptions!$E$224</f>
        <v>0.01</v>
      </c>
      <c r="D137" s="7" t="str">
        <f aca="false">07_Sensitivity!$I$12</f>
        <v>PASS</v>
      </c>
      <c r="E137" s="2" t="s">
        <v>2632</v>
      </c>
    </row>
    <row r="138" customFormat="false" ht="15" hidden="false" customHeight="false" outlineLevel="0" collapsed="false">
      <c r="A138" s="9" t="s">
        <v>300</v>
      </c>
      <c r="B138" s="57" t="n">
        <f aca="false">00_Assumptions!$D$225</f>
        <v>1.78</v>
      </c>
      <c r="C138" s="57" t="n">
        <f aca="false">00_Assumptions!$E$225</f>
        <v>0.01</v>
      </c>
      <c r="D138" s="7" t="str">
        <f aca="false">07_Sensitivity!$J$12</f>
        <v>PASS</v>
      </c>
      <c r="E138" s="2" t="s">
        <v>2633</v>
      </c>
    </row>
    <row r="139" customFormat="false" ht="15" hidden="false" customHeight="false" outlineLevel="0" collapsed="false">
      <c r="A139" s="9" t="s">
        <v>301</v>
      </c>
      <c r="B139" s="57" t="n">
        <f aca="false">00_Assumptions!$D$226</f>
        <v>8</v>
      </c>
      <c r="C139" s="57" t="n">
        <f aca="false">00_Assumptions!$E$226</f>
        <v>0.05</v>
      </c>
      <c r="D139" s="7" t="str">
        <f aca="false">09_Obligations!$G$95</f>
        <v>PASS</v>
      </c>
      <c r="E139" s="2" t="s">
        <v>2634</v>
      </c>
    </row>
    <row r="140" customFormat="false" ht="15" hidden="false" customHeight="false" outlineLevel="0" collapsed="false">
      <c r="A140" s="9" t="s">
        <v>302</v>
      </c>
      <c r="B140" s="57" t="n">
        <f aca="false">00_Assumptions!$D$227</f>
        <v>2.5</v>
      </c>
      <c r="C140" s="57" t="n">
        <f aca="false">00_Assumptions!$E$227</f>
        <v>0.05</v>
      </c>
      <c r="D140" s="7" t="str">
        <f aca="false">09_Obligations!$H$95</f>
        <v>PASS</v>
      </c>
      <c r="E140" s="2" t="s">
        <v>2635</v>
      </c>
    </row>
    <row r="141" customFormat="false" ht="15" hidden="false" customHeight="false" outlineLevel="0" collapsed="false">
      <c r="A141" s="3" t="s">
        <v>2636</v>
      </c>
      <c r="D141" s="7" t="n">
        <f aca="false">COUNTIF(D45:D140,"FAIL*")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AR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34"/>
    <col collapsed="false" customWidth="true" hidden="false" outlineLevel="0" max="6" min="5" style="1" width="30"/>
    <col collapsed="false" customWidth="true" hidden="false" outlineLevel="0" max="7" min="7" style="1" width="14"/>
    <col collapsed="false" customWidth="true" hidden="false" outlineLevel="0" max="8" min="8" style="1" width="24"/>
    <col collapsed="false" customWidth="true" hidden="false" outlineLevel="0" max="9" min="9" style="1" width="18"/>
    <col collapsed="false" customWidth="true" hidden="false" outlineLevel="0" max="10" min="10" style="1" width="22"/>
    <col collapsed="false" customWidth="true" hidden="false" outlineLevel="0" max="11" min="11" style="1" width="14"/>
  </cols>
  <sheetData>
    <row r="1" customFormat="false" ht="15" hidden="false" customHeight="false" outlineLevel="0" collapsed="false">
      <c r="A1" s="2" t="s">
        <v>2637</v>
      </c>
    </row>
    <row r="3" customFormat="false" ht="15" hidden="false" customHeight="false" outlineLevel="0" collapsed="false">
      <c r="A3" s="24" t="s">
        <v>2638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customFormat="false" ht="15" hidden="false" customHeight="false" outlineLevel="0" collapsed="false">
      <c r="A4" s="8" t="s">
        <v>2639</v>
      </c>
      <c r="B4" s="8" t="s">
        <v>2640</v>
      </c>
      <c r="C4" s="8" t="s">
        <v>2641</v>
      </c>
      <c r="D4" s="8" t="s">
        <v>2642</v>
      </c>
      <c r="E4" s="8" t="s">
        <v>2643</v>
      </c>
      <c r="F4" s="8" t="s">
        <v>312</v>
      </c>
      <c r="G4" s="8" t="s">
        <v>2425</v>
      </c>
      <c r="H4" s="8" t="s">
        <v>2644</v>
      </c>
      <c r="I4" s="8" t="s">
        <v>88</v>
      </c>
      <c r="J4" s="8" t="s">
        <v>12</v>
      </c>
    </row>
    <row r="5" customFormat="false" ht="15" hidden="false" customHeight="false" outlineLevel="0" collapsed="false">
      <c r="A5" s="3" t="s">
        <v>2645</v>
      </c>
      <c r="B5" s="32" t="n">
        <f aca="false">H101</f>
        <v>100000</v>
      </c>
      <c r="C5" s="44" t="s">
        <v>2646</v>
      </c>
      <c r="D5" s="2" t="s">
        <v>2647</v>
      </c>
      <c r="E5" s="2" t="s">
        <v>2648</v>
      </c>
      <c r="F5" s="2" t="s">
        <v>434</v>
      </c>
      <c r="G5" s="2" t="s">
        <v>795</v>
      </c>
      <c r="H5" s="2" t="s">
        <v>2649</v>
      </c>
      <c r="I5" s="2" t="s">
        <v>98</v>
      </c>
    </row>
    <row r="6" customFormat="false" ht="15" hidden="false" customHeight="false" outlineLevel="0" collapsed="false">
      <c r="A6" s="3" t="s">
        <v>2650</v>
      </c>
      <c r="B6" s="2" t="s">
        <v>2651</v>
      </c>
      <c r="C6" s="44" t="s">
        <v>2081</v>
      </c>
      <c r="D6" s="31" t="str">
        <f aca="false">"5 GW contracted + 5-10 GW line of sight; reported "&amp;TEXT(01_Data!$D$121,"#,##0")&amp;" over five years [VERIFY]; Google 30,000 equity contingent (inflow)"</f>
        <v>5 GW contracted + 5-10 GW line of sight; reported 200,000 over five years [VERIFY]; Google 30,000 equity contingent (inflow)</v>
      </c>
      <c r="E6" s="2" t="s">
        <v>2652</v>
      </c>
      <c r="F6" s="2" t="s">
        <v>2653</v>
      </c>
      <c r="G6" s="2" t="s">
        <v>2654</v>
      </c>
      <c r="H6" s="2" t="s">
        <v>2655</v>
      </c>
      <c r="I6" s="2" t="s">
        <v>98</v>
      </c>
    </row>
    <row r="7" customFormat="false" ht="15" hidden="false" customHeight="false" outlineLevel="0" collapsed="false">
      <c r="A7" s="3" t="s">
        <v>2656</v>
      </c>
      <c r="B7" s="32" t="n">
        <f aca="false">H109</f>
        <v>34500</v>
      </c>
      <c r="C7" s="31" t="str">
        <f aca="false">"&lt;= "&amp;TEXT(I109/00_Assumptions!$D$90*01_Data!$D$210,"#,##0")&amp;" (&lt;= 3 months of the lease)"</f>
        <v>&lt;= 1,725 (&lt;= 3 months of the lease)</v>
      </c>
      <c r="D7" s="2" t="s">
        <v>2657</v>
      </c>
      <c r="E7" s="2" t="s">
        <v>2658</v>
      </c>
      <c r="F7" s="2" t="s">
        <v>426</v>
      </c>
      <c r="G7" s="2" t="s">
        <v>697</v>
      </c>
      <c r="H7" s="2" t="s">
        <v>2659</v>
      </c>
      <c r="I7" s="2" t="s">
        <v>92</v>
      </c>
    </row>
    <row r="8" customFormat="false" ht="15" hidden="false" customHeight="false" outlineLevel="0" collapsed="false">
      <c r="A8" s="3" t="s">
        <v>2660</v>
      </c>
      <c r="B8" s="32" t="n">
        <f aca="false">H102</f>
        <v>30000</v>
      </c>
      <c r="C8" s="44" t="s">
        <v>2081</v>
      </c>
      <c r="D8" s="2" t="s">
        <v>2661</v>
      </c>
      <c r="E8" s="2" t="s">
        <v>2662</v>
      </c>
      <c r="F8" s="2" t="s">
        <v>434</v>
      </c>
      <c r="G8" s="2" t="s">
        <v>2663</v>
      </c>
      <c r="H8" s="2" t="s">
        <v>2649</v>
      </c>
      <c r="I8" s="2" t="s">
        <v>98</v>
      </c>
    </row>
    <row r="9" customFormat="false" ht="15" hidden="false" customHeight="false" outlineLevel="0" collapsed="false">
      <c r="A9" s="3" t="s">
        <v>2664</v>
      </c>
      <c r="B9" s="32" t="n">
        <f aca="false">H103</f>
        <v>45000</v>
      </c>
      <c r="C9" s="31" t="str">
        <f aca="false">"&lt;= "&amp;TEXT(01_Data!$D$257,"#,##0")&amp;" in Q2-2026 (SpaceX AI-segment revenue, L-047)"</f>
        <v>&lt;= 2,560 in Q2-2026 (SpaceX AI-segment revenue, L-047)</v>
      </c>
      <c r="D9" s="32" t="n">
        <f aca="false">AC103</f>
        <v>41250</v>
      </c>
      <c r="E9" s="2" t="s">
        <v>2665</v>
      </c>
      <c r="F9" s="2" t="s">
        <v>434</v>
      </c>
      <c r="G9" s="2" t="s">
        <v>2666</v>
      </c>
      <c r="H9" s="2" t="s">
        <v>2649</v>
      </c>
      <c r="I9" s="2" t="s">
        <v>98</v>
      </c>
    </row>
    <row r="10" customFormat="false" ht="15" hidden="false" customHeight="false" outlineLevel="0" collapsed="false">
      <c r="A10" s="3" t="s">
        <v>2667</v>
      </c>
      <c r="B10" s="32" t="n">
        <f aca="false">H104</f>
        <v>50000</v>
      </c>
      <c r="C10" s="44" t="s">
        <v>2668</v>
      </c>
      <c r="D10" s="2" t="s">
        <v>2669</v>
      </c>
      <c r="E10" s="2" t="s">
        <v>2670</v>
      </c>
      <c r="F10" s="2" t="s">
        <v>434</v>
      </c>
      <c r="G10" s="2" t="s">
        <v>2671</v>
      </c>
      <c r="H10" s="2" t="s">
        <v>2672</v>
      </c>
      <c r="I10" s="2" t="s">
        <v>98</v>
      </c>
    </row>
    <row r="11" customFormat="false" ht="15" hidden="false" customHeight="false" outlineLevel="0" collapsed="false">
      <c r="A11" s="3" t="s">
        <v>2673</v>
      </c>
      <c r="B11" s="32" t="n">
        <f aca="false">H105</f>
        <v>45000</v>
      </c>
      <c r="C11" s="31" t="n">
        <f aca="false">01_Data!$D$123</f>
        <v>0</v>
      </c>
      <c r="D11" s="2" t="s">
        <v>2674</v>
      </c>
      <c r="E11" s="2" t="s">
        <v>2675</v>
      </c>
      <c r="F11" s="2" t="s">
        <v>323</v>
      </c>
      <c r="G11" s="2" t="s">
        <v>1252</v>
      </c>
      <c r="H11" s="2" t="s">
        <v>2649</v>
      </c>
      <c r="I11" s="2" t="s">
        <v>98</v>
      </c>
    </row>
    <row r="12" customFormat="false" ht="15" hidden="false" customHeight="false" outlineLevel="0" collapsed="false">
      <c r="A12" s="3" t="s">
        <v>2676</v>
      </c>
      <c r="B12" s="32" t="n">
        <f aca="false">H106</f>
        <v>35000</v>
      </c>
      <c r="C12" s="31" t="n">
        <f aca="false">01_Data!$D$123</f>
        <v>0</v>
      </c>
      <c r="D12" s="2" t="s">
        <v>2677</v>
      </c>
      <c r="E12" s="2" t="s">
        <v>2678</v>
      </c>
      <c r="F12" s="2" t="s">
        <v>2679</v>
      </c>
      <c r="G12" s="2" t="s">
        <v>2680</v>
      </c>
      <c r="H12" s="2" t="s">
        <v>2649</v>
      </c>
      <c r="I12" s="2" t="s">
        <v>98</v>
      </c>
    </row>
    <row r="13" customFormat="false" ht="15" hidden="false" customHeight="false" outlineLevel="0" collapsed="false">
      <c r="A13" s="3" t="s">
        <v>2681</v>
      </c>
      <c r="B13" s="32" t="n">
        <f aca="false">H107</f>
        <v>10000</v>
      </c>
      <c r="C13" s="44" t="s">
        <v>2081</v>
      </c>
      <c r="D13" s="2" t="s">
        <v>2682</v>
      </c>
      <c r="E13" s="2" t="s">
        <v>2683</v>
      </c>
      <c r="F13" s="2" t="s">
        <v>426</v>
      </c>
      <c r="G13" s="2" t="s">
        <v>1288</v>
      </c>
      <c r="H13" s="2" t="s">
        <v>2649</v>
      </c>
      <c r="I13" s="2" t="s">
        <v>98</v>
      </c>
    </row>
    <row r="14" customFormat="false" ht="15" hidden="false" customHeight="false" outlineLevel="0" collapsed="false">
      <c r="A14" s="3" t="s">
        <v>2684</v>
      </c>
      <c r="B14" s="32" t="n">
        <f aca="false">H108</f>
        <v>9100</v>
      </c>
      <c r="C14" s="44" t="s">
        <v>2081</v>
      </c>
      <c r="D14" s="32" t="n">
        <f aca="false">AC108</f>
        <v>7000</v>
      </c>
      <c r="E14" s="2" t="s">
        <v>2685</v>
      </c>
      <c r="F14" s="2" t="s">
        <v>323</v>
      </c>
      <c r="G14" s="2" t="s">
        <v>1301</v>
      </c>
      <c r="H14" s="2" t="s">
        <v>2649</v>
      </c>
      <c r="I14" s="2" t="s">
        <v>98</v>
      </c>
    </row>
    <row r="15" customFormat="false" ht="15" hidden="false" customHeight="false" outlineLevel="0" collapsed="false">
      <c r="A15" s="3" t="s">
        <v>2686</v>
      </c>
      <c r="B15" s="2" t="s">
        <v>2687</v>
      </c>
      <c r="C15" s="31" t="n">
        <f aca="false">01_Data!$D$123</f>
        <v>0</v>
      </c>
      <c r="D15" s="2" t="s">
        <v>2688</v>
      </c>
      <c r="E15" s="2" t="s">
        <v>2689</v>
      </c>
      <c r="F15" s="2" t="s">
        <v>434</v>
      </c>
      <c r="G15" s="2" t="s">
        <v>2690</v>
      </c>
      <c r="H15" s="2" t="s">
        <v>2691</v>
      </c>
      <c r="I15" s="2" t="s">
        <v>92</v>
      </c>
    </row>
    <row r="16" customFormat="false" ht="15" hidden="false" customHeight="false" outlineLevel="0" collapsed="false">
      <c r="A16" s="3" t="s">
        <v>2692</v>
      </c>
      <c r="B16" s="31" t="n">
        <f aca="false">01_Data!$D$92</f>
        <v>1500</v>
      </c>
      <c r="C16" s="2" t="s">
        <v>2693</v>
      </c>
      <c r="D16" s="31" t="n">
        <f aca="false">01_Data!$D$93</f>
        <v>3000</v>
      </c>
      <c r="E16" s="2" t="s">
        <v>511</v>
      </c>
      <c r="F16" s="2" t="s">
        <v>323</v>
      </c>
      <c r="G16" s="2" t="s">
        <v>742</v>
      </c>
      <c r="H16" s="2" t="s">
        <v>2694</v>
      </c>
      <c r="I16" s="2" t="s">
        <v>114</v>
      </c>
    </row>
    <row r="17" customFormat="false" ht="15" hidden="false" customHeight="false" outlineLevel="0" collapsed="false">
      <c r="A17" s="3" t="s">
        <v>2695</v>
      </c>
      <c r="B17" s="31" t="n">
        <f aca="false">01_Data!$D$79</f>
        <v>2500</v>
      </c>
      <c r="C17" s="2" t="s">
        <v>2696</v>
      </c>
      <c r="D17" s="31" t="str">
        <f aca="false">"expansion "&amp;TEXT(01_Data!$D$80,"#,##0")&amp;" NOT closed as of Sep-9 [VERIFY] (L-160)"</f>
        <v>expansion 15,000 NOT closed as of Sep-9 [VERIFY] (L-160)</v>
      </c>
      <c r="E17" s="2" t="s">
        <v>511</v>
      </c>
      <c r="F17" s="2" t="s">
        <v>2697</v>
      </c>
      <c r="G17" s="2" t="s">
        <v>2698</v>
      </c>
      <c r="H17" s="2" t="s">
        <v>2699</v>
      </c>
      <c r="I17" s="2" t="s">
        <v>511</v>
      </c>
    </row>
    <row r="18" customFormat="false" ht="15" hidden="false" customHeight="false" outlineLevel="0" collapsed="false">
      <c r="A18" s="3" t="s">
        <v>2700</v>
      </c>
      <c r="B18" s="64" t="n">
        <f aca="false">SUMIFS($H$101:$H$124,$B$101:$B$124,"Anthropic",$P$101:$P$124,"DOC")</f>
        <v>324100</v>
      </c>
      <c r="C18" s="7" t="str">
        <f aca="false">IF(ABS((B18)-00_Assumptions!$D$155)&lt;=00_Assumptions!$E$155,"PASS","FAIL: "&amp;TEXT((B18)-00_Assumptions!$D$155,"#,##0.000"))</f>
        <v>PASS</v>
      </c>
      <c r="D18" s="2" t="s">
        <v>2701</v>
      </c>
      <c r="E18" s="64" t="n">
        <f aca="false">SUMIFS($AC$101:$AC$124,$B$101:$B$124,"Anthropic")</f>
        <v>48250</v>
      </c>
      <c r="F18" s="7" t="str">
        <f aca="false">IF(ABS((E18)-00_Assumptions!$D$163)&lt;=00_Assumptions!$E$163,"PASS","FAIL: "&amp;TEXT((E18)-00_Assumptions!$D$163,"#,##0.000"))</f>
        <v>PASS</v>
      </c>
      <c r="G18" s="30" t="n">
        <f aca="false">E18/B18</f>
        <v>0.148873804381364</v>
      </c>
      <c r="H18" s="2" t="s">
        <v>2702</v>
      </c>
    </row>
    <row r="19" customFormat="false" ht="15" hidden="false" customHeight="false" outlineLevel="0" collapsed="false">
      <c r="A19" s="3" t="s">
        <v>2703</v>
      </c>
      <c r="B19" s="64" t="n">
        <f aca="false">B18+SUMIFS($H$101:$H$124,$B$101:$B$124,"Anthropic",$P$101:$P$124,"SPV")</f>
        <v>358600</v>
      </c>
      <c r="C19" s="7" t="str">
        <f aca="false">IF(ABS((B19)-00_Assumptions!$D$156)&lt;=00_Assumptions!$E$156,"PASS","FAIL: "&amp;TEXT((B19)-00_Assumptions!$D$156,"#,##0.000"))</f>
        <v>PASS</v>
      </c>
      <c r="D19" s="2" t="s">
        <v>2704</v>
      </c>
      <c r="E19" s="31" t="n">
        <f aca="false">01_Data!$D$106+01_Data!$D$107+01_Data!$D$108</f>
        <v>55000</v>
      </c>
    </row>
    <row r="20" customFormat="false" ht="15" hidden="false" customHeight="false" outlineLevel="0" collapsed="false">
      <c r="A20" s="3" t="s">
        <v>2705</v>
      </c>
      <c r="B20" s="77" t="n">
        <f aca="false">B18+SUMIFS($H$101:$H$124,$B$101:$B$124,"Anthropic",$P$101:$P$124,"REPORTED")</f>
        <v>524100</v>
      </c>
      <c r="C20" s="7" t="str">
        <f aca="false">IF(ABS((B20)-00_Assumptions!$D$157)&lt;=00_Assumptions!$E$157,"PASS","FAIL: "&amp;TEXT((B20)-00_Assumptions!$D$157,"#,##0.000"))</f>
        <v>PASS</v>
      </c>
      <c r="D20" s="61" t="s">
        <v>2706</v>
      </c>
      <c r="E20" s="68" t="n">
        <f aca="false">B20+SUMIFS($H$101:$H$124,$B$101:$B$124,"Anthropic",$P$101:$P$124,"SPV")</f>
        <v>558600</v>
      </c>
      <c r="F20" s="2" t="s">
        <v>2707</v>
      </c>
      <c r="G20" s="49" t="n">
        <f aca="false">01_Data!$D$231+01_Data!$D$235</f>
        <v>7</v>
      </c>
      <c r="H20" s="2" t="s">
        <v>2708</v>
      </c>
    </row>
    <row r="24" customFormat="false" ht="15" hidden="false" customHeight="false" outlineLevel="0" collapsed="false">
      <c r="A24" s="24" t="s">
        <v>2709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customFormat="false" ht="15" hidden="false" customHeight="false" outlineLevel="0" collapsed="false">
      <c r="A25" s="8" t="s">
        <v>2639</v>
      </c>
      <c r="B25" s="8" t="s">
        <v>2640</v>
      </c>
      <c r="C25" s="8" t="s">
        <v>2710</v>
      </c>
      <c r="D25" s="8" t="s">
        <v>2642</v>
      </c>
      <c r="E25" s="8" t="s">
        <v>2643</v>
      </c>
      <c r="F25" s="8" t="s">
        <v>312</v>
      </c>
      <c r="G25" s="8" t="s">
        <v>2425</v>
      </c>
      <c r="H25" s="8" t="s">
        <v>2644</v>
      </c>
      <c r="I25" s="8" t="s">
        <v>88</v>
      </c>
      <c r="J25" s="8" t="s">
        <v>12</v>
      </c>
    </row>
    <row r="26" customFormat="false" ht="15" hidden="false" customHeight="false" outlineLevel="0" collapsed="false">
      <c r="A26" s="3" t="s">
        <v>2711</v>
      </c>
      <c r="B26" s="32" t="str">
        <f aca="false">"250,000 incremental commitment: could-not-verify (register); T1 facts: revenue share through 2030 at the same % subject to a cap; non-exclusive IP to 2032; any cloud"</f>
        <v>250,000 incremental commitment: could-not-verify (register); T1 facts: revenue share through 2030 at the same % subject to a cap; non-exclusive IP to 2032; any cloud</v>
      </c>
      <c r="C26" s="31" t="n">
        <f aca="false">LB_08</f>
        <v>24100</v>
      </c>
      <c r="D26" s="31" t="str">
        <f aca="false">"cap "&amp;TEXT(01_Data!$D$180,"#,##0")&amp;" (T3); % unconfirmed at T1/T2 (10-K silent, L-157/L-158); stake ~"&amp;TEXT(01_Data!$D$181,"0%")&amp;" (~"&amp;TEXT(01_Data!$D$182,"#,##0")&amp;") at the Oct-2025 recap (T2), post-dilution undisclosed"</f>
        <v>cap 38,000 (T3); % unconfirmed at T1/T2 (10-K silent, L-157/L-158); stake ~27% (~135,000) at the Oct-2025 recap (T2), post-dilution undisclosed</v>
      </c>
      <c r="E26" s="31" t="str">
        <f aca="false">"Microsoft holds equity (recap gain "&amp;TEXT(01_Data!$D$276,"#,##0")&amp;"); funding commitments "&amp;TEXT(01_Data!$D$188,"#,##0")&amp;", of which "&amp;TEXT(01_Data!$D$189,"#,##0")&amp;" funded at 2026-06-30 (T1)"</f>
        <v>Microsoft holds equity (recap gain 6,500); funding commitments 13,000, of which 11,900 funded at 2026-06-30 (T1)</v>
      </c>
      <c r="F26" s="2" t="s">
        <v>2712</v>
      </c>
      <c r="G26" s="2" t="s">
        <v>2713</v>
      </c>
      <c r="H26" s="2" t="s">
        <v>2714</v>
      </c>
      <c r="I26" s="2" t="s">
        <v>98</v>
      </c>
      <c r="J26" s="2" t="s">
        <v>2715</v>
      </c>
    </row>
    <row r="27" customFormat="false" ht="15" hidden="false" customHeight="false" outlineLevel="0" collapsed="false">
      <c r="A27" s="3" t="s">
        <v>2716</v>
      </c>
      <c r="B27" s="32" t="n">
        <f aca="false">H113</f>
        <v>300000</v>
      </c>
      <c r="C27" s="44" t="s">
        <v>2717</v>
      </c>
      <c r="D27" s="2" t="s">
        <v>2718</v>
      </c>
      <c r="E27" s="2" t="s">
        <v>2719</v>
      </c>
      <c r="F27" s="2" t="s">
        <v>2720</v>
      </c>
      <c r="G27" s="2" t="s">
        <v>2721</v>
      </c>
      <c r="H27" s="2" t="s">
        <v>2649</v>
      </c>
      <c r="I27" s="2" t="s">
        <v>98</v>
      </c>
    </row>
    <row r="28" customFormat="false" ht="15" hidden="false" customHeight="false" outlineLevel="0" collapsed="false">
      <c r="A28" s="3" t="s">
        <v>2722</v>
      </c>
      <c r="B28" s="32" t="n">
        <f aca="false">H114</f>
        <v>138000</v>
      </c>
      <c r="C28" s="44" t="s">
        <v>2081</v>
      </c>
      <c r="D28" s="2" t="s">
        <v>2723</v>
      </c>
      <c r="E28" s="2" t="s">
        <v>2661</v>
      </c>
      <c r="F28" s="2" t="s">
        <v>2724</v>
      </c>
      <c r="G28" s="2" t="s">
        <v>1345</v>
      </c>
      <c r="H28" s="2" t="s">
        <v>2649</v>
      </c>
      <c r="I28" s="2" t="s">
        <v>98</v>
      </c>
    </row>
    <row r="29" customFormat="false" ht="15" hidden="false" customHeight="false" outlineLevel="0" collapsed="false">
      <c r="A29" s="3" t="s">
        <v>2725</v>
      </c>
      <c r="B29" s="32" t="n">
        <f aca="false">H115</f>
        <v>22400</v>
      </c>
      <c r="C29" s="44" t="s">
        <v>2081</v>
      </c>
      <c r="D29" s="2" t="s">
        <v>2726</v>
      </c>
      <c r="E29" s="2" t="s">
        <v>2727</v>
      </c>
      <c r="F29" s="2" t="s">
        <v>2728</v>
      </c>
      <c r="G29" s="2" t="s">
        <v>2729</v>
      </c>
      <c r="H29" s="2" t="s">
        <v>2649</v>
      </c>
      <c r="I29" s="2" t="s">
        <v>98</v>
      </c>
    </row>
    <row r="30" customFormat="false" ht="15" hidden="false" customHeight="false" outlineLevel="0" collapsed="false">
      <c r="A30" s="3" t="s">
        <v>2730</v>
      </c>
      <c r="B30" s="32" t="n">
        <f aca="false">H116</f>
        <v>20000</v>
      </c>
      <c r="C30" s="32" t="str">
        <f aca="false">"1,000 working-capital loan advanced BY OpenAI (a use of cash)"</f>
        <v>1,000 working-capital loan advanced BY OpenAI (a use of cash)</v>
      </c>
      <c r="D30" s="2" t="s">
        <v>2731</v>
      </c>
      <c r="E30" s="2" t="s">
        <v>511</v>
      </c>
      <c r="F30" s="2" t="s">
        <v>434</v>
      </c>
      <c r="G30" s="2" t="s">
        <v>1395</v>
      </c>
      <c r="H30" s="2" t="s">
        <v>2649</v>
      </c>
      <c r="I30" s="2" t="s">
        <v>92</v>
      </c>
    </row>
    <row r="31" customFormat="false" ht="15" hidden="false" customHeight="false" outlineLevel="0" collapsed="false">
      <c r="A31" s="3" t="s">
        <v>2732</v>
      </c>
      <c r="B31" s="2" t="s">
        <v>2733</v>
      </c>
      <c r="C31" s="31" t="n">
        <f aca="false">01_Data!$D$123</f>
        <v>0</v>
      </c>
      <c r="D31" s="31" t="str">
        <f aca="false">"scale proxy only: "&amp;TEXT(09_Obligations!$AE$119,"#,##0")&amp;" (105,000 / 4.25 GW-IT x 8.0 GW-IT); not a disclosed rent"</f>
        <v>scale proxy only: 197,647 (105,000 / 4.25 GW-IT x 8.0 GW-IT); not a disclosed rent</v>
      </c>
      <c r="E31" s="31" t="str">
        <f aca="false">"Nvidia residual-value guaranties "&amp;TEXT(01_Data!$D$27,"#,##0")&amp;" on ~4.25 GW-IT; option on 3.78 GW-IT; nothing payable until RFS"</f>
        <v>Nvidia residual-value guaranties 105,000 on ~4.25 GW-IT; option on 3.78 GW-IT; nothing payable until RFS</v>
      </c>
      <c r="F31" s="2" t="s">
        <v>434</v>
      </c>
      <c r="G31" s="2" t="s">
        <v>453</v>
      </c>
      <c r="H31" s="2" t="s">
        <v>2691</v>
      </c>
      <c r="I31" s="2" t="s">
        <v>98</v>
      </c>
    </row>
    <row r="32" customFormat="false" ht="15" hidden="false" customHeight="false" outlineLevel="0" collapsed="false">
      <c r="A32" s="3" t="s">
        <v>2734</v>
      </c>
      <c r="B32" s="2" t="s">
        <v>2733</v>
      </c>
      <c r="C32" s="31" t="n">
        <f aca="false">01_Data!$D$123</f>
        <v>0</v>
      </c>
      <c r="D32" s="2" t="s">
        <v>2735</v>
      </c>
      <c r="E32" s="2" t="s">
        <v>2736</v>
      </c>
      <c r="F32" s="2" t="s">
        <v>434</v>
      </c>
      <c r="G32" s="2" t="s">
        <v>448</v>
      </c>
      <c r="H32" s="2" t="s">
        <v>2691</v>
      </c>
      <c r="I32" s="2" t="s">
        <v>98</v>
      </c>
    </row>
    <row r="33" customFormat="false" ht="15" hidden="false" customHeight="false" outlineLevel="0" collapsed="false">
      <c r="A33" s="3" t="s">
        <v>2737</v>
      </c>
      <c r="B33" s="2" t="s">
        <v>2738</v>
      </c>
      <c r="C33" s="44" t="s">
        <v>2081</v>
      </c>
      <c r="D33" s="2" t="s">
        <v>2739</v>
      </c>
      <c r="E33" s="2" t="s">
        <v>2740</v>
      </c>
      <c r="F33" s="2" t="s">
        <v>2741</v>
      </c>
      <c r="G33" s="2" t="s">
        <v>2742</v>
      </c>
      <c r="H33" s="2" t="s">
        <v>2743</v>
      </c>
      <c r="I33" s="2" t="s">
        <v>92</v>
      </c>
    </row>
    <row r="34" customFormat="false" ht="15" hidden="false" customHeight="false" outlineLevel="0" collapsed="false">
      <c r="A34" s="3" t="s">
        <v>2744</v>
      </c>
      <c r="B34" s="2" t="s">
        <v>2745</v>
      </c>
      <c r="C34" s="44" t="s">
        <v>2081</v>
      </c>
      <c r="D34" s="2" t="s">
        <v>2746</v>
      </c>
      <c r="E34" s="2" t="s">
        <v>2747</v>
      </c>
      <c r="F34" s="2" t="s">
        <v>2741</v>
      </c>
      <c r="G34" s="2" t="s">
        <v>2748</v>
      </c>
      <c r="H34" s="2" t="s">
        <v>2743</v>
      </c>
      <c r="I34" s="2" t="s">
        <v>92</v>
      </c>
    </row>
    <row r="35" customFormat="false" ht="15" hidden="false" customHeight="false" outlineLevel="0" collapsed="false">
      <c r="A35" s="3" t="s">
        <v>2749</v>
      </c>
      <c r="B35" s="2" t="s">
        <v>2750</v>
      </c>
      <c r="C35" s="2" t="s">
        <v>2751</v>
      </c>
      <c r="D35" s="2" t="s">
        <v>2752</v>
      </c>
      <c r="E35" s="2" t="s">
        <v>2753</v>
      </c>
      <c r="F35" s="2" t="s">
        <v>2679</v>
      </c>
      <c r="G35" s="2" t="s">
        <v>2754</v>
      </c>
      <c r="H35" s="2" t="s">
        <v>2755</v>
      </c>
      <c r="I35" s="2" t="s">
        <v>92</v>
      </c>
    </row>
    <row r="36" customFormat="false" ht="15" hidden="false" customHeight="false" outlineLevel="0" collapsed="false">
      <c r="A36" s="3" t="s">
        <v>2756</v>
      </c>
      <c r="B36" s="2" t="s">
        <v>2757</v>
      </c>
      <c r="C36" s="2" t="s">
        <v>2758</v>
      </c>
      <c r="D36" s="2" t="s">
        <v>2759</v>
      </c>
      <c r="E36" s="2" t="s">
        <v>2760</v>
      </c>
      <c r="F36" s="2" t="s">
        <v>426</v>
      </c>
      <c r="G36" s="2" t="s">
        <v>1431</v>
      </c>
      <c r="H36" s="2" t="s">
        <v>2761</v>
      </c>
      <c r="I36" s="2" t="s">
        <v>98</v>
      </c>
    </row>
    <row r="37" customFormat="false" ht="15" hidden="false" customHeight="false" outlineLevel="0" collapsed="false">
      <c r="A37" s="3" t="s">
        <v>2762</v>
      </c>
      <c r="B37" s="31" t="n">
        <f aca="false">01_Data!$D$178</f>
        <v>5220</v>
      </c>
      <c r="C37" s="2" t="s">
        <v>2763</v>
      </c>
      <c r="D37" s="2" t="s">
        <v>2764</v>
      </c>
      <c r="E37" s="2" t="s">
        <v>511</v>
      </c>
      <c r="F37" s="2" t="s">
        <v>323</v>
      </c>
      <c r="G37" s="2" t="s">
        <v>1085</v>
      </c>
      <c r="H37" s="2" t="s">
        <v>2699</v>
      </c>
      <c r="I37" s="2" t="s">
        <v>511</v>
      </c>
    </row>
    <row r="38" customFormat="false" ht="15" hidden="false" customHeight="false" outlineLevel="0" collapsed="false">
      <c r="A38" s="3" t="s">
        <v>2765</v>
      </c>
      <c r="B38" s="64" t="n">
        <f aca="false">SUMIFS($H$101:$H$124,$B$101:$B$124,"OpenAI",$P$101:$P$124,"DOC")</f>
        <v>480400</v>
      </c>
      <c r="C38" s="7" t="str">
        <f aca="false">IF(ABS((B38)-00_Assumptions!$D$158)&lt;=00_Assumptions!$E$158,"PASS","FAIL: "&amp;TEXT((B38)-00_Assumptions!$D$158,"#,##0.000"))</f>
        <v>PASS</v>
      </c>
      <c r="D38" s="2" t="s">
        <v>2766</v>
      </c>
      <c r="E38" s="48" t="n">
        <f aca="false">01_Data!$D$25+01_Data!$D$29/00_Assumptions!$E$90</f>
        <v>8.753</v>
      </c>
    </row>
    <row r="39" customFormat="false" ht="15" hidden="false" customHeight="false" outlineLevel="0" collapsed="false">
      <c r="A39" s="3" t="s">
        <v>2767</v>
      </c>
      <c r="B39" s="77" t="n">
        <f aca="false">SUMIFS($H$101:$H$124,$B$101:$B$124,"OpenAI",$P$101:$P$124,"RECALLED")</f>
        <v>690000</v>
      </c>
      <c r="C39" s="7" t="str">
        <f aca="false">IF(ABS((B39)-00_Assumptions!$D$159)&lt;=00_Assumptions!$E$159,"PASS","FAIL: "&amp;TEXT((B39)-00_Assumptions!$D$159,"#,##0.000"))</f>
        <v>PASS</v>
      </c>
      <c r="D39" s="2" t="s">
        <v>2768</v>
      </c>
      <c r="E39" s="32" t="n">
        <f aca="false">B38+B39</f>
        <v>1170400</v>
      </c>
    </row>
    <row r="40" customFormat="false" ht="15" hidden="false" customHeight="false" outlineLevel="0" collapsed="false">
      <c r="A40" s="3" t="s">
        <v>2769</v>
      </c>
      <c r="B40" s="67" t="n">
        <f aca="false">B39/E39</f>
        <v>0.589542036910458</v>
      </c>
      <c r="D40" s="2" t="s">
        <v>2770</v>
      </c>
      <c r="E40" s="31" t="n">
        <f aca="false">LB_08+LB_07a+01_Data!$D$252+01_Data!$D$160</f>
        <v>78800</v>
      </c>
    </row>
    <row r="44" customFormat="false" ht="15" hidden="false" customHeight="false" outlineLevel="0" collapsed="false">
      <c r="A44" s="24" t="s">
        <v>2771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customFormat="false" ht="22.35" hidden="false" customHeight="false" outlineLevel="0" collapsed="false">
      <c r="A45" s="8" t="s">
        <v>2772</v>
      </c>
      <c r="B45" s="8" t="s">
        <v>2773</v>
      </c>
      <c r="C45" s="8" t="s">
        <v>2774</v>
      </c>
      <c r="D45" s="8" t="s">
        <v>2775</v>
      </c>
      <c r="E45" s="8" t="s">
        <v>2776</v>
      </c>
      <c r="F45" s="8" t="s">
        <v>2777</v>
      </c>
      <c r="G45" s="8" t="s">
        <v>2778</v>
      </c>
      <c r="H45" s="8" t="s">
        <v>201</v>
      </c>
    </row>
    <row r="46" customFormat="false" ht="15" hidden="false" customHeight="false" outlineLevel="0" collapsed="false">
      <c r="A46" s="9" t="s">
        <v>2779</v>
      </c>
      <c r="B46" s="64" t="n">
        <f aca="false">H106+H105+H104+H103</f>
        <v>175000</v>
      </c>
      <c r="C46" s="2" t="s">
        <v>2780</v>
      </c>
      <c r="D46" s="2" t="s">
        <v>1162</v>
      </c>
      <c r="E46" s="2" t="s">
        <v>2781</v>
      </c>
      <c r="F46" s="2" t="s">
        <v>2782</v>
      </c>
      <c r="G46" s="2" t="s">
        <v>2783</v>
      </c>
      <c r="H46" s="7" t="str">
        <f aca="false">IF(ABS((B46)-00_Assumptions!$D$160)&lt;=00_Assumptions!$E$160,"PASS","FAIL: "&amp;TEXT((B46)-00_Assumptions!$D$160,"#,##0.000"))</f>
        <v>PASS</v>
      </c>
    </row>
    <row r="47" customFormat="false" ht="15" hidden="false" customHeight="false" outlineLevel="0" collapsed="false">
      <c r="A47" s="9" t="s">
        <v>2784</v>
      </c>
      <c r="B47" s="11" t="n">
        <f aca="false">H105+H107+01_Data!$D$108+01_Data!$D$208</f>
        <v>61250</v>
      </c>
      <c r="C47" s="2" t="s">
        <v>2785</v>
      </c>
      <c r="D47" s="2" t="s">
        <v>1250</v>
      </c>
      <c r="E47" s="2" t="s">
        <v>2781</v>
      </c>
      <c r="F47" s="2" t="s">
        <v>2786</v>
      </c>
      <c r="G47" s="2" t="s">
        <v>2787</v>
      </c>
      <c r="H47" s="7" t="str">
        <f aca="false">IF(ABS((B47)-00_Assumptions!$D$162)&lt;=00_Assumptions!$E$162,"PASS","FAIL: "&amp;TEXT((B47)-00_Assumptions!$D$162,"#,##0.000"))</f>
        <v>PASS</v>
      </c>
    </row>
    <row r="48" customFormat="false" ht="15" hidden="false" customHeight="false" outlineLevel="0" collapsed="false">
      <c r="A48" s="9" t="s">
        <v>2788</v>
      </c>
      <c r="B48" s="64" t="n">
        <f aca="false">H107+H108+H105+H106</f>
        <v>99100</v>
      </c>
      <c r="C48" s="2" t="s">
        <v>2789</v>
      </c>
      <c r="D48" s="2" t="s">
        <v>1321</v>
      </c>
      <c r="E48" s="2" t="s">
        <v>2790</v>
      </c>
      <c r="F48" s="2" t="s">
        <v>2791</v>
      </c>
      <c r="G48" s="2" t="s">
        <v>2792</v>
      </c>
      <c r="H48" s="7" t="str">
        <f aca="false">IF(ABS((B48)-00_Assumptions!$D$161)&lt;=00_Assumptions!$E$161,"PASS","FAIL: "&amp;TEXT((B48)-00_Assumptions!$D$161,"#,##0.000"))</f>
        <v>PASS</v>
      </c>
    </row>
    <row r="49" customFormat="false" ht="15" hidden="false" customHeight="false" outlineLevel="0" collapsed="false">
      <c r="A49" s="9" t="s">
        <v>2793</v>
      </c>
      <c r="B49" s="89" t="n">
        <f aca="false">01_Data!$D$262</f>
        <v>517000</v>
      </c>
      <c r="C49" s="2" t="s">
        <v>2794</v>
      </c>
      <c r="D49" s="2" t="s">
        <v>998</v>
      </c>
      <c r="E49" s="2" t="s">
        <v>2790</v>
      </c>
      <c r="F49" s="2" t="s">
        <v>2795</v>
      </c>
      <c r="G49" s="2" t="s">
        <v>511</v>
      </c>
    </row>
    <row r="50" customFormat="false" ht="15" hidden="false" customHeight="false" outlineLevel="0" collapsed="false">
      <c r="A50" s="9" t="s">
        <v>2796</v>
      </c>
      <c r="B50" s="89" t="n">
        <f aca="false">01_Data!$D$263</f>
        <v>80000</v>
      </c>
      <c r="C50" s="2" t="s">
        <v>2797</v>
      </c>
      <c r="D50" s="2" t="s">
        <v>1465</v>
      </c>
      <c r="E50" s="2" t="s">
        <v>2798</v>
      </c>
      <c r="F50" s="2" t="s">
        <v>2799</v>
      </c>
      <c r="G50" s="2" t="s">
        <v>511</v>
      </c>
    </row>
    <row r="51" customFormat="false" ht="15" hidden="false" customHeight="false" outlineLevel="0" collapsed="false">
      <c r="A51" s="9" t="s">
        <v>2800</v>
      </c>
      <c r="B51" s="89" t="n">
        <f aca="false">01_Data!$D$121</f>
        <v>200000</v>
      </c>
      <c r="C51" s="2" t="s">
        <v>2801</v>
      </c>
      <c r="D51" s="2" t="s">
        <v>405</v>
      </c>
      <c r="E51" s="2" t="s">
        <v>2802</v>
      </c>
      <c r="F51" s="2" t="s">
        <v>2803</v>
      </c>
      <c r="G51" s="2" t="s">
        <v>843</v>
      </c>
    </row>
    <row r="52" customFormat="false" ht="15" hidden="false" customHeight="false" outlineLevel="0" collapsed="false">
      <c r="A52" s="9" t="s">
        <v>2804</v>
      </c>
      <c r="B52" s="64" t="n">
        <f aca="false">B18</f>
        <v>324100</v>
      </c>
      <c r="C52" s="2" t="s">
        <v>2805</v>
      </c>
      <c r="D52" s="2" t="s">
        <v>687</v>
      </c>
      <c r="E52" s="2" t="s">
        <v>2806</v>
      </c>
      <c r="F52" s="2" t="s">
        <v>2807</v>
      </c>
      <c r="G52" s="2" t="s">
        <v>2808</v>
      </c>
      <c r="H52" s="7" t="str">
        <f aca="false">IF(ABS((B52)-00_Assumptions!$D$155)&lt;=00_Assumptions!$E$155,"PASS","FAIL: "&amp;TEXT((B52)-00_Assumptions!$D$155,"#,##0.000"))</f>
        <v>PASS</v>
      </c>
    </row>
    <row r="53" customFormat="false" ht="15" hidden="false" customHeight="false" outlineLevel="0" collapsed="false">
      <c r="A53" s="9" t="s">
        <v>2809</v>
      </c>
      <c r="B53" s="64" t="n">
        <f aca="false">B19</f>
        <v>358600</v>
      </c>
      <c r="C53" s="2" t="s">
        <v>2810</v>
      </c>
      <c r="D53" s="2" t="s">
        <v>687</v>
      </c>
      <c r="E53" s="2" t="s">
        <v>2811</v>
      </c>
      <c r="F53" s="2" t="s">
        <v>2812</v>
      </c>
      <c r="G53" s="2" t="s">
        <v>2813</v>
      </c>
      <c r="H53" s="7" t="str">
        <f aca="false">IF(ABS((B53)-00_Assumptions!$D$156)&lt;=00_Assumptions!$E$156,"PASS","FAIL: "&amp;TEXT((B53)-00_Assumptions!$D$156,"#,##0.000"))</f>
        <v>PASS</v>
      </c>
    </row>
    <row r="54" customFormat="false" ht="15" hidden="false" customHeight="false" outlineLevel="0" collapsed="false">
      <c r="A54" s="9" t="s">
        <v>2814</v>
      </c>
      <c r="B54" s="77" t="n">
        <f aca="false">B20</f>
        <v>524100</v>
      </c>
      <c r="C54" s="2" t="s">
        <v>2815</v>
      </c>
      <c r="D54" s="2" t="s">
        <v>687</v>
      </c>
      <c r="E54" s="2" t="s">
        <v>847</v>
      </c>
      <c r="F54" s="2" t="s">
        <v>2816</v>
      </c>
      <c r="G54" s="2" t="s">
        <v>2817</v>
      </c>
      <c r="H54" s="7" t="str">
        <f aca="false">IF(ABS((B54)-00_Assumptions!$D$157)&lt;=00_Assumptions!$E$157,"PASS","FAIL: "&amp;TEXT((B54)-00_Assumptions!$D$157,"#,##0.000"))</f>
        <v>PASS</v>
      </c>
    </row>
    <row r="55" customFormat="false" ht="15" hidden="false" customHeight="false" outlineLevel="0" collapsed="false">
      <c r="A55" s="9" t="s">
        <v>2818</v>
      </c>
      <c r="B55" s="11" t="n">
        <f aca="false">01_Data!$D$22</f>
        <v>665000</v>
      </c>
      <c r="C55" s="2" t="s">
        <v>2819</v>
      </c>
      <c r="D55" s="2" t="s">
        <v>2820</v>
      </c>
      <c r="E55" s="2" t="s">
        <v>2821</v>
      </c>
      <c r="F55" s="2" t="s">
        <v>2822</v>
      </c>
      <c r="G55" s="2" t="s">
        <v>2823</v>
      </c>
    </row>
    <row r="56" customFormat="false" ht="15" hidden="false" customHeight="false" outlineLevel="0" collapsed="false">
      <c r="A56" s="9" t="s">
        <v>2824</v>
      </c>
      <c r="B56" s="11" t="n">
        <f aca="false">01_Data!$D$21</f>
        <v>600000</v>
      </c>
      <c r="C56" s="2" t="s">
        <v>2825</v>
      </c>
      <c r="D56" s="31" t="n">
        <f aca="false">LB_07b</f>
        <v>750000</v>
      </c>
      <c r="E56" s="2" t="s">
        <v>2826</v>
      </c>
      <c r="F56" s="2" t="s">
        <v>2827</v>
      </c>
      <c r="G56" s="2"/>
    </row>
    <row r="57" customFormat="false" ht="15" hidden="false" customHeight="false" outlineLevel="0" collapsed="false">
      <c r="A57" s="9" t="s">
        <v>2828</v>
      </c>
      <c r="B57" s="64" t="n">
        <f aca="false">E39</f>
        <v>1170400</v>
      </c>
      <c r="C57" s="2" t="s">
        <v>2829</v>
      </c>
      <c r="D57" s="10" t="n">
        <f aca="false">01_Data!$D$264</f>
        <v>1150000</v>
      </c>
      <c r="E57" s="2" t="s">
        <v>2830</v>
      </c>
      <c r="F57" s="2" t="s">
        <v>2831</v>
      </c>
      <c r="G57" s="2" t="s">
        <v>2832</v>
      </c>
      <c r="H57" s="30" t="n">
        <f aca="false">E39/D57-1</f>
        <v>0.0177391304347827</v>
      </c>
      <c r="I57" s="2" t="s">
        <v>2833</v>
      </c>
    </row>
    <row r="58" customFormat="false" ht="15" hidden="false" customHeight="false" outlineLevel="0" collapsed="false">
      <c r="A58" s="9" t="s">
        <v>2834</v>
      </c>
      <c r="B58" s="11" t="n">
        <f aca="false">01_Data!$D$265</f>
        <v>1400000</v>
      </c>
      <c r="C58" s="2" t="s">
        <v>2835</v>
      </c>
      <c r="D58" s="31" t="n">
        <f aca="false">LB_07a</f>
        <v>50000</v>
      </c>
      <c r="E58" s="2" t="s">
        <v>2836</v>
      </c>
      <c r="F58" s="2" t="s">
        <v>2837</v>
      </c>
      <c r="G58" s="2" t="s">
        <v>2838</v>
      </c>
    </row>
    <row r="59" customFormat="false" ht="15" hidden="false" customHeight="false" outlineLevel="0" collapsed="false">
      <c r="A59" s="2" t="s">
        <v>2839</v>
      </c>
    </row>
    <row r="60" customFormat="false" ht="15" hidden="false" customHeight="false" outlineLevel="0" collapsed="false">
      <c r="A60" s="24" t="s">
        <v>2840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customFormat="false" ht="15" hidden="false" customHeight="false" outlineLevel="0" collapsed="false">
      <c r="A61" s="34" t="s">
        <v>306</v>
      </c>
      <c r="B61" s="59" t="s">
        <v>6</v>
      </c>
      <c r="C61" s="59" t="s">
        <v>310</v>
      </c>
      <c r="D61" s="35" t="str">
        <f aca="false">00_Assumptions!$D$3</f>
        <v>2023A</v>
      </c>
      <c r="E61" s="35" t="str">
        <f aca="false">00_Assumptions!$E$3</f>
        <v>2024A</v>
      </c>
      <c r="F61" s="35" t="str">
        <f aca="false">00_Assumptions!$F$3</f>
        <v>2025A</v>
      </c>
      <c r="G61" s="35" t="str">
        <f aca="false">00_Assumptions!$G$3</f>
        <v>2026E</v>
      </c>
      <c r="H61" s="35" t="str">
        <f aca="false">00_Assumptions!$H$3</f>
        <v>2027E</v>
      </c>
      <c r="I61" s="35" t="str">
        <f aca="false">00_Assumptions!$I$3</f>
        <v>2028E</v>
      </c>
      <c r="J61" s="35" t="str">
        <f aca="false">00_Assumptions!$J$3</f>
        <v>2029E</v>
      </c>
      <c r="K61" s="35" t="str">
        <f aca="false">00_Assumptions!$K$3</f>
        <v>2030E</v>
      </c>
    </row>
    <row r="62" customFormat="false" ht="15" hidden="false" customHeight="false" outlineLevel="0" collapsed="false">
      <c r="A62" s="9" t="s">
        <v>2841</v>
      </c>
      <c r="B62" s="2" t="s">
        <v>14</v>
      </c>
      <c r="C62" s="2" t="s">
        <v>2842</v>
      </c>
      <c r="D62" s="32" t="n">
        <f aca="false">SUMIFS($U$101:$U$124,$B$101:$B$124,"Anthropic",$Q$101:$Q$124,"RUN",$D$101:$D$124,"L1")</f>
        <v>0</v>
      </c>
      <c r="E62" s="32" t="n">
        <f aca="false">SUMIFS($V$101:$V$124,$B$101:$B$124,"Anthropic",$Q$101:$Q$124,"RUN",$D$101:$D$124,"L1")</f>
        <v>0</v>
      </c>
      <c r="F62" s="32" t="n">
        <f aca="false">SUMIFS($W$101:$W$124,$B$101:$B$124,"Anthropic",$Q$101:$Q$124,"RUN",$D$101:$D$124,"L1")</f>
        <v>0</v>
      </c>
      <c r="G62" s="32" t="n">
        <f aca="false">SUMIFS($X$101:$X$124,$B$101:$B$124,"Anthropic",$Q$101:$Q$124,"RUN",$D$101:$D$124,"L1")</f>
        <v>3450</v>
      </c>
      <c r="H62" s="32" t="n">
        <f aca="false">SUMIFS($Y$101:$Y$124,$B$101:$B$124,"Anthropic",$Q$101:$Q$124,"RUN",$D$101:$D$124,"L1")</f>
        <v>6900</v>
      </c>
      <c r="I62" s="32" t="n">
        <f aca="false">SUMIFS($Z$101:$Z$124,$B$101:$B$124,"Anthropic",$Q$101:$Q$124,"RUN",$D$101:$D$124,"L1")</f>
        <v>6900</v>
      </c>
      <c r="J62" s="32" t="n">
        <f aca="false">SUMIFS($AA$101:$AA$124,$B$101:$B$124,"Anthropic",$Q$101:$Q$124,"RUN",$D$101:$D$124,"L1")</f>
        <v>6900</v>
      </c>
      <c r="K62" s="32" t="n">
        <f aca="false">SUMIFS($AB$101:$AB$124,$B$101:$B$124,"Anthropic",$Q$101:$Q$124,"RUN",$D$101:$D$124,"L1")</f>
        <v>6900</v>
      </c>
    </row>
    <row r="63" customFormat="false" ht="15" hidden="false" customHeight="false" outlineLevel="0" collapsed="false">
      <c r="A63" s="9" t="s">
        <v>2843</v>
      </c>
      <c r="B63" s="2" t="s">
        <v>14</v>
      </c>
      <c r="C63" s="2" t="s">
        <v>2842</v>
      </c>
      <c r="D63" s="32" t="n">
        <f aca="false">SUMIFS($U$101:$U$124,$B$101:$B$124,"Anthropic",$Q$101:$Q$124,"RUN",$D$101:$D$124,"L2")</f>
        <v>0</v>
      </c>
      <c r="E63" s="32" t="n">
        <f aca="false">SUMIFS($V$101:$V$124,$B$101:$B$124,"Anthropic",$Q$101:$Q$124,"RUN",$D$101:$D$124,"L2")</f>
        <v>0</v>
      </c>
      <c r="F63" s="32" t="n">
        <f aca="false">SUMIFS($W$101:$W$124,$B$101:$B$124,"Anthropic",$Q$101:$Q$124,"RUN",$D$101:$D$124,"L2")</f>
        <v>0</v>
      </c>
      <c r="G63" s="32" t="n">
        <f aca="false">SUMIFS($X$101:$X$124,$B$101:$B$124,"Anthropic",$Q$101:$Q$124,"RUN",$D$101:$D$124,"L2")</f>
        <v>24708.3333333333</v>
      </c>
      <c r="H63" s="32" t="n">
        <f aca="false">SUMIFS($Y$101:$Y$124,$B$101:$B$124,"Anthropic",$Q$101:$Q$124,"RUN",$D$101:$D$124,"L2")</f>
        <v>40830</v>
      </c>
      <c r="I63" s="32" t="n">
        <f aca="false">SUMIFS($Z$101:$Z$124,$B$101:$B$124,"Anthropic",$Q$101:$Q$124,"RUN",$D$101:$D$124,"L2")</f>
        <v>46455</v>
      </c>
      <c r="J63" s="32" t="n">
        <f aca="false">SUMIFS($AA$101:$AA$124,$B$101:$B$124,"Anthropic",$Q$101:$Q$124,"RUN",$D$101:$D$124,"L2")</f>
        <v>37705</v>
      </c>
      <c r="K63" s="32" t="n">
        <f aca="false">SUMIFS($AB$101:$AB$124,$B$101:$B$124,"Anthropic",$Q$101:$Q$124,"RUN",$D$101:$D$124,"L2")</f>
        <v>31455</v>
      </c>
    </row>
    <row r="64" customFormat="false" ht="15" hidden="false" customHeight="false" outlineLevel="0" collapsed="false">
      <c r="A64" s="3" t="s">
        <v>2844</v>
      </c>
      <c r="B64" s="2" t="s">
        <v>14</v>
      </c>
      <c r="C64" s="2" t="s">
        <v>2842</v>
      </c>
      <c r="D64" s="64" t="n">
        <f aca="false">SUMIFS($U$101:$U$124,$B$101:$B$124,"Anthropic",$Q$101:$Q$124,"RUN")</f>
        <v>0</v>
      </c>
      <c r="E64" s="64" t="n">
        <f aca="false">SUMIFS($V$101:$V$124,$B$101:$B$124,"Anthropic",$Q$101:$Q$124,"RUN")</f>
        <v>0</v>
      </c>
      <c r="F64" s="64" t="n">
        <f aca="false">SUMIFS($W$101:$W$124,$B$101:$B$124,"Anthropic",$Q$101:$Q$124,"RUN")</f>
        <v>0</v>
      </c>
      <c r="G64" s="64" t="n">
        <f aca="false">SUMIFS($X$101:$X$124,$B$101:$B$124,"Anthropic",$Q$101:$Q$124,"RUN")</f>
        <v>28158.3333333333</v>
      </c>
      <c r="H64" s="64" t="n">
        <f aca="false">SUMIFS($Y$101:$Y$124,$B$101:$B$124,"Anthropic",$Q$101:$Q$124,"RUN")</f>
        <v>47730</v>
      </c>
      <c r="I64" s="64" t="n">
        <f aca="false">SUMIFS($Z$101:$Z$124,$B$101:$B$124,"Anthropic",$Q$101:$Q$124,"RUN")</f>
        <v>53355</v>
      </c>
      <c r="J64" s="64" t="n">
        <f aca="false">SUMIFS($AA$101:$AA$124,$B$101:$B$124,"Anthropic",$Q$101:$Q$124,"RUN")</f>
        <v>44605</v>
      </c>
      <c r="K64" s="64" t="n">
        <f aca="false">SUMIFS($AB$101:$AB$124,$B$101:$B$124,"Anthropic",$Q$101:$Q$124,"RUN")</f>
        <v>38355</v>
      </c>
    </row>
    <row r="65" customFormat="false" ht="15" hidden="false" customHeight="false" outlineLevel="0" collapsed="false">
      <c r="A65" s="2" t="s">
        <v>2845</v>
      </c>
      <c r="G65" s="7" t="str">
        <f aca="false">IF(ABS((G64)-00_Assumptions!$D$164)&lt;=00_Assumptions!$E$164,"PASS","FAIL: "&amp;TEXT((G64)-00_Assumptions!$D$164,"#,##0.000"))</f>
        <v>PASS</v>
      </c>
      <c r="H65" s="7" t="str">
        <f aca="false">IF(ABS((H64)-00_Assumptions!$D$165)&lt;=00_Assumptions!$E$165,"PASS","FAIL: "&amp;TEXT((H64)-00_Assumptions!$D$165,"#,##0.000"))</f>
        <v>PASS</v>
      </c>
      <c r="I65" s="7" t="str">
        <f aca="false">IF(ABS((I64)-00_Assumptions!$D$166)&lt;=00_Assumptions!$E$166,"PASS","FAIL: "&amp;TEXT((I64)-00_Assumptions!$D$166,"#,##0.000"))</f>
        <v>PASS</v>
      </c>
      <c r="J65" s="7" t="str">
        <f aca="false">IF(ABS((J64)-00_Assumptions!$D$167)&lt;=00_Assumptions!$E$167,"PASS","FAIL: "&amp;TEXT((J64)-00_Assumptions!$D$167,"#,##0.000"))</f>
        <v>PASS</v>
      </c>
      <c r="K65" s="7" t="str">
        <f aca="false">IF(ABS((K64)-00_Assumptions!$D$168)&lt;=00_Assumptions!$E$168,"PASS","FAIL: "&amp;TEXT((K64)-00_Assumptions!$D$168,"#,##0.000"))</f>
        <v>PASS</v>
      </c>
    </row>
    <row r="66" customFormat="false" ht="15" hidden="false" customHeight="false" outlineLevel="0" collapsed="false">
      <c r="A66" s="9" t="s">
        <v>2846</v>
      </c>
      <c r="B66" s="2" t="s">
        <v>14</v>
      </c>
      <c r="C66" s="2" t="s">
        <v>2842</v>
      </c>
      <c r="D66" s="32" t="n">
        <f aca="false">SUMIFS($U$101:$U$124,$B$101:$B$124,"OpenAI",$Q$101:$Q$124,"RUN",$D$101:$D$124,"L1")</f>
        <v>0</v>
      </c>
      <c r="E66" s="32" t="n">
        <f aca="false">SUMIFS($V$101:$V$124,$B$101:$B$124,"OpenAI",$Q$101:$Q$124,"RUN",$D$101:$D$124,"L1")</f>
        <v>0</v>
      </c>
      <c r="F66" s="32" t="n">
        <f aca="false">SUMIFS($W$101:$W$124,$B$101:$B$124,"OpenAI",$Q$101:$Q$124,"RUN",$D$101:$D$124,"L1")</f>
        <v>0</v>
      </c>
      <c r="G66" s="32" t="n">
        <f aca="false">SUMIFS($X$101:$X$124,$B$101:$B$124,"OpenAI",$Q$101:$Q$124,"RUN",$D$101:$D$124,"L1")</f>
        <v>5000</v>
      </c>
      <c r="H66" s="32" t="n">
        <f aca="false">SUMIFS($Y$101:$Y$124,$B$101:$B$124,"OpenAI",$Q$101:$Q$124,"RUN",$D$101:$D$124,"L1")</f>
        <v>5000</v>
      </c>
      <c r="I66" s="32" t="n">
        <f aca="false">SUMIFS($Z$101:$Z$124,$B$101:$B$124,"OpenAI",$Q$101:$Q$124,"RUN",$D$101:$D$124,"L1")</f>
        <v>5000</v>
      </c>
      <c r="J66" s="32" t="n">
        <f aca="false">SUMIFS($AA$101:$AA$124,$B$101:$B$124,"OpenAI",$Q$101:$Q$124,"RUN",$D$101:$D$124,"L1")</f>
        <v>5000</v>
      </c>
      <c r="K66" s="32" t="n">
        <f aca="false">SUMIFS($AB$101:$AB$124,$B$101:$B$124,"OpenAI",$Q$101:$Q$124,"RUN",$D$101:$D$124,"L1")</f>
        <v>0</v>
      </c>
    </row>
    <row r="67" customFormat="false" ht="15" hidden="false" customHeight="false" outlineLevel="0" collapsed="false">
      <c r="A67" s="9" t="s">
        <v>2847</v>
      </c>
      <c r="B67" s="2" t="s">
        <v>14</v>
      </c>
      <c r="C67" s="2" t="s">
        <v>2842</v>
      </c>
      <c r="D67" s="32" t="n">
        <f aca="false">SUMIFS($U$101:$U$124,$B$101:$B$124,"OpenAI",$Q$101:$Q$124,"RUN",$D$101:$D$124,"L2")</f>
        <v>0</v>
      </c>
      <c r="E67" s="32" t="n">
        <f aca="false">SUMIFS($V$101:$V$124,$B$101:$B$124,"OpenAI",$Q$101:$Q$124,"RUN",$D$101:$D$124,"L2")</f>
        <v>0</v>
      </c>
      <c r="F67" s="32" t="n">
        <f aca="false">SUMIFS($W$101:$W$124,$B$101:$B$124,"OpenAI",$Q$101:$Q$124,"RUN",$D$101:$D$124,"L2")</f>
        <v>0</v>
      </c>
      <c r="G67" s="32" t="n">
        <f aca="false">SUMIFS($X$101:$X$124,$B$101:$B$124,"OpenAI",$Q$101:$Q$124,"RUN",$D$101:$D$124,"L2")</f>
        <v>45083.3333333333</v>
      </c>
      <c r="H67" s="32" t="n">
        <f aca="false">SUMIFS($Y$101:$Y$124,$B$101:$B$124,"OpenAI",$Q$101:$Q$124,"RUN",$D$101:$D$124,"L2")</f>
        <v>105083.333333333</v>
      </c>
      <c r="I67" s="32" t="n">
        <f aca="false">SUMIFS($Z$101:$Z$124,$B$101:$B$124,"OpenAI",$Q$101:$Q$124,"RUN",$D$101:$D$124,"L2")</f>
        <v>105083.333333333</v>
      </c>
      <c r="J67" s="32" t="n">
        <f aca="false">SUMIFS($AA$101:$AA$124,$B$101:$B$124,"OpenAI",$Q$101:$Q$124,"RUN",$D$101:$D$124,"L2")</f>
        <v>105083.333333333</v>
      </c>
      <c r="K67" s="32" t="n">
        <f aca="false">SUMIFS($AB$101:$AB$124,$B$101:$B$124,"OpenAI",$Q$101:$Q$124,"RUN",$D$101:$D$124,"L2")</f>
        <v>105083.333333333</v>
      </c>
    </row>
    <row r="68" customFormat="false" ht="15" hidden="false" customHeight="false" outlineLevel="0" collapsed="false">
      <c r="A68" s="3" t="s">
        <v>2848</v>
      </c>
      <c r="B68" s="2" t="s">
        <v>14</v>
      </c>
      <c r="C68" s="2" t="s">
        <v>2842</v>
      </c>
      <c r="D68" s="64" t="n">
        <f aca="false">SUMIFS($U$101:$U$124,$B$101:$B$124,"OpenAI",$Q$101:$Q$124,"RUN")</f>
        <v>0</v>
      </c>
      <c r="E68" s="64" t="n">
        <f aca="false">SUMIFS($V$101:$V$124,$B$101:$B$124,"OpenAI",$Q$101:$Q$124,"RUN")</f>
        <v>0</v>
      </c>
      <c r="F68" s="64" t="n">
        <f aca="false">SUMIFS($W$101:$W$124,$B$101:$B$124,"OpenAI",$Q$101:$Q$124,"RUN")</f>
        <v>0</v>
      </c>
      <c r="G68" s="64" t="n">
        <f aca="false">SUMIFS($X$101:$X$124,$B$101:$B$124,"OpenAI",$Q$101:$Q$124,"RUN")</f>
        <v>50083.3333333333</v>
      </c>
      <c r="H68" s="64" t="n">
        <f aca="false">SUMIFS($Y$101:$Y$124,$B$101:$B$124,"OpenAI",$Q$101:$Q$124,"RUN")</f>
        <v>110083.333333333</v>
      </c>
      <c r="I68" s="64" t="n">
        <f aca="false">SUMIFS($Z$101:$Z$124,$B$101:$B$124,"OpenAI",$Q$101:$Q$124,"RUN")</f>
        <v>110083.333333333</v>
      </c>
      <c r="J68" s="64" t="n">
        <f aca="false">SUMIFS($AA$101:$AA$124,$B$101:$B$124,"OpenAI",$Q$101:$Q$124,"RUN")</f>
        <v>110083.333333333</v>
      </c>
      <c r="K68" s="64" t="n">
        <f aca="false">SUMIFS($AB$101:$AB$124,$B$101:$B$124,"OpenAI",$Q$101:$Q$124,"RUN")</f>
        <v>105083.333333333</v>
      </c>
    </row>
    <row r="69" customFormat="false" ht="15" hidden="false" customHeight="false" outlineLevel="0" collapsed="false">
      <c r="A69" s="2" t="s">
        <v>2849</v>
      </c>
      <c r="H69" s="7" t="str">
        <f aca="false">IF(ABS((H68)-00_Assumptions!$D$169)&lt;=00_Assumptions!$E$169,"PASS","FAIL: "&amp;TEXT((H68)-00_Assumptions!$D$169,"#,##0.000"))</f>
        <v>PASS</v>
      </c>
    </row>
    <row r="70" customFormat="false" ht="15" hidden="false" customHeight="false" outlineLevel="0" collapsed="false">
      <c r="A70" s="9" t="s">
        <v>2850</v>
      </c>
      <c r="B70" s="2" t="s">
        <v>14</v>
      </c>
      <c r="C70" s="61" t="s">
        <v>2851</v>
      </c>
      <c r="D70" s="68" t="n">
        <f aca="false">U110</f>
        <v>0</v>
      </c>
      <c r="E70" s="68" t="n">
        <f aca="false">V110</f>
        <v>0</v>
      </c>
      <c r="F70" s="68" t="n">
        <f aca="false">W110</f>
        <v>0</v>
      </c>
      <c r="G70" s="68" t="n">
        <f aca="false">X110</f>
        <v>0</v>
      </c>
      <c r="H70" s="68" t="n">
        <f aca="false">Y110</f>
        <v>40000</v>
      </c>
      <c r="I70" s="68" t="n">
        <f aca="false">Z110</f>
        <v>40000</v>
      </c>
      <c r="J70" s="68" t="n">
        <f aca="false">AA110</f>
        <v>40000</v>
      </c>
      <c r="K70" s="68" t="n">
        <f aca="false">AB110</f>
        <v>40000</v>
      </c>
    </row>
    <row r="71" customFormat="false" ht="15" hidden="false" customHeight="false" outlineLevel="0" collapsed="false">
      <c r="A71" s="9" t="s">
        <v>2852</v>
      </c>
      <c r="B71" s="2" t="s">
        <v>14</v>
      </c>
      <c r="C71" s="2" t="s">
        <v>2853</v>
      </c>
      <c r="D71" s="31" t="n">
        <f aca="false">D94*SW_TPU_RATE*00_Assumptions!$E$90</f>
        <v>0</v>
      </c>
      <c r="E71" s="31" t="n">
        <f aca="false">E94*SW_TPU_RATE*00_Assumptions!$E$90</f>
        <v>0</v>
      </c>
      <c r="F71" s="31" t="n">
        <f aca="false">F94*SW_TPU_RATE*00_Assumptions!$E$90</f>
        <v>0</v>
      </c>
      <c r="G71" s="31" t="n">
        <f aca="false">G94*SW_TPU_RATE*00_Assumptions!$E$90</f>
        <v>0</v>
      </c>
      <c r="H71" s="31" t="n">
        <f aca="false">H94*SW_TPU_RATE*00_Assumptions!$E$90</f>
        <v>46500</v>
      </c>
      <c r="I71" s="31" t="n">
        <f aca="false">I94*SW_TPU_RATE*00_Assumptions!$E$90</f>
        <v>46500</v>
      </c>
      <c r="J71" s="31" t="n">
        <f aca="false">J94*SW_TPU_RATE*00_Assumptions!$E$90</f>
        <v>46500</v>
      </c>
      <c r="K71" s="31" t="n">
        <f aca="false">K94*SW_TPU_RATE*00_Assumptions!$E$90</f>
        <v>46500</v>
      </c>
    </row>
    <row r="72" customFormat="false" ht="15" hidden="false" customHeight="false" outlineLevel="0" collapsed="false">
      <c r="A72" s="9" t="s">
        <v>2854</v>
      </c>
      <c r="B72" s="2" t="s">
        <v>14</v>
      </c>
      <c r="C72" s="2" t="s">
        <v>2855</v>
      </c>
      <c r="D72" s="31" t="n">
        <f aca="false">IF(00_Assumptions!$D$2&gt;=YEAR(00_Assumptions!$G$73),01_Data!$D$235*SW_TPU_RATE*00_Assumptions!$E$90,01_Data!$D$123)</f>
        <v>0</v>
      </c>
      <c r="E72" s="31" t="n">
        <f aca="false">IF(00_Assumptions!$E$2&gt;=YEAR(00_Assumptions!$G$73),01_Data!$D$235*SW_TPU_RATE*00_Assumptions!$E$90,01_Data!$D$123)</f>
        <v>0</v>
      </c>
      <c r="F72" s="31" t="n">
        <f aca="false">IF(00_Assumptions!$F$2&gt;=YEAR(00_Assumptions!$G$73),01_Data!$D$235*SW_TPU_RATE*00_Assumptions!$E$90,01_Data!$D$123)</f>
        <v>0</v>
      </c>
      <c r="G72" s="31" t="n">
        <f aca="false">IF(00_Assumptions!$G$2&gt;=YEAR(00_Assumptions!$G$73),01_Data!$D$235*SW_TPU_RATE*00_Assumptions!$E$90,01_Data!$D$123)</f>
        <v>0</v>
      </c>
      <c r="H72" s="31" t="n">
        <f aca="false">IF(00_Assumptions!$H$2&gt;=YEAR(00_Assumptions!$G$73),01_Data!$D$235*SW_TPU_RATE*00_Assumptions!$E$90,01_Data!$D$123)</f>
        <v>18600</v>
      </c>
      <c r="I72" s="31" t="n">
        <f aca="false">IF(00_Assumptions!$I$2&gt;=YEAR(00_Assumptions!$G$73),01_Data!$D$235*SW_TPU_RATE*00_Assumptions!$E$90,01_Data!$D$123)</f>
        <v>18600</v>
      </c>
      <c r="J72" s="31" t="n">
        <f aca="false">IF(00_Assumptions!$J$2&gt;=YEAR(00_Assumptions!$G$73),01_Data!$D$235*SW_TPU_RATE*00_Assumptions!$E$90,01_Data!$D$123)</f>
        <v>18600</v>
      </c>
      <c r="K72" s="31" t="n">
        <f aca="false">IF(00_Assumptions!$K$2&gt;=YEAR(00_Assumptions!$G$73),01_Data!$D$235*SW_TPU_RATE*00_Assumptions!$E$90,01_Data!$D$123)</f>
        <v>18600</v>
      </c>
    </row>
    <row r="73" customFormat="false" ht="15" hidden="false" customHeight="false" outlineLevel="0" collapsed="false">
      <c r="A73" s="9" t="s">
        <v>2856</v>
      </c>
      <c r="I73" s="32" t="n">
        <f aca="false">I64+I70</f>
        <v>93355</v>
      </c>
      <c r="J73" s="7" t="str">
        <f aca="false">IF(ABS((I73)-00_Assumptions!$D$170)&lt;=00_Assumptions!$E$170,"PASS","FAIL: "&amp;TEXT((I73)-00_Assumptions!$D$170,"#,##0.000"))</f>
        <v>PASS</v>
      </c>
    </row>
    <row r="74" customFormat="false" ht="15" hidden="false" customHeight="false" outlineLevel="0" collapsed="false">
      <c r="A74" s="9" t="s">
        <v>2857</v>
      </c>
      <c r="B74" s="2" t="s">
        <v>14</v>
      </c>
      <c r="C74" s="57" t="str">
        <f aca="false">SW_GOOGLE_VALUE</f>
        <v>reported</v>
      </c>
      <c r="D74" s="31" t="n">
        <f aca="false">IF(SW_GOOGLE_VALUE="reported",D70,D71)</f>
        <v>0</v>
      </c>
      <c r="E74" s="31" t="n">
        <f aca="false">IF(SW_GOOGLE_VALUE="reported",E70,E71)</f>
        <v>0</v>
      </c>
      <c r="F74" s="31" t="n">
        <f aca="false">IF(SW_GOOGLE_VALUE="reported",F70,F71)</f>
        <v>0</v>
      </c>
      <c r="G74" s="31" t="n">
        <f aca="false">IF(SW_GOOGLE_VALUE="reported",G70,G71)</f>
        <v>0</v>
      </c>
      <c r="H74" s="31" t="n">
        <f aca="false">IF(SW_GOOGLE_VALUE="reported",H70,H71)</f>
        <v>40000</v>
      </c>
      <c r="I74" s="31" t="n">
        <f aca="false">IF(SW_GOOGLE_VALUE="reported",I70,I71)</f>
        <v>40000</v>
      </c>
      <c r="J74" s="31" t="n">
        <f aca="false">IF(SW_GOOGLE_VALUE="reported",J70,J71)</f>
        <v>40000</v>
      </c>
      <c r="K74" s="31" t="n">
        <f aca="false">IF(SW_GOOGLE_VALUE="reported",K70,K71)</f>
        <v>40000</v>
      </c>
    </row>
    <row r="75" customFormat="false" ht="15" hidden="false" customHeight="false" outlineLevel="0" collapsed="false">
      <c r="A75" s="2" t="s">
        <v>2858</v>
      </c>
    </row>
    <row r="80" customFormat="false" ht="15" hidden="false" customHeight="false" outlineLevel="0" collapsed="false">
      <c r="A80" s="24" t="s">
        <v>2859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customFormat="false" ht="15" hidden="false" customHeight="false" outlineLevel="0" collapsed="false">
      <c r="A81" s="34" t="s">
        <v>306</v>
      </c>
      <c r="B81" s="59" t="s">
        <v>6</v>
      </c>
      <c r="C81" s="59" t="s">
        <v>310</v>
      </c>
      <c r="D81" s="35" t="str">
        <f aca="false">00_Assumptions!$D$3</f>
        <v>2023A</v>
      </c>
      <c r="E81" s="35" t="str">
        <f aca="false">00_Assumptions!$E$3</f>
        <v>2024A</v>
      </c>
      <c r="F81" s="35" t="str">
        <f aca="false">00_Assumptions!$F$3</f>
        <v>2025A</v>
      </c>
      <c r="G81" s="35" t="str">
        <f aca="false">00_Assumptions!$G$3</f>
        <v>2026E</v>
      </c>
      <c r="H81" s="35" t="str">
        <f aca="false">00_Assumptions!$H$3</f>
        <v>2027E</v>
      </c>
      <c r="I81" s="35" t="str">
        <f aca="false">00_Assumptions!$I$3</f>
        <v>2028E</v>
      </c>
      <c r="J81" s="35" t="str">
        <f aca="false">00_Assumptions!$J$3</f>
        <v>2029E</v>
      </c>
      <c r="K81" s="35" t="str">
        <f aca="false">00_Assumptions!$K$3</f>
        <v>2030E</v>
      </c>
    </row>
    <row r="82" customFormat="false" ht="15" hidden="false" customHeight="false" outlineLevel="0" collapsed="false">
      <c r="A82" s="9" t="s">
        <v>2860</v>
      </c>
      <c r="B82" s="2" t="s">
        <v>14</v>
      </c>
      <c r="C82" s="2" t="s">
        <v>2861</v>
      </c>
      <c r="G82" s="31" t="n">
        <f aca="false">02_Revenue!$M$55*(1-01_Data!$D$63)+01_Data!$D$66</f>
        <v>30032</v>
      </c>
      <c r="H82" s="31" t="n">
        <f aca="false">00_Assumptions!$G$35*(1-01_Data!$D$64)+01_Data!$D$67</f>
        <v>65800</v>
      </c>
      <c r="I82" s="31" t="n">
        <f aca="false">LB_10*(1-01_Data!$D$65)+01_Data!$D$68</f>
        <v>65700</v>
      </c>
      <c r="J82" s="65" t="s">
        <v>2081</v>
      </c>
      <c r="K82" s="65" t="s">
        <v>2081</v>
      </c>
      <c r="L82" s="7" t="str">
        <f aca="false">IF(ABS((I82)-00_Assumptions!$D$171)&lt;=00_Assumptions!$E$171,"PASS","FAIL: "&amp;TEXT((I82)-00_Assumptions!$D$171,"#,##0.000"))</f>
        <v>PASS</v>
      </c>
      <c r="M82" s="7" t="str">
        <f aca="false">IF(ABS((H82)-00_Assumptions!$D$173)&lt;=00_Assumptions!$E$173,"PASS","FAIL: "&amp;TEXT((H82)-00_Assumptions!$D$173,"#,##0.000"))</f>
        <v>PASS</v>
      </c>
    </row>
    <row r="83" customFormat="false" ht="15" hidden="false" customHeight="false" outlineLevel="0" collapsed="false">
      <c r="A83" s="9" t="s">
        <v>2862</v>
      </c>
      <c r="B83" s="2" t="s">
        <v>14</v>
      </c>
      <c r="C83" s="2" t="s">
        <v>2812</v>
      </c>
      <c r="G83" s="31" t="n">
        <f aca="false">02_Revenue!$M$56*(1-01_Data!$D$62)+01_Data!$D$66</f>
        <v>42044.8</v>
      </c>
      <c r="H83" s="31" t="n">
        <f aca="false">00_Assumptions!$G$36*(1-01_Data!$D$64)+01_Data!$D$67</f>
        <v>69500</v>
      </c>
      <c r="I83" s="31" t="n">
        <f aca="false">01_Data!$D$32*(1-01_Data!$D$65)+01_Data!$D$68</f>
        <v>68000</v>
      </c>
      <c r="J83" s="65" t="s">
        <v>2081</v>
      </c>
      <c r="K83" s="65" t="s">
        <v>2081</v>
      </c>
      <c r="L83" s="7" t="str">
        <f aca="false">IF(ABS((I83)-00_Assumptions!$D$172)&lt;=00_Assumptions!$E$172,"PASS","FAIL: "&amp;TEXT((I83)-00_Assumptions!$D$172,"#,##0.000"))</f>
        <v>PASS</v>
      </c>
      <c r="M83" s="7" t="str">
        <f aca="false">IF(ABS((H83)-00_Assumptions!$D$174)&lt;=00_Assumptions!$E$174,"PASS","FAIL: "&amp;TEXT((H83)-00_Assumptions!$D$174,"#,##0.000"))</f>
        <v>PASS</v>
      </c>
    </row>
    <row r="84" customFormat="false" ht="15" hidden="false" customHeight="false" outlineLevel="0" collapsed="false">
      <c r="A84" s="9" t="s">
        <v>2863</v>
      </c>
      <c r="B84" s="2" t="s">
        <v>14</v>
      </c>
      <c r="C84" s="2" t="s">
        <v>2864</v>
      </c>
      <c r="G84" s="31" t="n">
        <f aca="false">03_Costs!G$20</f>
        <v>35838.4</v>
      </c>
      <c r="H84" s="31" t="n">
        <f aca="false">03_Costs!H$20</f>
        <v>67650</v>
      </c>
      <c r="I84" s="31" t="n">
        <f aca="false">03_Costs!I$20</f>
        <v>79000</v>
      </c>
      <c r="J84" s="31" t="n">
        <f aca="false">03_Costs!J$20</f>
        <v>94757.2413793104</v>
      </c>
      <c r="K84" s="31" t="n">
        <f aca="false">03_Costs!K$20</f>
        <v>104604.808085612</v>
      </c>
    </row>
    <row r="85" customFormat="false" ht="15" hidden="false" customHeight="false" outlineLevel="0" collapsed="false">
      <c r="A85" s="9" t="s">
        <v>2865</v>
      </c>
      <c r="B85" s="2" t="s">
        <v>14</v>
      </c>
      <c r="D85" s="32" t="n">
        <f aca="false">D64</f>
        <v>0</v>
      </c>
      <c r="E85" s="32" t="n">
        <f aca="false">E64</f>
        <v>0</v>
      </c>
      <c r="F85" s="32" t="n">
        <f aca="false">F64</f>
        <v>0</v>
      </c>
      <c r="G85" s="32" t="n">
        <f aca="false">G64</f>
        <v>28158.3333333333</v>
      </c>
      <c r="H85" s="32" t="n">
        <f aca="false">H64</f>
        <v>47730</v>
      </c>
      <c r="I85" s="32" t="n">
        <f aca="false">I64</f>
        <v>53355</v>
      </c>
      <c r="J85" s="32" t="n">
        <f aca="false">J64</f>
        <v>44605</v>
      </c>
      <c r="K85" s="32" t="n">
        <f aca="false">K64</f>
        <v>38355</v>
      </c>
    </row>
    <row r="86" customFormat="false" ht="15" hidden="false" customHeight="false" outlineLevel="0" collapsed="false">
      <c r="A86" s="9" t="s">
        <v>2866</v>
      </c>
      <c r="B86" s="2" t="s">
        <v>14</v>
      </c>
      <c r="C86" s="57" t="str">
        <f aca="false">IF(SW_GOOGLE_VALUE="reported","reported 40,000 per year [VERIFY] (L-155, T3)","proxy: GW x SW_TPU_RATE")</f>
        <v>reported 40,000 per year [VERIFY] (L-155, T3)</v>
      </c>
      <c r="D86" s="32" t="n">
        <f aca="false">D74</f>
        <v>0</v>
      </c>
      <c r="E86" s="32" t="n">
        <f aca="false">E74</f>
        <v>0</v>
      </c>
      <c r="F86" s="32" t="n">
        <f aca="false">F74</f>
        <v>0</v>
      </c>
      <c r="G86" s="32" t="n">
        <f aca="false">G74</f>
        <v>0</v>
      </c>
      <c r="H86" s="32" t="n">
        <f aca="false">H74</f>
        <v>40000</v>
      </c>
      <c r="I86" s="32" t="n">
        <f aca="false">I74</f>
        <v>40000</v>
      </c>
      <c r="J86" s="32" t="n">
        <f aca="false">J74</f>
        <v>40000</v>
      </c>
      <c r="K86" s="32" t="n">
        <f aca="false">K74</f>
        <v>40000</v>
      </c>
    </row>
    <row r="87" customFormat="false" ht="15" hidden="false" customHeight="false" outlineLevel="0" collapsed="false">
      <c r="A87" s="9" t="s">
        <v>2867</v>
      </c>
      <c r="B87" s="2" t="s">
        <v>14</v>
      </c>
      <c r="D87" s="32" t="n">
        <f aca="false">D72</f>
        <v>0</v>
      </c>
      <c r="E87" s="32" t="n">
        <f aca="false">E72</f>
        <v>0</v>
      </c>
      <c r="F87" s="32" t="n">
        <f aca="false">F72</f>
        <v>0</v>
      </c>
      <c r="G87" s="32" t="n">
        <f aca="false">G72</f>
        <v>0</v>
      </c>
      <c r="H87" s="32" t="n">
        <f aca="false">H72</f>
        <v>18600</v>
      </c>
      <c r="I87" s="32" t="n">
        <f aca="false">I72</f>
        <v>18600</v>
      </c>
      <c r="J87" s="32" t="n">
        <f aca="false">J72</f>
        <v>18600</v>
      </c>
      <c r="K87" s="32" t="n">
        <f aca="false">K72</f>
        <v>18600</v>
      </c>
    </row>
    <row r="88" customFormat="false" ht="15" hidden="false" customHeight="false" outlineLevel="0" collapsed="false">
      <c r="A88" s="3" t="s">
        <v>2868</v>
      </c>
      <c r="B88" s="2" t="s">
        <v>14</v>
      </c>
      <c r="C88" s="2" t="s">
        <v>2869</v>
      </c>
      <c r="G88" s="64" t="n">
        <f aca="false">G82-G85-G86</f>
        <v>1873.66666666667</v>
      </c>
      <c r="H88" s="64" t="n">
        <f aca="false">H82-H85-H86</f>
        <v>-21930</v>
      </c>
      <c r="I88" s="64" t="n">
        <f aca="false">I82-I85-I86</f>
        <v>-27655</v>
      </c>
    </row>
    <row r="89" customFormat="false" ht="15" hidden="false" customHeight="false" outlineLevel="0" collapsed="false">
      <c r="A89" s="3" t="s">
        <v>2870</v>
      </c>
      <c r="B89" s="2" t="s">
        <v>14</v>
      </c>
      <c r="C89" s="2" t="s">
        <v>2869</v>
      </c>
      <c r="G89" s="64" t="n">
        <f aca="false">G83-G85-G86</f>
        <v>13886.4666666667</v>
      </c>
      <c r="H89" s="64" t="n">
        <f aca="false">H83-H85-H86</f>
        <v>-18230</v>
      </c>
      <c r="I89" s="64" t="n">
        <f aca="false">I83-I85-I86</f>
        <v>-25355</v>
      </c>
    </row>
    <row r="90" customFormat="false" ht="15" hidden="false" customHeight="false" outlineLevel="0" collapsed="false">
      <c r="A90" s="9" t="s">
        <v>2871</v>
      </c>
      <c r="B90" s="2" t="s">
        <v>14</v>
      </c>
      <c r="C90" s="2" t="s">
        <v>2869</v>
      </c>
      <c r="G90" s="32" t="n">
        <f aca="false">G88-G87</f>
        <v>1873.66666666667</v>
      </c>
      <c r="H90" s="32" t="n">
        <f aca="false">H88-H87</f>
        <v>-40530</v>
      </c>
      <c r="I90" s="32" t="n">
        <f aca="false">I88-I87</f>
        <v>-46255</v>
      </c>
    </row>
    <row r="91" customFormat="false" ht="15" hidden="false" customHeight="false" outlineLevel="0" collapsed="false">
      <c r="A91" s="9" t="s">
        <v>2872</v>
      </c>
      <c r="B91" s="2" t="s">
        <v>14</v>
      </c>
      <c r="C91" s="2" t="s">
        <v>2869</v>
      </c>
      <c r="G91" s="32" t="n">
        <f aca="false">G89-G87</f>
        <v>13886.4666666667</v>
      </c>
      <c r="H91" s="32" t="n">
        <f aca="false">H89-H87</f>
        <v>-36830</v>
      </c>
      <c r="I91" s="32" t="n">
        <f aca="false">I89-I87</f>
        <v>-43955</v>
      </c>
    </row>
    <row r="92" customFormat="false" ht="15" hidden="false" customHeight="false" outlineLevel="0" collapsed="false">
      <c r="A92" s="9" t="s">
        <v>2873</v>
      </c>
      <c r="B92" s="2" t="s">
        <v>14</v>
      </c>
      <c r="C92" s="2" t="s">
        <v>2869</v>
      </c>
      <c r="G92" s="32" t="n">
        <f aca="false">G84-G85-G86</f>
        <v>7680.06666666666</v>
      </c>
      <c r="H92" s="32" t="n">
        <f aca="false">H84-H85-H86</f>
        <v>-20080</v>
      </c>
      <c r="I92" s="32" t="n">
        <f aca="false">I84-I85-I86</f>
        <v>-14355</v>
      </c>
      <c r="J92" s="32" t="n">
        <f aca="false">J84-J85-J86</f>
        <v>10152.2413793103</v>
      </c>
      <c r="K92" s="32" t="n">
        <f aca="false">K84-K85-K86</f>
        <v>26249.8080856124</v>
      </c>
    </row>
    <row r="93" customFormat="false" ht="15" hidden="false" customHeight="false" outlineLevel="0" collapsed="false">
      <c r="A93" s="9" t="s">
        <v>2874</v>
      </c>
      <c r="B93" s="2" t="s">
        <v>14</v>
      </c>
      <c r="C93" s="2" t="s">
        <v>2869</v>
      </c>
      <c r="G93" s="32" t="n">
        <f aca="false">G92-G87</f>
        <v>7680.06666666666</v>
      </c>
      <c r="H93" s="32" t="n">
        <f aca="false">H92-H87</f>
        <v>-38680</v>
      </c>
      <c r="I93" s="32" t="n">
        <f aca="false">I92-I87</f>
        <v>-32955</v>
      </c>
      <c r="J93" s="32" t="n">
        <f aca="false">J92-J87</f>
        <v>-8447.75862068965</v>
      </c>
      <c r="K93" s="32" t="n">
        <f aca="false">K92-K87</f>
        <v>7649.80808561237</v>
      </c>
    </row>
    <row r="94" customFormat="false" ht="15" hidden="false" customHeight="false" outlineLevel="0" collapsed="false">
      <c r="A94" s="9" t="s">
        <v>2875</v>
      </c>
      <c r="B94" s="2" t="s">
        <v>713</v>
      </c>
      <c r="C94" s="2" t="s">
        <v>2876</v>
      </c>
      <c r="D94" s="49" t="n">
        <f aca="false">01_Data!$D$123</f>
        <v>0</v>
      </c>
      <c r="E94" s="49" t="n">
        <f aca="false">01_Data!$D$123</f>
        <v>0</v>
      </c>
      <c r="F94" s="49" t="n">
        <f aca="false">01_Data!$D$123</f>
        <v>0</v>
      </c>
      <c r="G94" s="49" t="n">
        <f aca="false">01_Data!$D$123</f>
        <v>0</v>
      </c>
      <c r="H94" s="49" t="n">
        <f aca="false">01_Data!$D$231</f>
        <v>5</v>
      </c>
      <c r="I94" s="49" t="n">
        <f aca="false">SW_GW_2028</f>
        <v>5</v>
      </c>
      <c r="J94" s="49" t="n">
        <f aca="false">SW_GW_2028</f>
        <v>5</v>
      </c>
      <c r="K94" s="49" t="n">
        <f aca="false">SW_GW_2028</f>
        <v>5</v>
      </c>
    </row>
    <row r="95" customFormat="false" ht="15" hidden="false" customHeight="false" outlineLevel="0" collapsed="false">
      <c r="A95" s="9" t="s">
        <v>2877</v>
      </c>
      <c r="B95" s="2" t="s">
        <v>1552</v>
      </c>
      <c r="D95" s="50" t="n">
        <f aca="false">01_Data!$D$294</f>
        <v>8</v>
      </c>
      <c r="E95" s="50" t="n">
        <f aca="false">01_Data!$D$295</f>
        <v>2.5</v>
      </c>
      <c r="F95" s="48" t="n">
        <f aca="false">01_Data!$D$289</f>
        <v>6.9</v>
      </c>
      <c r="G95" s="7" t="str">
        <f aca="false">IF(ABS((D95)-00_Assumptions!$D$226)&lt;=00_Assumptions!$E$226,"PASS","FAIL: "&amp;TEXT((D95)-00_Assumptions!$D$226,"#,##0.000"))</f>
        <v>PASS</v>
      </c>
      <c r="H95" s="7" t="str">
        <f aca="false">IF(ABS((E95)-00_Assumptions!$D$227)&lt;=00_Assumptions!$E$227,"PASS","FAIL: "&amp;TEXT((E95)-00_Assumptions!$D$227,"#,##0.000"))</f>
        <v>PASS</v>
      </c>
      <c r="I95" s="2" t="s">
        <v>2878</v>
      </c>
    </row>
    <row r="96" customFormat="false" ht="15" hidden="false" customHeight="false" outlineLevel="0" collapsed="false">
      <c r="A96" s="24" t="s">
        <v>2879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AF96" s="59" t="s">
        <v>2880</v>
      </c>
    </row>
    <row r="97" customFormat="false" ht="15" hidden="false" customHeight="false" outlineLevel="0" collapsed="false">
      <c r="AF97" s="59" t="s">
        <v>2881</v>
      </c>
      <c r="AG97" s="59" t="s">
        <v>2882</v>
      </c>
      <c r="AH97" s="59" t="s">
        <v>2405</v>
      </c>
      <c r="AI97" s="59" t="s">
        <v>2883</v>
      </c>
      <c r="AJ97" s="59" t="s">
        <v>2884</v>
      </c>
      <c r="AK97" s="59" t="s">
        <v>2885</v>
      </c>
      <c r="AL97" s="59" t="s">
        <v>2886</v>
      </c>
      <c r="AM97" s="59" t="s">
        <v>2887</v>
      </c>
      <c r="AN97" s="59" t="s">
        <v>2888</v>
      </c>
      <c r="AO97" s="59" t="s">
        <v>2889</v>
      </c>
      <c r="AP97" s="59" t="s">
        <v>312</v>
      </c>
      <c r="AQ97" s="59" t="s">
        <v>2890</v>
      </c>
      <c r="AR97" s="59" t="s">
        <v>2891</v>
      </c>
    </row>
    <row r="98" customFormat="false" ht="15" hidden="false" customHeight="false" outlineLevel="0" collapsed="false">
      <c r="A98" s="2" t="s">
        <v>2892</v>
      </c>
      <c r="AF98" s="44" t="s">
        <v>2893</v>
      </c>
      <c r="AG98" s="10" t="n">
        <f aca="false">01_Data!$D$121/01_Data!$D$122</f>
        <v>40000</v>
      </c>
      <c r="AH98" s="10" t="n">
        <f aca="false">01_Data!$D$121/01_Data!$D$122</f>
        <v>40000</v>
      </c>
      <c r="AI98" s="32" t="n">
        <f aca="false">$H$82-$H$85-AG98</f>
        <v>-21930</v>
      </c>
      <c r="AJ98" s="32" t="n">
        <f aca="false">$H$83-$H$85-AG98</f>
        <v>-18230</v>
      </c>
      <c r="AK98" s="32" t="n">
        <f aca="false">$I$82-$I$85-AH98</f>
        <v>-27655</v>
      </c>
      <c r="AL98" s="32" t="n">
        <f aca="false">$I$83-$I$85-AH98</f>
        <v>-25355</v>
      </c>
      <c r="AM98" s="32" t="n">
        <f aca="false">AVERAGE(AK98,AL98)</f>
        <v>-26505</v>
      </c>
      <c r="AN98" s="7" t="str">
        <f aca="false">IF(ABS((AI98)-00_Assumptions!$D$177)&lt;=00_Assumptions!$E$177,"PASS","FAIL: "&amp;TEXT((AI98)-00_Assumptions!$D$177,"#,##0.000"))</f>
        <v>PASS</v>
      </c>
      <c r="AO98" s="7" t="str">
        <f aca="false">IF(ABS((AK98)-00_Assumptions!$D$175)&lt;=00_Assumptions!$E$175,"PASS","FAIL: "&amp;TEXT((AK98)-00_Assumptions!$D$175,"#,##0.000"))</f>
        <v>PASS</v>
      </c>
      <c r="AP98" s="2" t="s">
        <v>2894</v>
      </c>
      <c r="AQ98" s="7" t="str">
        <f aca="false">IF(ABS((AJ98)-00_Assumptions!$D$178)&lt;=00_Assumptions!$E$178,"PASS","FAIL: "&amp;TEXT((AJ98)-00_Assumptions!$D$178,"#,##0.000"))</f>
        <v>PASS</v>
      </c>
      <c r="AR98" s="7" t="str">
        <f aca="false">IF(ABS((AL98)-00_Assumptions!$D$176)&lt;=00_Assumptions!$E$176,"PASS","FAIL: "&amp;TEXT((AL98)-00_Assumptions!$D$176,"#,##0.000"))</f>
        <v>PASS</v>
      </c>
    </row>
    <row r="99" customFormat="false" ht="15" hidden="false" customHeight="false" outlineLevel="0" collapsed="false">
      <c r="A99" s="24" t="s">
        <v>2895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F99" s="9" t="s">
        <v>2896</v>
      </c>
      <c r="AG99" s="31" t="n">
        <f aca="false">01_Data!$D$231*01_Data!$D$291*00_Assumptions!$E$90</f>
        <v>46500</v>
      </c>
      <c r="AH99" s="31" t="n">
        <f aca="false">01_Data!$D$231*01_Data!$D$291*00_Assumptions!$E$90</f>
        <v>46500</v>
      </c>
      <c r="AI99" s="32" t="n">
        <f aca="false">$H$82-$H$85-AG99</f>
        <v>-28430</v>
      </c>
      <c r="AJ99" s="32" t="n">
        <f aca="false">$H$83-$H$85-AG99</f>
        <v>-24730</v>
      </c>
      <c r="AK99" s="32" t="n">
        <f aca="false">$I$82-$I$85-AH99</f>
        <v>-34155</v>
      </c>
      <c r="AL99" s="32" t="n">
        <f aca="false">$I$83-$I$85-AH99</f>
        <v>-31855</v>
      </c>
      <c r="AM99" s="32" t="n">
        <f aca="false">AVERAGE(AK99,AL99)</f>
        <v>-33005</v>
      </c>
      <c r="AO99" s="7" t="str">
        <f aca="false">IF(ABS((AM99)-00_Assumptions!$D$179)&lt;=00_Assumptions!$E$179,"PASS","FAIL: "&amp;TEXT((AM99)-00_Assumptions!$D$179,"#,##0.000"))</f>
        <v>PASS</v>
      </c>
      <c r="AP99" s="2" t="s">
        <v>2897</v>
      </c>
    </row>
    <row r="100" customFormat="false" ht="85.05" hidden="false" customHeight="false" outlineLevel="0" collapsed="false">
      <c r="A100" s="8" t="s">
        <v>305</v>
      </c>
      <c r="B100" s="8" t="s">
        <v>2898</v>
      </c>
      <c r="C100" s="8" t="s">
        <v>2899</v>
      </c>
      <c r="D100" s="8" t="s">
        <v>88</v>
      </c>
      <c r="E100" s="8" t="s">
        <v>2900</v>
      </c>
      <c r="F100" s="8" t="s">
        <v>2901</v>
      </c>
      <c r="G100" s="8" t="s">
        <v>2902</v>
      </c>
      <c r="H100" s="8" t="s">
        <v>2903</v>
      </c>
      <c r="I100" s="8" t="s">
        <v>2904</v>
      </c>
      <c r="J100" s="8" t="s">
        <v>2905</v>
      </c>
      <c r="K100" s="8" t="s">
        <v>2906</v>
      </c>
      <c r="L100" s="8" t="s">
        <v>2907</v>
      </c>
      <c r="M100" s="8" t="s">
        <v>2908</v>
      </c>
      <c r="N100" s="8" t="s">
        <v>312</v>
      </c>
      <c r="O100" s="8" t="s">
        <v>2302</v>
      </c>
      <c r="P100" s="8" t="s">
        <v>2909</v>
      </c>
      <c r="Q100" s="8" t="s">
        <v>2910</v>
      </c>
      <c r="R100" s="8" t="s">
        <v>2911</v>
      </c>
      <c r="S100" s="8" t="s">
        <v>2912</v>
      </c>
      <c r="T100" s="8" t="s">
        <v>2913</v>
      </c>
      <c r="U100" s="35" t="n">
        <f aca="false">00_Assumptions!$D$2</f>
        <v>2023</v>
      </c>
      <c r="V100" s="35" t="n">
        <f aca="false">00_Assumptions!$E$2</f>
        <v>2024</v>
      </c>
      <c r="W100" s="35" t="n">
        <f aca="false">00_Assumptions!$F$2</f>
        <v>2025</v>
      </c>
      <c r="X100" s="35" t="n">
        <f aca="false">00_Assumptions!$G$2</f>
        <v>2026</v>
      </c>
      <c r="Y100" s="35" t="n">
        <f aca="false">00_Assumptions!$H$2</f>
        <v>2027</v>
      </c>
      <c r="Z100" s="35" t="n">
        <f aca="false">00_Assumptions!$I$2</f>
        <v>2028</v>
      </c>
      <c r="AA100" s="35" t="n">
        <f aca="false">00_Assumptions!$J$2</f>
        <v>2029</v>
      </c>
      <c r="AB100" s="35" t="n">
        <f aca="false">00_Assumptions!$K$2</f>
        <v>2030</v>
      </c>
      <c r="AC100" s="59" t="s">
        <v>2914</v>
      </c>
      <c r="AD100" s="59" t="s">
        <v>12</v>
      </c>
      <c r="AF100" s="9" t="s">
        <v>2915</v>
      </c>
      <c r="AG100" s="31" t="n">
        <f aca="false">01_Data!$D$231*01_Data!$D$292*00_Assumptions!$E$90</f>
        <v>62500</v>
      </c>
      <c r="AH100" s="31" t="n">
        <f aca="false">01_Data!$D$231*01_Data!$D$292*00_Assumptions!$E$90</f>
        <v>62500</v>
      </c>
      <c r="AI100" s="32" t="n">
        <f aca="false">$H$82-$H$85-AG100</f>
        <v>-44430</v>
      </c>
      <c r="AJ100" s="32" t="n">
        <f aca="false">$H$83-$H$85-AG100</f>
        <v>-40730</v>
      </c>
      <c r="AK100" s="32" t="n">
        <f aca="false">$I$82-$I$85-AH100</f>
        <v>-50155</v>
      </c>
      <c r="AL100" s="32" t="n">
        <f aca="false">$I$83-$I$85-AH100</f>
        <v>-47855</v>
      </c>
      <c r="AM100" s="32" t="n">
        <f aca="false">AVERAGE(AK100,AL100)</f>
        <v>-49005</v>
      </c>
      <c r="AO100" s="7" t="str">
        <f aca="false">IF(ABS((AM100)-00_Assumptions!$D$181)&lt;=00_Assumptions!$E$181,"PASS","FAIL: "&amp;TEXT((AM100)-00_Assumptions!$D$181,"#,##0.000"))</f>
        <v>PASS</v>
      </c>
      <c r="AP100" s="2" t="s">
        <v>2916</v>
      </c>
    </row>
    <row r="101" customFormat="false" ht="15" hidden="false" customHeight="false" outlineLevel="0" collapsed="false">
      <c r="A101" s="3" t="s">
        <v>2917</v>
      </c>
      <c r="B101" s="9" t="s">
        <v>2220</v>
      </c>
      <c r="C101" s="9" t="s">
        <v>2918</v>
      </c>
      <c r="D101" s="5" t="s">
        <v>98</v>
      </c>
      <c r="E101" s="90" t="n">
        <f aca="false">00_Assumptions!$G$64</f>
        <v>46023</v>
      </c>
      <c r="F101" s="90" t="n">
        <f aca="false">DATE(INT((T101-1)/00_Assumptions!$D$90),T101-INT((T101-1)/00_Assumptions!$D$90)*00_Assumptions!$D$90,1)</f>
        <v>49644</v>
      </c>
      <c r="G101" s="48" t="n">
        <f aca="false">01_Data!$D$204</f>
        <v>10</v>
      </c>
      <c r="H101" s="11" t="n">
        <f aca="false">01_Data!$D$203</f>
        <v>100000</v>
      </c>
      <c r="I101" s="32" t="n">
        <f aca="false">H101/G101</f>
        <v>10000</v>
      </c>
      <c r="J101" s="2" t="s">
        <v>2919</v>
      </c>
      <c r="K101" s="2" t="s">
        <v>2920</v>
      </c>
      <c r="L101" s="5" t="s">
        <v>2921</v>
      </c>
      <c r="M101" s="2" t="s">
        <v>2922</v>
      </c>
      <c r="N101" s="2" t="s">
        <v>434</v>
      </c>
      <c r="O101" s="2" t="s">
        <v>795</v>
      </c>
      <c r="P101" s="5" t="s">
        <v>2649</v>
      </c>
      <c r="Q101" s="5" t="s">
        <v>2923</v>
      </c>
      <c r="R101" s="53" t="n">
        <f aca="false">00_Assumptions!$D$90/00_Assumptions!$D$90</f>
        <v>1</v>
      </c>
      <c r="S101" s="57" t="n">
        <f aca="false">YEAR(E101)*00_Assumptions!$D$90+MONTH(E101)</f>
        <v>24313</v>
      </c>
      <c r="T101" s="57" t="n">
        <f aca="false">S101+G101*00_Assumptions!$D$90-1</f>
        <v>24432</v>
      </c>
      <c r="U101" s="31" t="n">
        <f aca="false">$I101*MAX(0,MIN(U$100*00_Assumptions!$D$90+00_Assumptions!$D$90,$T101)-MAX(U$100*00_Assumptions!$D$90+1,$S101)+1)/00_Assumptions!$D$90*IF(U$100=YEAR($E101),$R101,1)</f>
        <v>0</v>
      </c>
      <c r="V101" s="31" t="n">
        <f aca="false">$I101*MAX(0,MIN(V$100*00_Assumptions!$D$90+00_Assumptions!$D$90,$T101)-MAX(V$100*00_Assumptions!$D$90+1,$S101)+1)/00_Assumptions!$D$90*IF(V$100=YEAR($E101),$R101,1)</f>
        <v>0</v>
      </c>
      <c r="W101" s="31" t="n">
        <f aca="false">$I101*MAX(0,MIN(W$100*00_Assumptions!$D$90+00_Assumptions!$D$90,$T101)-MAX(W$100*00_Assumptions!$D$90+1,$S101)+1)/00_Assumptions!$D$90*IF(W$100=YEAR($E101),$R101,1)</f>
        <v>0</v>
      </c>
      <c r="X101" s="31" t="n">
        <f aca="false">$I101*MAX(0,MIN(X$100*00_Assumptions!$D$90+00_Assumptions!$D$90,$T101)-MAX(X$100*00_Assumptions!$D$90+1,$S101)+1)/00_Assumptions!$D$90*IF(X$100=YEAR($E101),$R101,1)</f>
        <v>10000</v>
      </c>
      <c r="Y101" s="31" t="n">
        <f aca="false">$I101*MAX(0,MIN(Y$100*00_Assumptions!$D$90+00_Assumptions!$D$90,$T101)-MAX(Y$100*00_Assumptions!$D$90+1,$S101)+1)/00_Assumptions!$D$90*IF(Y$100=YEAR($E101),$R101,1)</f>
        <v>10000</v>
      </c>
      <c r="Z101" s="31" t="n">
        <f aca="false">$I101*MAX(0,MIN(Z$100*00_Assumptions!$D$90+00_Assumptions!$D$90,$T101)-MAX(Z$100*00_Assumptions!$D$90+1,$S101)+1)/00_Assumptions!$D$90*IF(Z$100=YEAR($E101),$R101,1)</f>
        <v>10000</v>
      </c>
      <c r="AA101" s="31" t="n">
        <f aca="false">$I101*MAX(0,MIN(AA$100*00_Assumptions!$D$90+00_Assumptions!$D$90,$T101)-MAX(AA$100*00_Assumptions!$D$90+1,$S101)+1)/00_Assumptions!$D$90*IF(AA$100=YEAR($E101),$R101,1)</f>
        <v>10000</v>
      </c>
      <c r="AB101" s="31" t="n">
        <f aca="false">$I101*MAX(0,MIN(AB$100*00_Assumptions!$D$90+00_Assumptions!$D$90,$T101)-MAX(AB$100*00_Assumptions!$D$90+1,$S101)+1)/00_Assumptions!$D$90*IF(AB$100=YEAR($E101),$R101,1)</f>
        <v>10000</v>
      </c>
      <c r="AD101" s="2" t="s">
        <v>2924</v>
      </c>
      <c r="AF101" s="9" t="s">
        <v>2925</v>
      </c>
      <c r="AG101" s="31" t="n">
        <f aca="false">01_Data!$D$123</f>
        <v>0</v>
      </c>
      <c r="AH101" s="31" t="n">
        <f aca="false">(01_Data!$D$231+01_Data!$D$232)*01_Data!$D$291*00_Assumptions!$E$90</f>
        <v>139500</v>
      </c>
      <c r="AI101" s="32" t="n">
        <f aca="false">$H$82-$H$85-AG101</f>
        <v>18070</v>
      </c>
      <c r="AJ101" s="32" t="n">
        <f aca="false">$H$83-$H$85-AG101</f>
        <v>21770</v>
      </c>
      <c r="AK101" s="32" t="n">
        <f aca="false">$I$82-$I$85-AH101</f>
        <v>-127155</v>
      </c>
      <c r="AL101" s="32" t="n">
        <f aca="false">$I$83-$I$85-AH101</f>
        <v>-124855</v>
      </c>
      <c r="AM101" s="32" t="n">
        <f aca="false">AVERAGE(AK101,AL101)</f>
        <v>-126005</v>
      </c>
      <c r="AO101" s="7" t="str">
        <f aca="false">IF(ABS((AM101)-00_Assumptions!$D$180)&lt;=00_Assumptions!$E$180,"PASS","FAIL: "&amp;TEXT((AM101)-00_Assumptions!$D$180,"#,##0.000"))</f>
        <v>PASS</v>
      </c>
      <c r="AP101" s="2" t="s">
        <v>2926</v>
      </c>
    </row>
    <row r="102" customFormat="false" ht="15" hidden="false" customHeight="false" outlineLevel="0" collapsed="false">
      <c r="A102" s="3" t="s">
        <v>2927</v>
      </c>
      <c r="B102" s="9" t="s">
        <v>2220</v>
      </c>
      <c r="C102" s="9" t="s">
        <v>2928</v>
      </c>
      <c r="D102" s="5" t="s">
        <v>98</v>
      </c>
      <c r="E102" s="90" t="n">
        <f aca="false">00_Assumptions!$G$65</f>
        <v>46023</v>
      </c>
      <c r="F102" s="90" t="n">
        <f aca="false">DATE(INT((T102-1)/00_Assumptions!$D$90),T102-INT((T102-1)/00_Assumptions!$D$90)*00_Assumptions!$D$90,1)</f>
        <v>47818</v>
      </c>
      <c r="G102" s="48" t="n">
        <f aca="false">00_Assumptions!$G$22</f>
        <v>5</v>
      </c>
      <c r="H102" s="11" t="n">
        <f aca="false">01_Data!$D$206</f>
        <v>30000</v>
      </c>
      <c r="I102" s="32" t="n">
        <f aca="false">H102/G102</f>
        <v>6000</v>
      </c>
      <c r="J102" s="2" t="s">
        <v>2929</v>
      </c>
      <c r="K102" s="2" t="s">
        <v>2661</v>
      </c>
      <c r="L102" s="5" t="s">
        <v>2921</v>
      </c>
      <c r="M102" s="2" t="s">
        <v>2930</v>
      </c>
      <c r="N102" s="2" t="s">
        <v>434</v>
      </c>
      <c r="O102" s="2" t="s">
        <v>1217</v>
      </c>
      <c r="P102" s="5" t="s">
        <v>2649</v>
      </c>
      <c r="Q102" s="5" t="s">
        <v>2923</v>
      </c>
      <c r="R102" s="53" t="n">
        <f aca="false">00_Assumptions!$D$90/00_Assumptions!$D$90</f>
        <v>1</v>
      </c>
      <c r="S102" s="57" t="n">
        <f aca="false">YEAR(E102)*00_Assumptions!$D$90+MONTH(E102)</f>
        <v>24313</v>
      </c>
      <c r="T102" s="57" t="n">
        <f aca="false">S102+G102*00_Assumptions!$D$90-1</f>
        <v>24372</v>
      </c>
      <c r="U102" s="31" t="n">
        <f aca="false">$I102*MAX(0,MIN(U$100*00_Assumptions!$D$90+00_Assumptions!$D$90,$T102)-MAX(U$100*00_Assumptions!$D$90+1,$S102)+1)/00_Assumptions!$D$90*IF(U$100=YEAR($E102),$R102,1)</f>
        <v>0</v>
      </c>
      <c r="V102" s="31" t="n">
        <f aca="false">$I102*MAX(0,MIN(V$100*00_Assumptions!$D$90+00_Assumptions!$D$90,$T102)-MAX(V$100*00_Assumptions!$D$90+1,$S102)+1)/00_Assumptions!$D$90*IF(V$100=YEAR($E102),$R102,1)</f>
        <v>0</v>
      </c>
      <c r="W102" s="31" t="n">
        <f aca="false">$I102*MAX(0,MIN(W$100*00_Assumptions!$D$90+00_Assumptions!$D$90,$T102)-MAX(W$100*00_Assumptions!$D$90+1,$S102)+1)/00_Assumptions!$D$90*IF(W$100=YEAR($E102),$R102,1)</f>
        <v>0</v>
      </c>
      <c r="X102" s="31" t="n">
        <f aca="false">$I102*MAX(0,MIN(X$100*00_Assumptions!$D$90+00_Assumptions!$D$90,$T102)-MAX(X$100*00_Assumptions!$D$90+1,$S102)+1)/00_Assumptions!$D$90*IF(X$100=YEAR($E102),$R102,1)</f>
        <v>6000</v>
      </c>
      <c r="Y102" s="31" t="n">
        <f aca="false">$I102*MAX(0,MIN(Y$100*00_Assumptions!$D$90+00_Assumptions!$D$90,$T102)-MAX(Y$100*00_Assumptions!$D$90+1,$S102)+1)/00_Assumptions!$D$90*IF(Y$100=YEAR($E102),$R102,1)</f>
        <v>6000</v>
      </c>
      <c r="Z102" s="31" t="n">
        <f aca="false">$I102*MAX(0,MIN(Z$100*00_Assumptions!$D$90+00_Assumptions!$D$90,$T102)-MAX(Z$100*00_Assumptions!$D$90+1,$S102)+1)/00_Assumptions!$D$90*IF(Z$100=YEAR($E102),$R102,1)</f>
        <v>6000</v>
      </c>
      <c r="AA102" s="31" t="n">
        <f aca="false">$I102*MAX(0,MIN(AA$100*00_Assumptions!$D$90+00_Assumptions!$D$90,$T102)-MAX(AA$100*00_Assumptions!$D$90+1,$S102)+1)/00_Assumptions!$D$90*IF(AA$100=YEAR($E102),$R102,1)</f>
        <v>6000</v>
      </c>
      <c r="AB102" s="31" t="n">
        <f aca="false">$I102*MAX(0,MIN(AB$100*00_Assumptions!$D$90+00_Assumptions!$D$90,$T102)-MAX(AB$100*00_Assumptions!$D$90+1,$S102)+1)/00_Assumptions!$D$90*IF(AB$100=YEAR($E102),$R102,1)</f>
        <v>6000</v>
      </c>
      <c r="AD102" s="2" t="s">
        <v>2931</v>
      </c>
      <c r="AF102" s="9" t="s">
        <v>2932</v>
      </c>
      <c r="AG102" s="31" t="n">
        <f aca="false">01_Data!$D$123</f>
        <v>0</v>
      </c>
      <c r="AH102" s="31" t="n">
        <f aca="false">(01_Data!$D$231+01_Data!$D$232)*01_Data!$D$292*00_Assumptions!$E$90</f>
        <v>187500</v>
      </c>
      <c r="AI102" s="32" t="n">
        <f aca="false">$H$82-$H$85-AG102</f>
        <v>18070</v>
      </c>
      <c r="AJ102" s="32" t="n">
        <f aca="false">$H$83-$H$85-AG102</f>
        <v>21770</v>
      </c>
      <c r="AK102" s="32" t="n">
        <f aca="false">$I$82-$I$85-AH102</f>
        <v>-175155</v>
      </c>
      <c r="AL102" s="32" t="n">
        <f aca="false">$I$83-$I$85-AH102</f>
        <v>-172855</v>
      </c>
      <c r="AM102" s="32" t="n">
        <f aca="false">AVERAGE(AK102,AL102)</f>
        <v>-174005</v>
      </c>
      <c r="AO102" s="7" t="str">
        <f aca="false">IF(ABS((AM102)-00_Assumptions!$D$182)&lt;=00_Assumptions!$E$182,"PASS","FAIL: "&amp;TEXT((AM102)-00_Assumptions!$D$182,"#,##0.000"))</f>
        <v>PASS</v>
      </c>
      <c r="AP102" s="2" t="s">
        <v>426</v>
      </c>
    </row>
    <row r="103" customFormat="false" ht="15" hidden="false" customHeight="false" outlineLevel="0" collapsed="false">
      <c r="A103" s="3" t="s">
        <v>2933</v>
      </c>
      <c r="B103" s="9" t="s">
        <v>2220</v>
      </c>
      <c r="C103" s="9" t="s">
        <v>2934</v>
      </c>
      <c r="D103" s="5" t="s">
        <v>98</v>
      </c>
      <c r="E103" s="90" t="n">
        <f aca="false">00_Assumptions!$G$66</f>
        <v>46174</v>
      </c>
      <c r="F103" s="90" t="n">
        <f aca="false">01_Data!$D$209</f>
        <v>47269</v>
      </c>
      <c r="G103" s="48" t="n">
        <f aca="false">(T103-S103+1)/00_Assumptions!$D$90</f>
        <v>3</v>
      </c>
      <c r="H103" s="64" t="n">
        <f aca="false">I103*G103</f>
        <v>45000</v>
      </c>
      <c r="I103" s="31" t="n">
        <f aca="false">01_Data!$D$208*00_Assumptions!$D$90</f>
        <v>15000</v>
      </c>
      <c r="J103" s="2" t="s">
        <v>2935</v>
      </c>
      <c r="K103" s="2" t="s">
        <v>2936</v>
      </c>
      <c r="L103" s="5" t="s">
        <v>2937</v>
      </c>
      <c r="M103" s="2" t="s">
        <v>2938</v>
      </c>
      <c r="N103" s="2" t="s">
        <v>434</v>
      </c>
      <c r="O103" s="2" t="s">
        <v>1225</v>
      </c>
      <c r="P103" s="5" t="s">
        <v>2649</v>
      </c>
      <c r="Q103" s="5" t="s">
        <v>2923</v>
      </c>
      <c r="R103" s="53" t="n">
        <f aca="false">00_Assumptions!$G$24</f>
        <v>0.9</v>
      </c>
      <c r="S103" s="57" t="n">
        <f aca="false">YEAR(E103)*00_Assumptions!$D$90+MONTH(E103)</f>
        <v>24318</v>
      </c>
      <c r="T103" s="57" t="n">
        <f aca="false">YEAR(F103)*00_Assumptions!$D$90+MONTH(F103)</f>
        <v>24353</v>
      </c>
      <c r="U103" s="31" t="n">
        <f aca="false">$I103*MAX(0,MIN(U$100*00_Assumptions!$D$90+00_Assumptions!$D$90,$T103)-MAX(U$100*00_Assumptions!$D$90+1,$S103)+1)/00_Assumptions!$D$90*IF(U$100=YEAR($E103),$R103,1)</f>
        <v>0</v>
      </c>
      <c r="V103" s="31" t="n">
        <f aca="false">$I103*MAX(0,MIN(V$100*00_Assumptions!$D$90+00_Assumptions!$D$90,$T103)-MAX(V$100*00_Assumptions!$D$90+1,$S103)+1)/00_Assumptions!$D$90*IF(V$100=YEAR($E103),$R103,1)</f>
        <v>0</v>
      </c>
      <c r="W103" s="31" t="n">
        <f aca="false">$I103*MAX(0,MIN(W$100*00_Assumptions!$D$90+00_Assumptions!$D$90,$T103)-MAX(W$100*00_Assumptions!$D$90+1,$S103)+1)/00_Assumptions!$D$90*IF(W$100=YEAR($E103),$R103,1)</f>
        <v>0</v>
      </c>
      <c r="X103" s="31" t="n">
        <f aca="false">$I103*MAX(0,MIN(X$100*00_Assumptions!$D$90+00_Assumptions!$D$90,$T103)-MAX(X$100*00_Assumptions!$D$90+1,$S103)+1)/00_Assumptions!$D$90*IF(X$100=YEAR($E103),$R103,1)</f>
        <v>7875</v>
      </c>
      <c r="Y103" s="31" t="n">
        <f aca="false">$I103*MAX(0,MIN(Y$100*00_Assumptions!$D$90+00_Assumptions!$D$90,$T103)-MAX(Y$100*00_Assumptions!$D$90+1,$S103)+1)/00_Assumptions!$D$90*IF(Y$100=YEAR($E103),$R103,1)</f>
        <v>15000</v>
      </c>
      <c r="Z103" s="31" t="n">
        <f aca="false">$I103*MAX(0,MIN(Z$100*00_Assumptions!$D$90+00_Assumptions!$D$90,$T103)-MAX(Z$100*00_Assumptions!$D$90+1,$S103)+1)/00_Assumptions!$D$90*IF(Z$100=YEAR($E103),$R103,1)</f>
        <v>15000</v>
      </c>
      <c r="AA103" s="31" t="n">
        <f aca="false">$I103*MAX(0,MIN(AA$100*00_Assumptions!$D$90+00_Assumptions!$D$90,$T103)-MAX(AA$100*00_Assumptions!$D$90+1,$S103)+1)/00_Assumptions!$D$90*IF(AA$100=YEAR($E103),$R103,1)</f>
        <v>6250</v>
      </c>
      <c r="AB103" s="31" t="n">
        <f aca="false">$I103*MAX(0,MIN(AB$100*00_Assumptions!$D$90+00_Assumptions!$D$90,$T103)-MAX(AB$100*00_Assumptions!$D$90+1,$S103)+1)/00_Assumptions!$D$90*IF(AB$100=YEAR($E103),$R103,1)</f>
        <v>0</v>
      </c>
      <c r="AC103" s="31" t="n">
        <f aca="false">H103-I103/00_Assumptions!$D$90*01_Data!$D$210</f>
        <v>41250</v>
      </c>
      <c r="AD103" s="2" t="s">
        <v>2939</v>
      </c>
    </row>
    <row r="104" customFormat="false" ht="15" hidden="false" customHeight="false" outlineLevel="0" collapsed="false">
      <c r="A104" s="3" t="s">
        <v>2940</v>
      </c>
      <c r="B104" s="9" t="s">
        <v>2220</v>
      </c>
      <c r="C104" s="9" t="s">
        <v>2941</v>
      </c>
      <c r="D104" s="5" t="s">
        <v>98</v>
      </c>
      <c r="H104" s="11" t="n">
        <f aca="false">01_Data!$D$211</f>
        <v>50000</v>
      </c>
      <c r="I104" s="65" t="s">
        <v>2081</v>
      </c>
      <c r="J104" s="2" t="s">
        <v>2942</v>
      </c>
      <c r="K104" s="2" t="s">
        <v>2943</v>
      </c>
      <c r="L104" s="5" t="s">
        <v>2921</v>
      </c>
      <c r="M104" s="2" t="s">
        <v>2944</v>
      </c>
      <c r="N104" s="2" t="s">
        <v>434</v>
      </c>
      <c r="O104" s="2" t="s">
        <v>1240</v>
      </c>
      <c r="P104" s="5" t="s">
        <v>2649</v>
      </c>
      <c r="Q104" s="5" t="s">
        <v>2945</v>
      </c>
      <c r="R104" s="53" t="n">
        <f aca="false">00_Assumptions!$D$90/00_Assumptions!$D$90</f>
        <v>1</v>
      </c>
      <c r="U104" s="31" t="n">
        <f aca="false">01_Data!$D$123</f>
        <v>0</v>
      </c>
      <c r="V104" s="31" t="n">
        <f aca="false">01_Data!$D$123</f>
        <v>0</v>
      </c>
      <c r="W104" s="31" t="n">
        <f aca="false">01_Data!$D$123</f>
        <v>0</v>
      </c>
      <c r="X104" s="31" t="n">
        <f aca="false">01_Data!$D$123</f>
        <v>0</v>
      </c>
      <c r="Y104" s="31" t="n">
        <f aca="false">01_Data!$D$123</f>
        <v>0</v>
      </c>
      <c r="Z104" s="31" t="n">
        <f aca="false">01_Data!$D$123</f>
        <v>0</v>
      </c>
      <c r="AA104" s="31" t="n">
        <f aca="false">01_Data!$D$123</f>
        <v>0</v>
      </c>
      <c r="AB104" s="31" t="n">
        <f aca="false">01_Data!$D$123</f>
        <v>0</v>
      </c>
      <c r="AD104" s="2" t="s">
        <v>2946</v>
      </c>
    </row>
    <row r="105" customFormat="false" ht="15" hidden="false" customHeight="false" outlineLevel="0" collapsed="false">
      <c r="A105" s="3" t="s">
        <v>2947</v>
      </c>
      <c r="B105" s="9" t="s">
        <v>2220</v>
      </c>
      <c r="C105" s="9" t="s">
        <v>2948</v>
      </c>
      <c r="D105" s="5" t="s">
        <v>98</v>
      </c>
      <c r="E105" s="90" t="n">
        <f aca="false">00_Assumptions!$G$67</f>
        <v>46661</v>
      </c>
      <c r="F105" s="90" t="n">
        <f aca="false">DATE(INT((T105-1)/00_Assumptions!$D$90),T105-INT((T105-1)/00_Assumptions!$D$90)*00_Assumptions!$D$90,1)</f>
        <v>48823</v>
      </c>
      <c r="G105" s="48" t="n">
        <f aca="false">01_Data!$D$214</f>
        <v>6</v>
      </c>
      <c r="H105" s="11" t="n">
        <f aca="false">01_Data!$D$213</f>
        <v>45000</v>
      </c>
      <c r="I105" s="32" t="n">
        <f aca="false">H105/G105</f>
        <v>7500</v>
      </c>
      <c r="J105" s="2" t="s">
        <v>2949</v>
      </c>
      <c r="K105" s="2" t="s">
        <v>2950</v>
      </c>
      <c r="L105" s="5" t="s">
        <v>2921</v>
      </c>
      <c r="M105" s="2" t="s">
        <v>2675</v>
      </c>
      <c r="N105" s="2" t="s">
        <v>323</v>
      </c>
      <c r="O105" s="2" t="s">
        <v>1252</v>
      </c>
      <c r="P105" s="5" t="s">
        <v>2649</v>
      </c>
      <c r="Q105" s="5" t="s">
        <v>2923</v>
      </c>
      <c r="R105" s="53" t="n">
        <f aca="false">00_Assumptions!$D$90/00_Assumptions!$D$90</f>
        <v>1</v>
      </c>
      <c r="S105" s="57" t="n">
        <f aca="false">YEAR(E105)*00_Assumptions!$D$90+MONTH(E105)</f>
        <v>24334</v>
      </c>
      <c r="T105" s="57" t="n">
        <f aca="false">S105+G105*00_Assumptions!$D$90-1</f>
        <v>24405</v>
      </c>
      <c r="U105" s="31" t="n">
        <f aca="false">$I105*MAX(0,MIN(U$100*00_Assumptions!$D$90+00_Assumptions!$D$90,$T105)-MAX(U$100*00_Assumptions!$D$90+1,$S105)+1)/00_Assumptions!$D$90*IF(U$100=YEAR($E105),$R105,1)</f>
        <v>0</v>
      </c>
      <c r="V105" s="31" t="n">
        <f aca="false">$I105*MAX(0,MIN(V$100*00_Assumptions!$D$90+00_Assumptions!$D$90,$T105)-MAX(V$100*00_Assumptions!$D$90+1,$S105)+1)/00_Assumptions!$D$90*IF(V$100=YEAR($E105),$R105,1)</f>
        <v>0</v>
      </c>
      <c r="W105" s="31" t="n">
        <f aca="false">$I105*MAX(0,MIN(W$100*00_Assumptions!$D$90+00_Assumptions!$D$90,$T105)-MAX(W$100*00_Assumptions!$D$90+1,$S105)+1)/00_Assumptions!$D$90*IF(W$100=YEAR($E105),$R105,1)</f>
        <v>0</v>
      </c>
      <c r="X105" s="31" t="n">
        <f aca="false">$I105*MAX(0,MIN(X$100*00_Assumptions!$D$90+00_Assumptions!$D$90,$T105)-MAX(X$100*00_Assumptions!$D$90+1,$S105)+1)/00_Assumptions!$D$90*IF(X$100=YEAR($E105),$R105,1)</f>
        <v>0</v>
      </c>
      <c r="Y105" s="31" t="n">
        <f aca="false">$I105*MAX(0,MIN(Y$100*00_Assumptions!$D$90+00_Assumptions!$D$90,$T105)-MAX(Y$100*00_Assumptions!$D$90+1,$S105)+1)/00_Assumptions!$D$90*IF(Y$100=YEAR($E105),$R105,1)</f>
        <v>1875</v>
      </c>
      <c r="Z105" s="31" t="n">
        <f aca="false">$I105*MAX(0,MIN(Z$100*00_Assumptions!$D$90+00_Assumptions!$D$90,$T105)-MAX(Z$100*00_Assumptions!$D$90+1,$S105)+1)/00_Assumptions!$D$90*IF(Z$100=YEAR($E105),$R105,1)</f>
        <v>7500</v>
      </c>
      <c r="AA105" s="31" t="n">
        <f aca="false">$I105*MAX(0,MIN(AA$100*00_Assumptions!$D$90+00_Assumptions!$D$90,$T105)-MAX(AA$100*00_Assumptions!$D$90+1,$S105)+1)/00_Assumptions!$D$90*IF(AA$100=YEAR($E105),$R105,1)</f>
        <v>7500</v>
      </c>
      <c r="AB105" s="31" t="n">
        <f aca="false">$I105*MAX(0,MIN(AB$100*00_Assumptions!$D$90+00_Assumptions!$D$90,$T105)-MAX(AB$100*00_Assumptions!$D$90+1,$S105)+1)/00_Assumptions!$D$90*IF(AB$100=YEAR($E105),$R105,1)</f>
        <v>7500</v>
      </c>
      <c r="AD105" s="2" t="s">
        <v>2951</v>
      </c>
    </row>
    <row r="106" customFormat="false" ht="15" hidden="false" customHeight="false" outlineLevel="0" collapsed="false">
      <c r="A106" s="3" t="s">
        <v>2952</v>
      </c>
      <c r="B106" s="9" t="s">
        <v>2220</v>
      </c>
      <c r="C106" s="9" t="s">
        <v>2953</v>
      </c>
      <c r="D106" s="5" t="s">
        <v>98</v>
      </c>
      <c r="E106" s="90" t="n">
        <f aca="false">00_Assumptions!$G$68</f>
        <v>46388</v>
      </c>
      <c r="F106" s="90" t="n">
        <f aca="false">DATE(INT((T106-1)/00_Assumptions!$D$90),T106-INT((T106-1)/00_Assumptions!$D$90)*00_Assumptions!$D$90,1)</f>
        <v>48549</v>
      </c>
      <c r="G106" s="48" t="n">
        <f aca="false">00_Assumptions!$G$23</f>
        <v>6</v>
      </c>
      <c r="H106" s="11" t="n">
        <f aca="false">01_Data!$D$216</f>
        <v>35000</v>
      </c>
      <c r="I106" s="32" t="n">
        <f aca="false">H106/G106</f>
        <v>5833.33333333333</v>
      </c>
      <c r="J106" s="2" t="s">
        <v>2954</v>
      </c>
      <c r="K106" s="2" t="s">
        <v>2955</v>
      </c>
      <c r="L106" s="5" t="s">
        <v>2921</v>
      </c>
      <c r="M106" s="2" t="s">
        <v>2956</v>
      </c>
      <c r="N106" s="2" t="s">
        <v>2679</v>
      </c>
      <c r="O106" s="2" t="s">
        <v>2680</v>
      </c>
      <c r="P106" s="5" t="s">
        <v>2649</v>
      </c>
      <c r="Q106" s="5" t="s">
        <v>2923</v>
      </c>
      <c r="R106" s="53" t="n">
        <f aca="false">00_Assumptions!$D$90/00_Assumptions!$D$90</f>
        <v>1</v>
      </c>
      <c r="S106" s="57" t="n">
        <f aca="false">YEAR(E106)*00_Assumptions!$D$90+MONTH(E106)</f>
        <v>24325</v>
      </c>
      <c r="T106" s="57" t="n">
        <f aca="false">S106+G106*00_Assumptions!$D$90-1</f>
        <v>24396</v>
      </c>
      <c r="U106" s="31" t="n">
        <f aca="false">$I106*MAX(0,MIN(U$100*00_Assumptions!$D$90+00_Assumptions!$D$90,$T106)-MAX(U$100*00_Assumptions!$D$90+1,$S106)+1)/00_Assumptions!$D$90*IF(U$100=YEAR($E106),$R106,1)</f>
        <v>0</v>
      </c>
      <c r="V106" s="31" t="n">
        <f aca="false">$I106*MAX(0,MIN(V$100*00_Assumptions!$D$90+00_Assumptions!$D$90,$T106)-MAX(V$100*00_Assumptions!$D$90+1,$S106)+1)/00_Assumptions!$D$90*IF(V$100=YEAR($E106),$R106,1)</f>
        <v>0</v>
      </c>
      <c r="W106" s="31" t="n">
        <f aca="false">$I106*MAX(0,MIN(W$100*00_Assumptions!$D$90+00_Assumptions!$D$90,$T106)-MAX(W$100*00_Assumptions!$D$90+1,$S106)+1)/00_Assumptions!$D$90*IF(W$100=YEAR($E106),$R106,1)</f>
        <v>0</v>
      </c>
      <c r="X106" s="31" t="n">
        <f aca="false">$I106*MAX(0,MIN(X$100*00_Assumptions!$D$90+00_Assumptions!$D$90,$T106)-MAX(X$100*00_Assumptions!$D$90+1,$S106)+1)/00_Assumptions!$D$90*IF(X$100=YEAR($E106),$R106,1)</f>
        <v>0</v>
      </c>
      <c r="Y106" s="31" t="n">
        <f aca="false">$I106*MAX(0,MIN(Y$100*00_Assumptions!$D$90+00_Assumptions!$D$90,$T106)-MAX(Y$100*00_Assumptions!$D$90+1,$S106)+1)/00_Assumptions!$D$90*IF(Y$100=YEAR($E106),$R106,1)</f>
        <v>5833.33333333333</v>
      </c>
      <c r="Z106" s="31" t="n">
        <f aca="false">$I106*MAX(0,MIN(Z$100*00_Assumptions!$D$90+00_Assumptions!$D$90,$T106)-MAX(Z$100*00_Assumptions!$D$90+1,$S106)+1)/00_Assumptions!$D$90*IF(Z$100=YEAR($E106),$R106,1)</f>
        <v>5833.33333333333</v>
      </c>
      <c r="AA106" s="31" t="n">
        <f aca="false">$I106*MAX(0,MIN(AA$100*00_Assumptions!$D$90+00_Assumptions!$D$90,$T106)-MAX(AA$100*00_Assumptions!$D$90+1,$S106)+1)/00_Assumptions!$D$90*IF(AA$100=YEAR($E106),$R106,1)</f>
        <v>5833.33333333333</v>
      </c>
      <c r="AB106" s="31" t="n">
        <f aca="false">$I106*MAX(0,MIN(AB$100*00_Assumptions!$D$90+00_Assumptions!$D$90,$T106)-MAX(AB$100*00_Assumptions!$D$90+1,$S106)+1)/00_Assumptions!$D$90*IF(AB$100=YEAR($E106),$R106,1)</f>
        <v>5833.33333333333</v>
      </c>
      <c r="AD106" s="57" t="str">
        <f aca="false">"Landlord lease (L-167): "&amp;TEXT(01_Data!$D$218,"0")&amp;" yrs, "&amp;TEXT(01_Data!$D$219,"0")&amp;" MW, base-term "&amp;TEXT(01_Data!$D$220,"#,##0")&amp;", "&amp;TEXT(01_Data!$D$287,"0.00")&amp;" per MW-yr; Anthropic-Lambda term AJ 6 yrs"</f>
        <v>Landlord lease (L-167): 15 yrs, 704 MW, base-term 19,600, 1.86 per MW-yr; Anthropic-Lambda term AJ 6 yrs</v>
      </c>
    </row>
    <row r="107" customFormat="false" ht="15" hidden="false" customHeight="false" outlineLevel="0" collapsed="false">
      <c r="A107" s="3" t="s">
        <v>2957</v>
      </c>
      <c r="B107" s="9" t="s">
        <v>2220</v>
      </c>
      <c r="C107" s="9" t="s">
        <v>2958</v>
      </c>
      <c r="D107" s="5" t="s">
        <v>98</v>
      </c>
      <c r="E107" s="90" t="n">
        <f aca="false">00_Assumptions!$G$69</f>
        <v>46204</v>
      </c>
      <c r="F107" s="90" t="n">
        <f aca="false">DATE(INT((T107-1)/00_Assumptions!$D$90),T107-INT((T107-1)/00_Assumptions!$D$90)*00_Assumptions!$D$90,1)</f>
        <v>48366</v>
      </c>
      <c r="G107" s="48" t="n">
        <f aca="false">01_Data!$D$223</f>
        <v>6</v>
      </c>
      <c r="H107" s="11" t="n">
        <f aca="false">01_Data!$D$222</f>
        <v>10000</v>
      </c>
      <c r="I107" s="32" t="n">
        <f aca="false">H107/G107</f>
        <v>1666.66666666667</v>
      </c>
      <c r="J107" s="2" t="s">
        <v>2959</v>
      </c>
      <c r="K107" s="2" t="s">
        <v>2682</v>
      </c>
      <c r="L107" s="5" t="s">
        <v>2921</v>
      </c>
      <c r="M107" s="2" t="s">
        <v>2683</v>
      </c>
      <c r="N107" s="2" t="s">
        <v>426</v>
      </c>
      <c r="O107" s="2" t="s">
        <v>1288</v>
      </c>
      <c r="P107" s="5" t="s">
        <v>2649</v>
      </c>
      <c r="Q107" s="5" t="s">
        <v>2923</v>
      </c>
      <c r="R107" s="53" t="n">
        <f aca="false">00_Assumptions!$D$90/00_Assumptions!$D$90</f>
        <v>1</v>
      </c>
      <c r="S107" s="57" t="n">
        <f aca="false">YEAR(E107)*00_Assumptions!$D$90+MONTH(E107)</f>
        <v>24319</v>
      </c>
      <c r="T107" s="57" t="n">
        <f aca="false">S107+G107*00_Assumptions!$D$90-1</f>
        <v>24390</v>
      </c>
      <c r="U107" s="31" t="n">
        <f aca="false">$I107*MAX(0,MIN(U$100*00_Assumptions!$D$90+00_Assumptions!$D$90,$T107)-MAX(U$100*00_Assumptions!$D$90+1,$S107)+1)/00_Assumptions!$D$90*IF(U$100=YEAR($E107),$R107,1)</f>
        <v>0</v>
      </c>
      <c r="V107" s="31" t="n">
        <f aca="false">$I107*MAX(0,MIN(V$100*00_Assumptions!$D$90+00_Assumptions!$D$90,$T107)-MAX(V$100*00_Assumptions!$D$90+1,$S107)+1)/00_Assumptions!$D$90*IF(V$100=YEAR($E107),$R107,1)</f>
        <v>0</v>
      </c>
      <c r="W107" s="31" t="n">
        <f aca="false">$I107*MAX(0,MIN(W$100*00_Assumptions!$D$90+00_Assumptions!$D$90,$T107)-MAX(W$100*00_Assumptions!$D$90+1,$S107)+1)/00_Assumptions!$D$90*IF(W$100=YEAR($E107),$R107,1)</f>
        <v>0</v>
      </c>
      <c r="X107" s="31" t="n">
        <f aca="false">$I107*MAX(0,MIN(X$100*00_Assumptions!$D$90+00_Assumptions!$D$90,$T107)-MAX(X$100*00_Assumptions!$D$90+1,$S107)+1)/00_Assumptions!$D$90*IF(X$100=YEAR($E107),$R107,1)</f>
        <v>833.333333333333</v>
      </c>
      <c r="Y107" s="31" t="n">
        <f aca="false">$I107*MAX(0,MIN(Y$100*00_Assumptions!$D$90+00_Assumptions!$D$90,$T107)-MAX(Y$100*00_Assumptions!$D$90+1,$S107)+1)/00_Assumptions!$D$90*IF(Y$100=YEAR($E107),$R107,1)</f>
        <v>1666.66666666667</v>
      </c>
      <c r="Z107" s="31" t="n">
        <f aca="false">$I107*MAX(0,MIN(Z$100*00_Assumptions!$D$90+00_Assumptions!$D$90,$T107)-MAX(Z$100*00_Assumptions!$D$90+1,$S107)+1)/00_Assumptions!$D$90*IF(Z$100=YEAR($E107),$R107,1)</f>
        <v>1666.66666666667</v>
      </c>
      <c r="AA107" s="31" t="n">
        <f aca="false">$I107*MAX(0,MIN(AA$100*00_Assumptions!$D$90+00_Assumptions!$D$90,$T107)-MAX(AA$100*00_Assumptions!$D$90+1,$S107)+1)/00_Assumptions!$D$90*IF(AA$100=YEAR($E107),$R107,1)</f>
        <v>1666.66666666667</v>
      </c>
      <c r="AB107" s="31" t="n">
        <f aca="false">$I107*MAX(0,MIN(AB$100*00_Assumptions!$D$90+00_Assumptions!$D$90,$T107)-MAX(AB$100*00_Assumptions!$D$90+1,$S107)+1)/00_Assumptions!$D$90*IF(AB$100=YEAR($E107),$R107,1)</f>
        <v>1666.66666666667</v>
      </c>
      <c r="AD107" s="2" t="s">
        <v>2960</v>
      </c>
    </row>
    <row r="108" customFormat="false" ht="15" hidden="false" customHeight="false" outlineLevel="0" collapsed="false">
      <c r="A108" s="3" t="s">
        <v>2961</v>
      </c>
      <c r="B108" s="9" t="s">
        <v>2220</v>
      </c>
      <c r="C108" s="9" t="s">
        <v>2962</v>
      </c>
      <c r="D108" s="5" t="s">
        <v>98</v>
      </c>
      <c r="E108" s="90" t="n">
        <f aca="false">00_Assumptions!$G$70</f>
        <v>46388</v>
      </c>
      <c r="F108" s="90" t="n">
        <f aca="false">DATE(INT((T108-1)/00_Assumptions!$D$90),T108-INT((T108-1)/00_Assumptions!$D$90)*00_Assumptions!$D$90,1)</f>
        <v>53662</v>
      </c>
      <c r="G108" s="48" t="n">
        <f aca="false">01_Data!$D$226</f>
        <v>20</v>
      </c>
      <c r="H108" s="11" t="n">
        <f aca="false">01_Data!$D$225</f>
        <v>9100</v>
      </c>
      <c r="I108" s="32" t="n">
        <f aca="false">H108/G108</f>
        <v>455</v>
      </c>
      <c r="J108" s="2" t="s">
        <v>2963</v>
      </c>
      <c r="K108" s="2" t="s">
        <v>2964</v>
      </c>
      <c r="L108" s="5" t="s">
        <v>2965</v>
      </c>
      <c r="M108" s="2" t="s">
        <v>2685</v>
      </c>
      <c r="N108" s="2" t="s">
        <v>323</v>
      </c>
      <c r="O108" s="2" t="s">
        <v>1301</v>
      </c>
      <c r="P108" s="5" t="s">
        <v>2649</v>
      </c>
      <c r="Q108" s="5" t="s">
        <v>2923</v>
      </c>
      <c r="R108" s="53" t="n">
        <f aca="false">00_Assumptions!$D$90/00_Assumptions!$D$90</f>
        <v>1</v>
      </c>
      <c r="S108" s="57" t="n">
        <f aca="false">YEAR(E108)*00_Assumptions!$D$90+MONTH(E108)</f>
        <v>24325</v>
      </c>
      <c r="T108" s="57" t="n">
        <f aca="false">S108+G108*00_Assumptions!$D$90-1</f>
        <v>24564</v>
      </c>
      <c r="U108" s="31" t="n">
        <f aca="false">$I108*MAX(0,MIN(U$100*00_Assumptions!$D$90+00_Assumptions!$D$90,$T108)-MAX(U$100*00_Assumptions!$D$90+1,$S108)+1)/00_Assumptions!$D$90*IF(U$100=YEAR($E108),$R108,1)</f>
        <v>0</v>
      </c>
      <c r="V108" s="31" t="n">
        <f aca="false">$I108*MAX(0,MIN(V$100*00_Assumptions!$D$90+00_Assumptions!$D$90,$T108)-MAX(V$100*00_Assumptions!$D$90+1,$S108)+1)/00_Assumptions!$D$90*IF(V$100=YEAR($E108),$R108,1)</f>
        <v>0</v>
      </c>
      <c r="W108" s="31" t="n">
        <f aca="false">$I108*MAX(0,MIN(W$100*00_Assumptions!$D$90+00_Assumptions!$D$90,$T108)-MAX(W$100*00_Assumptions!$D$90+1,$S108)+1)/00_Assumptions!$D$90*IF(W$100=YEAR($E108),$R108,1)</f>
        <v>0</v>
      </c>
      <c r="X108" s="31" t="n">
        <f aca="false">$I108*MAX(0,MIN(X$100*00_Assumptions!$D$90+00_Assumptions!$D$90,$T108)-MAX(X$100*00_Assumptions!$D$90+1,$S108)+1)/00_Assumptions!$D$90*IF(X$100=YEAR($E108),$R108,1)</f>
        <v>0</v>
      </c>
      <c r="Y108" s="31" t="n">
        <f aca="false">$I108*MAX(0,MIN(Y$100*00_Assumptions!$D$90+00_Assumptions!$D$90,$T108)-MAX(Y$100*00_Assumptions!$D$90+1,$S108)+1)/00_Assumptions!$D$90*IF(Y$100=YEAR($E108),$R108,1)</f>
        <v>455</v>
      </c>
      <c r="Z108" s="31" t="n">
        <f aca="false">$I108*MAX(0,MIN(Z$100*00_Assumptions!$D$90+00_Assumptions!$D$90,$T108)-MAX(Z$100*00_Assumptions!$D$90+1,$S108)+1)/00_Assumptions!$D$90*IF(Z$100=YEAR($E108),$R108,1)</f>
        <v>455</v>
      </c>
      <c r="AA108" s="31" t="n">
        <f aca="false">$I108*MAX(0,MIN(AA$100*00_Assumptions!$D$90+00_Assumptions!$D$90,$T108)-MAX(AA$100*00_Assumptions!$D$90+1,$S108)+1)/00_Assumptions!$D$90*IF(AA$100=YEAR($E108),$R108,1)</f>
        <v>455</v>
      </c>
      <c r="AB108" s="31" t="n">
        <f aca="false">$I108*MAX(0,MIN(AB$100*00_Assumptions!$D$90+00_Assumptions!$D$90,$T108)-MAX(AB$100*00_Assumptions!$D$90+1,$S108)+1)/00_Assumptions!$D$90*IF(AB$100=YEAR($E108),$R108,1)</f>
        <v>455</v>
      </c>
      <c r="AC108" s="31" t="n">
        <f aca="false">01_Data!$D$228-01_Data!$D$225</f>
        <v>7000</v>
      </c>
      <c r="AD108" s="2" t="s">
        <v>2966</v>
      </c>
    </row>
    <row r="109" customFormat="false" ht="15" hidden="false" customHeight="false" outlineLevel="0" collapsed="false">
      <c r="A109" s="3" t="s">
        <v>2967</v>
      </c>
      <c r="B109" s="9" t="s">
        <v>2220</v>
      </c>
      <c r="C109" s="9" t="s">
        <v>2968</v>
      </c>
      <c r="D109" s="5" t="s">
        <v>92</v>
      </c>
      <c r="E109" s="90" t="n">
        <f aca="false">00_Assumptions!$G$71</f>
        <v>46204</v>
      </c>
      <c r="F109" s="90" t="n">
        <f aca="false">DATE(INT((T109-1)/00_Assumptions!$D$90),T109-INT((T109-1)/00_Assumptions!$D$90)*00_Assumptions!$D$90,1)</f>
        <v>48000</v>
      </c>
      <c r="G109" s="48" t="n">
        <f aca="false">01_Data!$D$85</f>
        <v>5</v>
      </c>
      <c r="H109" s="11" t="n">
        <f aca="false">01_Data!$D$82</f>
        <v>34500</v>
      </c>
      <c r="I109" s="32" t="n">
        <f aca="false">H109/G109</f>
        <v>6900</v>
      </c>
      <c r="J109" s="2" t="s">
        <v>2969</v>
      </c>
      <c r="K109" s="2" t="s">
        <v>2970</v>
      </c>
      <c r="L109" s="5" t="s">
        <v>2921</v>
      </c>
      <c r="M109" s="2" t="s">
        <v>2971</v>
      </c>
      <c r="N109" s="2" t="s">
        <v>426</v>
      </c>
      <c r="O109" s="2" t="s">
        <v>697</v>
      </c>
      <c r="P109" s="5" t="s">
        <v>2659</v>
      </c>
      <c r="Q109" s="5" t="s">
        <v>2923</v>
      </c>
      <c r="R109" s="53" t="n">
        <f aca="false">00_Assumptions!$D$90/00_Assumptions!$D$90</f>
        <v>1</v>
      </c>
      <c r="S109" s="57" t="n">
        <f aca="false">YEAR(E109)*00_Assumptions!$D$90+MONTH(E109)</f>
        <v>24319</v>
      </c>
      <c r="T109" s="57" t="n">
        <f aca="false">S109+G109*00_Assumptions!$D$90-1</f>
        <v>24378</v>
      </c>
      <c r="U109" s="31" t="n">
        <f aca="false">$I109*MAX(0,MIN(U$100*00_Assumptions!$D$90+00_Assumptions!$D$90,$T109)-MAX(U$100*00_Assumptions!$D$90+1,$S109)+1)/00_Assumptions!$D$90*IF(U$100=YEAR($E109),$R109,1)</f>
        <v>0</v>
      </c>
      <c r="V109" s="31" t="n">
        <f aca="false">$I109*MAX(0,MIN(V$100*00_Assumptions!$D$90+00_Assumptions!$D$90,$T109)-MAX(V$100*00_Assumptions!$D$90+1,$S109)+1)/00_Assumptions!$D$90*IF(V$100=YEAR($E109),$R109,1)</f>
        <v>0</v>
      </c>
      <c r="W109" s="31" t="n">
        <f aca="false">$I109*MAX(0,MIN(W$100*00_Assumptions!$D$90+00_Assumptions!$D$90,$T109)-MAX(W$100*00_Assumptions!$D$90+1,$S109)+1)/00_Assumptions!$D$90*IF(W$100=YEAR($E109),$R109,1)</f>
        <v>0</v>
      </c>
      <c r="X109" s="31" t="n">
        <f aca="false">$I109*MAX(0,MIN(X$100*00_Assumptions!$D$90+00_Assumptions!$D$90,$T109)-MAX(X$100*00_Assumptions!$D$90+1,$S109)+1)/00_Assumptions!$D$90*IF(X$100=YEAR($E109),$R109,1)</f>
        <v>3450</v>
      </c>
      <c r="Y109" s="31" t="n">
        <f aca="false">$I109*MAX(0,MIN(Y$100*00_Assumptions!$D$90+00_Assumptions!$D$90,$T109)-MAX(Y$100*00_Assumptions!$D$90+1,$S109)+1)/00_Assumptions!$D$90*IF(Y$100=YEAR($E109),$R109,1)</f>
        <v>6900</v>
      </c>
      <c r="Z109" s="31" t="n">
        <f aca="false">$I109*MAX(0,MIN(Z$100*00_Assumptions!$D$90+00_Assumptions!$D$90,$T109)-MAX(Z$100*00_Assumptions!$D$90+1,$S109)+1)/00_Assumptions!$D$90*IF(Z$100=YEAR($E109),$R109,1)</f>
        <v>6900</v>
      </c>
      <c r="AA109" s="31" t="n">
        <f aca="false">$I109*MAX(0,MIN(AA$100*00_Assumptions!$D$90+00_Assumptions!$D$90,$T109)-MAX(AA$100*00_Assumptions!$D$90+1,$S109)+1)/00_Assumptions!$D$90*IF(AA$100=YEAR($E109),$R109,1)</f>
        <v>6900</v>
      </c>
      <c r="AB109" s="31" t="n">
        <f aca="false">$I109*MAX(0,MIN(AB$100*00_Assumptions!$D$90+00_Assumptions!$D$90,$T109)-MAX(AB$100*00_Assumptions!$D$90+1,$S109)+1)/00_Assumptions!$D$90*IF(AB$100=YEAR($E109),$R109,1)</f>
        <v>6900</v>
      </c>
      <c r="AD109" s="2" t="s">
        <v>2972</v>
      </c>
    </row>
    <row r="110" customFormat="false" ht="15" hidden="false" customHeight="false" outlineLevel="0" collapsed="false">
      <c r="A110" s="3" t="s">
        <v>2973</v>
      </c>
      <c r="B110" s="9" t="s">
        <v>2220</v>
      </c>
      <c r="C110" s="9" t="s">
        <v>2974</v>
      </c>
      <c r="D110" s="5" t="s">
        <v>98</v>
      </c>
      <c r="E110" s="90" t="n">
        <f aca="false">00_Assumptions!$G$72</f>
        <v>46388</v>
      </c>
      <c r="F110" s="90" t="n">
        <f aca="false">DATE(INT((T110-1)/00_Assumptions!$D$90),T110-INT((T110-1)/00_Assumptions!$D$90)*00_Assumptions!$D$90,1)</f>
        <v>48183</v>
      </c>
      <c r="G110" s="48" t="n">
        <f aca="false">01_Data!$D$122</f>
        <v>5</v>
      </c>
      <c r="H110" s="11" t="n">
        <f aca="false">01_Data!$D$121</f>
        <v>200000</v>
      </c>
      <c r="I110" s="32" t="n">
        <f aca="false">H110/G110</f>
        <v>40000</v>
      </c>
      <c r="J110" s="2" t="s">
        <v>2975</v>
      </c>
      <c r="K110" s="2" t="s">
        <v>2976</v>
      </c>
      <c r="L110" s="5" t="s">
        <v>2921</v>
      </c>
      <c r="M110" s="2" t="s">
        <v>2652</v>
      </c>
      <c r="N110" s="2" t="s">
        <v>847</v>
      </c>
      <c r="O110" s="2" t="s">
        <v>848</v>
      </c>
      <c r="P110" s="5" t="s">
        <v>2977</v>
      </c>
      <c r="Q110" s="5" t="s">
        <v>2945</v>
      </c>
      <c r="R110" s="53" t="n">
        <f aca="false">00_Assumptions!$D$90/00_Assumptions!$D$90</f>
        <v>1</v>
      </c>
      <c r="S110" s="57" t="n">
        <f aca="false">YEAR(E110)*00_Assumptions!$D$90+MONTH(E110)</f>
        <v>24325</v>
      </c>
      <c r="T110" s="57" t="n">
        <f aca="false">S110+G110*00_Assumptions!$D$90-1</f>
        <v>24384</v>
      </c>
      <c r="U110" s="31" t="n">
        <f aca="false">$I110*MAX(0,MIN(U$100*00_Assumptions!$D$90+00_Assumptions!$D$90,$T110)-MAX(U$100*00_Assumptions!$D$90+1,$S110)+1)/00_Assumptions!$D$90*IF(U$100=YEAR($E110),$R110,1)</f>
        <v>0</v>
      </c>
      <c r="V110" s="31" t="n">
        <f aca="false">$I110*MAX(0,MIN(V$100*00_Assumptions!$D$90+00_Assumptions!$D$90,$T110)-MAX(V$100*00_Assumptions!$D$90+1,$S110)+1)/00_Assumptions!$D$90*IF(V$100=YEAR($E110),$R110,1)</f>
        <v>0</v>
      </c>
      <c r="W110" s="31" t="n">
        <f aca="false">$I110*MAX(0,MIN(W$100*00_Assumptions!$D$90+00_Assumptions!$D$90,$T110)-MAX(W$100*00_Assumptions!$D$90+1,$S110)+1)/00_Assumptions!$D$90*IF(W$100=YEAR($E110),$R110,1)</f>
        <v>0</v>
      </c>
      <c r="X110" s="31" t="n">
        <f aca="false">$I110*MAX(0,MIN(X$100*00_Assumptions!$D$90+00_Assumptions!$D$90,$T110)-MAX(X$100*00_Assumptions!$D$90+1,$S110)+1)/00_Assumptions!$D$90*IF(X$100=YEAR($E110),$R110,1)</f>
        <v>0</v>
      </c>
      <c r="Y110" s="31" t="n">
        <f aca="false">$I110*MAX(0,MIN(Y$100*00_Assumptions!$D$90+00_Assumptions!$D$90,$T110)-MAX(Y$100*00_Assumptions!$D$90+1,$S110)+1)/00_Assumptions!$D$90*IF(Y$100=YEAR($E110),$R110,1)</f>
        <v>40000</v>
      </c>
      <c r="Z110" s="31" t="n">
        <f aca="false">$I110*MAX(0,MIN(Z$100*00_Assumptions!$D$90+00_Assumptions!$D$90,$T110)-MAX(Z$100*00_Assumptions!$D$90+1,$S110)+1)/00_Assumptions!$D$90*IF(Z$100=YEAR($E110),$R110,1)</f>
        <v>40000</v>
      </c>
      <c r="AA110" s="31" t="n">
        <f aca="false">$I110*MAX(0,MIN(AA$100*00_Assumptions!$D$90+00_Assumptions!$D$90,$T110)-MAX(AA$100*00_Assumptions!$D$90+1,$S110)+1)/00_Assumptions!$D$90*IF(AA$100=YEAR($E110),$R110,1)</f>
        <v>40000</v>
      </c>
      <c r="AB110" s="31" t="n">
        <f aca="false">$I110*MAX(0,MIN(AB$100*00_Assumptions!$D$90+00_Assumptions!$D$90,$T110)-MAX(AB$100*00_Assumptions!$D$90+1,$S110)+1)/00_Assumptions!$D$90*IF(AB$100=YEAR($E110),$R110,1)</f>
        <v>40000</v>
      </c>
      <c r="AD110" s="2" t="s">
        <v>2978</v>
      </c>
    </row>
    <row r="111" customFormat="false" ht="15" hidden="false" customHeight="false" outlineLevel="0" collapsed="false">
      <c r="A111" s="3" t="s">
        <v>2979</v>
      </c>
      <c r="B111" s="9" t="s">
        <v>2220</v>
      </c>
      <c r="C111" s="9" t="s">
        <v>2980</v>
      </c>
      <c r="D111" s="5" t="s">
        <v>92</v>
      </c>
      <c r="I111" s="55" t="s">
        <v>511</v>
      </c>
      <c r="J111" s="2" t="s">
        <v>2981</v>
      </c>
      <c r="K111" s="2" t="s">
        <v>2982</v>
      </c>
      <c r="L111" s="5" t="s">
        <v>2921</v>
      </c>
      <c r="M111" s="2" t="s">
        <v>2983</v>
      </c>
      <c r="N111" s="2" t="s">
        <v>2679</v>
      </c>
      <c r="O111" s="2" t="s">
        <v>2984</v>
      </c>
      <c r="P111" s="5" t="s">
        <v>2691</v>
      </c>
      <c r="Q111" s="5" t="s">
        <v>2945</v>
      </c>
      <c r="R111" s="53" t="n">
        <f aca="false">00_Assumptions!$D$90/00_Assumptions!$D$90</f>
        <v>1</v>
      </c>
      <c r="U111" s="31" t="n">
        <f aca="false">01_Data!$D$123</f>
        <v>0</v>
      </c>
      <c r="V111" s="31" t="n">
        <f aca="false">01_Data!$D$123</f>
        <v>0</v>
      </c>
      <c r="W111" s="31" t="n">
        <f aca="false">01_Data!$D$123</f>
        <v>0</v>
      </c>
      <c r="X111" s="31" t="n">
        <f aca="false">01_Data!$D$123</f>
        <v>0</v>
      </c>
      <c r="Y111" s="31" t="n">
        <f aca="false">01_Data!$D$123</f>
        <v>0</v>
      </c>
      <c r="Z111" s="31" t="n">
        <f aca="false">01_Data!$D$123</f>
        <v>0</v>
      </c>
      <c r="AA111" s="31" t="n">
        <f aca="false">01_Data!$D$123</f>
        <v>0</v>
      </c>
      <c r="AB111" s="31" t="n">
        <f aca="false">01_Data!$D$123</f>
        <v>0</v>
      </c>
      <c r="AD111" s="2" t="s">
        <v>2985</v>
      </c>
    </row>
    <row r="112" customFormat="false" ht="15" hidden="false" customHeight="false" outlineLevel="0" collapsed="false">
      <c r="A112" s="3" t="s">
        <v>2986</v>
      </c>
      <c r="B112" s="9" t="s">
        <v>2220</v>
      </c>
      <c r="C112" s="9" t="s">
        <v>2987</v>
      </c>
      <c r="D112" s="5" t="s">
        <v>92</v>
      </c>
      <c r="E112" s="90" t="n">
        <f aca="false">00_Assumptions!$G$73</f>
        <v>46388</v>
      </c>
      <c r="I112" s="65" t="s">
        <v>2081</v>
      </c>
      <c r="J112" s="2" t="s">
        <v>2988</v>
      </c>
      <c r="K112" s="2" t="s">
        <v>2989</v>
      </c>
      <c r="L112" s="5" t="s">
        <v>2990</v>
      </c>
      <c r="M112" s="2" t="s">
        <v>2991</v>
      </c>
      <c r="N112" s="2" t="s">
        <v>434</v>
      </c>
      <c r="O112" s="2" t="s">
        <v>2690</v>
      </c>
      <c r="P112" s="5" t="s">
        <v>2691</v>
      </c>
      <c r="Q112" s="5" t="s">
        <v>2945</v>
      </c>
      <c r="R112" s="53" t="n">
        <f aca="false">00_Assumptions!$D$90/00_Assumptions!$D$90</f>
        <v>1</v>
      </c>
      <c r="S112" s="57" t="n">
        <f aca="false">YEAR(E112)*00_Assumptions!$D$90+MONTH(E112)</f>
        <v>24325</v>
      </c>
      <c r="U112" s="31" t="n">
        <f aca="false">01_Data!$D$123</f>
        <v>0</v>
      </c>
      <c r="V112" s="31" t="n">
        <f aca="false">01_Data!$D$123</f>
        <v>0</v>
      </c>
      <c r="W112" s="31" t="n">
        <f aca="false">01_Data!$D$123</f>
        <v>0</v>
      </c>
      <c r="X112" s="31" t="n">
        <f aca="false">01_Data!$D$123</f>
        <v>0</v>
      </c>
      <c r="Y112" s="31" t="n">
        <f aca="false">01_Data!$D$123</f>
        <v>0</v>
      </c>
      <c r="Z112" s="31" t="n">
        <f aca="false">01_Data!$D$123</f>
        <v>0</v>
      </c>
      <c r="AA112" s="31" t="n">
        <f aca="false">01_Data!$D$123</f>
        <v>0</v>
      </c>
      <c r="AB112" s="31" t="n">
        <f aca="false">01_Data!$D$123</f>
        <v>0</v>
      </c>
      <c r="AD112" s="2" t="s">
        <v>2992</v>
      </c>
    </row>
    <row r="113" customFormat="false" ht="15" hidden="false" customHeight="false" outlineLevel="0" collapsed="false">
      <c r="A113" s="3" t="s">
        <v>2993</v>
      </c>
      <c r="B113" s="9" t="s">
        <v>2221</v>
      </c>
      <c r="C113" s="9" t="s">
        <v>2994</v>
      </c>
      <c r="D113" s="5" t="s">
        <v>98</v>
      </c>
      <c r="E113" s="90" t="n">
        <f aca="false">00_Assumptions!$G$74</f>
        <v>46388</v>
      </c>
      <c r="F113" s="90" t="n">
        <f aca="false">DATE(INT((T113-1)/00_Assumptions!$D$90),T113-INT((T113-1)/00_Assumptions!$D$90)*00_Assumptions!$D$90,1)</f>
        <v>48183</v>
      </c>
      <c r="G113" s="48" t="n">
        <f aca="false">01_Data!$D$237</f>
        <v>5</v>
      </c>
      <c r="H113" s="11" t="n">
        <f aca="false">01_Data!$D$236</f>
        <v>300000</v>
      </c>
      <c r="I113" s="32" t="n">
        <f aca="false">H113/G113</f>
        <v>60000</v>
      </c>
      <c r="J113" s="2" t="s">
        <v>2995</v>
      </c>
      <c r="K113" s="2" t="s">
        <v>2996</v>
      </c>
      <c r="L113" s="5" t="s">
        <v>2921</v>
      </c>
      <c r="M113" s="2" t="s">
        <v>2997</v>
      </c>
      <c r="N113" s="2" t="s">
        <v>2998</v>
      </c>
      <c r="O113" s="2" t="s">
        <v>2999</v>
      </c>
      <c r="P113" s="5" t="s">
        <v>2649</v>
      </c>
      <c r="Q113" s="5" t="s">
        <v>2923</v>
      </c>
      <c r="R113" s="53" t="n">
        <f aca="false">00_Assumptions!$D$90/00_Assumptions!$D$90</f>
        <v>1</v>
      </c>
      <c r="S113" s="57" t="n">
        <f aca="false">YEAR(E113)*00_Assumptions!$D$90+MONTH(E113)</f>
        <v>24325</v>
      </c>
      <c r="T113" s="57" t="n">
        <f aca="false">S113+G113*00_Assumptions!$D$90-1</f>
        <v>24384</v>
      </c>
      <c r="U113" s="31" t="n">
        <f aca="false">$I113*MAX(0,MIN(U$100*00_Assumptions!$D$90+00_Assumptions!$D$90,$T113)-MAX(U$100*00_Assumptions!$D$90+1,$S113)+1)/00_Assumptions!$D$90*IF(U$100=YEAR($E113),$R113,1)</f>
        <v>0</v>
      </c>
      <c r="V113" s="31" t="n">
        <f aca="false">$I113*MAX(0,MIN(V$100*00_Assumptions!$D$90+00_Assumptions!$D$90,$T113)-MAX(V$100*00_Assumptions!$D$90+1,$S113)+1)/00_Assumptions!$D$90*IF(V$100=YEAR($E113),$R113,1)</f>
        <v>0</v>
      </c>
      <c r="W113" s="31" t="n">
        <f aca="false">$I113*MAX(0,MIN(W$100*00_Assumptions!$D$90+00_Assumptions!$D$90,$T113)-MAX(W$100*00_Assumptions!$D$90+1,$S113)+1)/00_Assumptions!$D$90*IF(W$100=YEAR($E113),$R113,1)</f>
        <v>0</v>
      </c>
      <c r="X113" s="31" t="n">
        <f aca="false">$I113*MAX(0,MIN(X$100*00_Assumptions!$D$90+00_Assumptions!$D$90,$T113)-MAX(X$100*00_Assumptions!$D$90+1,$S113)+1)/00_Assumptions!$D$90*IF(X$100=YEAR($E113),$R113,1)</f>
        <v>0</v>
      </c>
      <c r="Y113" s="31" t="n">
        <f aca="false">$I113*MAX(0,MIN(Y$100*00_Assumptions!$D$90+00_Assumptions!$D$90,$T113)-MAX(Y$100*00_Assumptions!$D$90+1,$S113)+1)/00_Assumptions!$D$90*IF(Y$100=YEAR($E113),$R113,1)</f>
        <v>60000</v>
      </c>
      <c r="Z113" s="31" t="n">
        <f aca="false">$I113*MAX(0,MIN(Z$100*00_Assumptions!$D$90+00_Assumptions!$D$90,$T113)-MAX(Z$100*00_Assumptions!$D$90+1,$S113)+1)/00_Assumptions!$D$90*IF(Z$100=YEAR($E113),$R113,1)</f>
        <v>60000</v>
      </c>
      <c r="AA113" s="31" t="n">
        <f aca="false">$I113*MAX(0,MIN(AA$100*00_Assumptions!$D$90+00_Assumptions!$D$90,$T113)-MAX(AA$100*00_Assumptions!$D$90+1,$S113)+1)/00_Assumptions!$D$90*IF(AA$100=YEAR($E113),$R113,1)</f>
        <v>60000</v>
      </c>
      <c r="AB113" s="31" t="n">
        <f aca="false">$I113*MAX(0,MIN(AB$100*00_Assumptions!$D$90+00_Assumptions!$D$90,$T113)-MAX(AB$100*00_Assumptions!$D$90+1,$S113)+1)/00_Assumptions!$D$90*IF(AB$100=YEAR($E113),$R113,1)</f>
        <v>60000</v>
      </c>
      <c r="AD113" s="2" t="s">
        <v>3000</v>
      </c>
    </row>
    <row r="114" customFormat="false" ht="15" hidden="false" customHeight="false" outlineLevel="0" collapsed="false">
      <c r="A114" s="3" t="s">
        <v>3001</v>
      </c>
      <c r="B114" s="9" t="s">
        <v>2221</v>
      </c>
      <c r="C114" s="9" t="s">
        <v>2918</v>
      </c>
      <c r="D114" s="5" t="s">
        <v>98</v>
      </c>
      <c r="E114" s="90" t="n">
        <f aca="false">00_Assumptions!$G$75</f>
        <v>46023</v>
      </c>
      <c r="F114" s="90" t="n">
        <f aca="false">DATE(INT((T114-1)/00_Assumptions!$D$90),T114-INT((T114-1)/00_Assumptions!$D$90)*00_Assumptions!$D$90,1)</f>
        <v>48914</v>
      </c>
      <c r="G114" s="48" t="n">
        <f aca="false">01_Data!$D$243</f>
        <v>8</v>
      </c>
      <c r="H114" s="11" t="n">
        <f aca="false">01_Data!$D$242</f>
        <v>138000</v>
      </c>
      <c r="I114" s="32" t="n">
        <f aca="false">H114/G114</f>
        <v>17250</v>
      </c>
      <c r="J114" s="2" t="s">
        <v>3002</v>
      </c>
      <c r="K114" s="2" t="s">
        <v>3003</v>
      </c>
      <c r="L114" s="5" t="s">
        <v>2921</v>
      </c>
      <c r="M114" s="2" t="s">
        <v>2661</v>
      </c>
      <c r="N114" s="2" t="s">
        <v>2724</v>
      </c>
      <c r="O114" s="2" t="s">
        <v>1345</v>
      </c>
      <c r="P114" s="5" t="s">
        <v>2649</v>
      </c>
      <c r="Q114" s="5" t="s">
        <v>2923</v>
      </c>
      <c r="R114" s="53" t="n">
        <f aca="false">00_Assumptions!$D$90/00_Assumptions!$D$90</f>
        <v>1</v>
      </c>
      <c r="S114" s="57" t="n">
        <f aca="false">YEAR(E114)*00_Assumptions!$D$90+MONTH(E114)</f>
        <v>24313</v>
      </c>
      <c r="T114" s="57" t="n">
        <f aca="false">S114+G114*00_Assumptions!$D$90-1</f>
        <v>24408</v>
      </c>
      <c r="U114" s="31" t="n">
        <f aca="false">$I114*MAX(0,MIN(U$100*00_Assumptions!$D$90+00_Assumptions!$D$90,$T114)-MAX(U$100*00_Assumptions!$D$90+1,$S114)+1)/00_Assumptions!$D$90*IF(U$100=YEAR($E114),$R114,1)</f>
        <v>0</v>
      </c>
      <c r="V114" s="31" t="n">
        <f aca="false">$I114*MAX(0,MIN(V$100*00_Assumptions!$D$90+00_Assumptions!$D$90,$T114)-MAX(V$100*00_Assumptions!$D$90+1,$S114)+1)/00_Assumptions!$D$90*IF(V$100=YEAR($E114),$R114,1)</f>
        <v>0</v>
      </c>
      <c r="W114" s="31" t="n">
        <f aca="false">$I114*MAX(0,MIN(W$100*00_Assumptions!$D$90+00_Assumptions!$D$90,$T114)-MAX(W$100*00_Assumptions!$D$90+1,$S114)+1)/00_Assumptions!$D$90*IF(W$100=YEAR($E114),$R114,1)</f>
        <v>0</v>
      </c>
      <c r="X114" s="31" t="n">
        <f aca="false">$I114*MAX(0,MIN(X$100*00_Assumptions!$D$90+00_Assumptions!$D$90,$T114)-MAX(X$100*00_Assumptions!$D$90+1,$S114)+1)/00_Assumptions!$D$90*IF(X$100=YEAR($E114),$R114,1)</f>
        <v>17250</v>
      </c>
      <c r="Y114" s="31" t="n">
        <f aca="false">$I114*MAX(0,MIN(Y$100*00_Assumptions!$D$90+00_Assumptions!$D$90,$T114)-MAX(Y$100*00_Assumptions!$D$90+1,$S114)+1)/00_Assumptions!$D$90*IF(Y$100=YEAR($E114),$R114,1)</f>
        <v>17250</v>
      </c>
      <c r="Z114" s="31" t="n">
        <f aca="false">$I114*MAX(0,MIN(Z$100*00_Assumptions!$D$90+00_Assumptions!$D$90,$T114)-MAX(Z$100*00_Assumptions!$D$90+1,$S114)+1)/00_Assumptions!$D$90*IF(Z$100=YEAR($E114),$R114,1)</f>
        <v>17250</v>
      </c>
      <c r="AA114" s="31" t="n">
        <f aca="false">$I114*MAX(0,MIN(AA$100*00_Assumptions!$D$90+00_Assumptions!$D$90,$T114)-MAX(AA$100*00_Assumptions!$D$90+1,$S114)+1)/00_Assumptions!$D$90*IF(AA$100=YEAR($E114),$R114,1)</f>
        <v>17250</v>
      </c>
      <c r="AB114" s="31" t="n">
        <f aca="false">$I114*MAX(0,MIN(AB$100*00_Assumptions!$D$90+00_Assumptions!$D$90,$T114)-MAX(AB$100*00_Assumptions!$D$90+1,$S114)+1)/00_Assumptions!$D$90*IF(AB$100=YEAR($E114),$R114,1)</f>
        <v>17250</v>
      </c>
      <c r="AD114" s="2" t="s">
        <v>3004</v>
      </c>
    </row>
    <row r="115" customFormat="false" ht="15" hidden="false" customHeight="false" outlineLevel="0" collapsed="false">
      <c r="A115" s="3" t="s">
        <v>3005</v>
      </c>
      <c r="B115" s="9" t="s">
        <v>2221</v>
      </c>
      <c r="C115" s="9" t="s">
        <v>3006</v>
      </c>
      <c r="D115" s="5" t="s">
        <v>98</v>
      </c>
      <c r="E115" s="90" t="n">
        <f aca="false">00_Assumptions!$G$76</f>
        <v>46023</v>
      </c>
      <c r="F115" s="90" t="n">
        <f aca="false">DATE(INT((T115-1)/00_Assumptions!$D$90),T115-INT((T115-1)/00_Assumptions!$D$90)*00_Assumptions!$D$90,1)</f>
        <v>48183</v>
      </c>
      <c r="G115" s="48" t="n">
        <f aca="false">00_Assumptions!$G$81</f>
        <v>6</v>
      </c>
      <c r="H115" s="11" t="n">
        <f aca="false">01_Data!$D$245</f>
        <v>22400</v>
      </c>
      <c r="I115" s="32" t="n">
        <f aca="false">H115/G115</f>
        <v>3733.33333333333</v>
      </c>
      <c r="J115" s="2" t="s">
        <v>511</v>
      </c>
      <c r="K115" s="2" t="s">
        <v>3007</v>
      </c>
      <c r="L115" s="5" t="s">
        <v>2921</v>
      </c>
      <c r="M115" s="2" t="s">
        <v>2727</v>
      </c>
      <c r="N115" s="2" t="s">
        <v>3008</v>
      </c>
      <c r="O115" s="2" t="s">
        <v>1384</v>
      </c>
      <c r="P115" s="5" t="s">
        <v>2649</v>
      </c>
      <c r="Q115" s="5" t="s">
        <v>2923</v>
      </c>
      <c r="R115" s="53" t="n">
        <f aca="false">00_Assumptions!$D$90/00_Assumptions!$D$90</f>
        <v>1</v>
      </c>
      <c r="S115" s="57" t="n">
        <f aca="false">YEAR(E115)*00_Assumptions!$D$90+MONTH(E115)</f>
        <v>24313</v>
      </c>
      <c r="T115" s="57" t="n">
        <f aca="false">S115+G115*00_Assumptions!$D$90-1</f>
        <v>24384</v>
      </c>
      <c r="U115" s="31" t="n">
        <f aca="false">$I115*MAX(0,MIN(U$100*00_Assumptions!$D$90+00_Assumptions!$D$90,$T115)-MAX(U$100*00_Assumptions!$D$90+1,$S115)+1)/00_Assumptions!$D$90*IF(U$100=YEAR($E115),$R115,1)</f>
        <v>0</v>
      </c>
      <c r="V115" s="31" t="n">
        <f aca="false">$I115*MAX(0,MIN(V$100*00_Assumptions!$D$90+00_Assumptions!$D$90,$T115)-MAX(V$100*00_Assumptions!$D$90+1,$S115)+1)/00_Assumptions!$D$90*IF(V$100=YEAR($E115),$R115,1)</f>
        <v>0</v>
      </c>
      <c r="W115" s="31" t="n">
        <f aca="false">$I115*MAX(0,MIN(W$100*00_Assumptions!$D$90+00_Assumptions!$D$90,$T115)-MAX(W$100*00_Assumptions!$D$90+1,$S115)+1)/00_Assumptions!$D$90*IF(W$100=YEAR($E115),$R115,1)</f>
        <v>0</v>
      </c>
      <c r="X115" s="31" t="n">
        <f aca="false">$I115*MAX(0,MIN(X$100*00_Assumptions!$D$90+00_Assumptions!$D$90,$T115)-MAX(X$100*00_Assumptions!$D$90+1,$S115)+1)/00_Assumptions!$D$90*IF(X$100=YEAR($E115),$R115,1)</f>
        <v>3733.33333333333</v>
      </c>
      <c r="Y115" s="31" t="n">
        <f aca="false">$I115*MAX(0,MIN(Y$100*00_Assumptions!$D$90+00_Assumptions!$D$90,$T115)-MAX(Y$100*00_Assumptions!$D$90+1,$S115)+1)/00_Assumptions!$D$90*IF(Y$100=YEAR($E115),$R115,1)</f>
        <v>3733.33333333333</v>
      </c>
      <c r="Z115" s="31" t="n">
        <f aca="false">$I115*MAX(0,MIN(Z$100*00_Assumptions!$D$90+00_Assumptions!$D$90,$T115)-MAX(Z$100*00_Assumptions!$D$90+1,$S115)+1)/00_Assumptions!$D$90*IF(Z$100=YEAR($E115),$R115,1)</f>
        <v>3733.33333333333</v>
      </c>
      <c r="AA115" s="31" t="n">
        <f aca="false">$I115*MAX(0,MIN(AA$100*00_Assumptions!$D$90+00_Assumptions!$D$90,$T115)-MAX(AA$100*00_Assumptions!$D$90+1,$S115)+1)/00_Assumptions!$D$90*IF(AA$100=YEAR($E115),$R115,1)</f>
        <v>3733.33333333333</v>
      </c>
      <c r="AB115" s="31" t="n">
        <f aca="false">$I115*MAX(0,MIN(AB$100*00_Assumptions!$D$90+00_Assumptions!$D$90,$T115)-MAX(AB$100*00_Assumptions!$D$90+1,$S115)+1)/00_Assumptions!$D$90*IF(AB$100=YEAR($E115),$R115,1)</f>
        <v>3733.33333333333</v>
      </c>
      <c r="AD115" s="2" t="s">
        <v>3009</v>
      </c>
    </row>
    <row r="116" customFormat="false" ht="15" hidden="false" customHeight="false" outlineLevel="0" collapsed="false">
      <c r="A116" s="3" t="s">
        <v>3010</v>
      </c>
      <c r="B116" s="9" t="s">
        <v>2221</v>
      </c>
      <c r="C116" s="9" t="s">
        <v>3011</v>
      </c>
      <c r="D116" s="5" t="s">
        <v>92</v>
      </c>
      <c r="E116" s="90" t="n">
        <f aca="false">00_Assumptions!$G$77</f>
        <v>46023</v>
      </c>
      <c r="F116" s="90" t="n">
        <f aca="false">DATE(INT((T116-1)/00_Assumptions!$D$90),T116-INT((T116-1)/00_Assumptions!$D$90)*00_Assumptions!$D$90,1)</f>
        <v>47453</v>
      </c>
      <c r="G116" s="48" t="n">
        <f aca="false">00_Assumptions!$G$38</f>
        <v>4</v>
      </c>
      <c r="H116" s="11" t="n">
        <f aca="false">01_Data!$D$248</f>
        <v>20000</v>
      </c>
      <c r="I116" s="32" t="n">
        <f aca="false">H116/G116</f>
        <v>5000</v>
      </c>
      <c r="J116" s="2" t="s">
        <v>3012</v>
      </c>
      <c r="K116" s="2" t="s">
        <v>3013</v>
      </c>
      <c r="L116" s="5" t="s">
        <v>2965</v>
      </c>
      <c r="M116" s="2" t="s">
        <v>3014</v>
      </c>
      <c r="N116" s="2" t="s">
        <v>434</v>
      </c>
      <c r="O116" s="2" t="s">
        <v>1395</v>
      </c>
      <c r="P116" s="5" t="s">
        <v>2649</v>
      </c>
      <c r="Q116" s="5" t="s">
        <v>2923</v>
      </c>
      <c r="R116" s="53" t="n">
        <f aca="false">00_Assumptions!$D$90/00_Assumptions!$D$90</f>
        <v>1</v>
      </c>
      <c r="S116" s="57" t="n">
        <f aca="false">YEAR(E116)*00_Assumptions!$D$90+MONTH(E116)</f>
        <v>24313</v>
      </c>
      <c r="T116" s="57" t="n">
        <f aca="false">S116+G116*00_Assumptions!$D$90-1</f>
        <v>24360</v>
      </c>
      <c r="U116" s="31" t="n">
        <f aca="false">$I116*MAX(0,MIN(U$100*00_Assumptions!$D$90+00_Assumptions!$D$90,$T116)-MAX(U$100*00_Assumptions!$D$90+1,$S116)+1)/00_Assumptions!$D$90*IF(U$100=YEAR($E116),$R116,1)</f>
        <v>0</v>
      </c>
      <c r="V116" s="31" t="n">
        <f aca="false">$I116*MAX(0,MIN(V$100*00_Assumptions!$D$90+00_Assumptions!$D$90,$T116)-MAX(V$100*00_Assumptions!$D$90+1,$S116)+1)/00_Assumptions!$D$90*IF(V$100=YEAR($E116),$R116,1)</f>
        <v>0</v>
      </c>
      <c r="W116" s="31" t="n">
        <f aca="false">$I116*MAX(0,MIN(W$100*00_Assumptions!$D$90+00_Assumptions!$D$90,$T116)-MAX(W$100*00_Assumptions!$D$90+1,$S116)+1)/00_Assumptions!$D$90*IF(W$100=YEAR($E116),$R116,1)</f>
        <v>0</v>
      </c>
      <c r="X116" s="31" t="n">
        <f aca="false">$I116*MAX(0,MIN(X$100*00_Assumptions!$D$90+00_Assumptions!$D$90,$T116)-MAX(X$100*00_Assumptions!$D$90+1,$S116)+1)/00_Assumptions!$D$90*IF(X$100=YEAR($E116),$R116,1)</f>
        <v>5000</v>
      </c>
      <c r="Y116" s="31" t="n">
        <f aca="false">$I116*MAX(0,MIN(Y$100*00_Assumptions!$D$90+00_Assumptions!$D$90,$T116)-MAX(Y$100*00_Assumptions!$D$90+1,$S116)+1)/00_Assumptions!$D$90*IF(Y$100=YEAR($E116),$R116,1)</f>
        <v>5000</v>
      </c>
      <c r="Z116" s="31" t="n">
        <f aca="false">$I116*MAX(0,MIN(Z$100*00_Assumptions!$D$90+00_Assumptions!$D$90,$T116)-MAX(Z$100*00_Assumptions!$D$90+1,$S116)+1)/00_Assumptions!$D$90*IF(Z$100=YEAR($E116),$R116,1)</f>
        <v>5000</v>
      </c>
      <c r="AA116" s="31" t="n">
        <f aca="false">$I116*MAX(0,MIN(AA$100*00_Assumptions!$D$90+00_Assumptions!$D$90,$T116)-MAX(AA$100*00_Assumptions!$D$90+1,$S116)+1)/00_Assumptions!$D$90*IF(AA$100=YEAR($E116),$R116,1)</f>
        <v>5000</v>
      </c>
      <c r="AB116" s="31" t="n">
        <f aca="false">$I116*MAX(0,MIN(AB$100*00_Assumptions!$D$90+00_Assumptions!$D$90,$T116)-MAX(AB$100*00_Assumptions!$D$90+1,$S116)+1)/00_Assumptions!$D$90*IF(AB$100=YEAR($E116),$R116,1)</f>
        <v>0</v>
      </c>
      <c r="AD116" s="2" t="s">
        <v>3015</v>
      </c>
    </row>
    <row r="117" customFormat="false" ht="15" hidden="false" customHeight="false" outlineLevel="0" collapsed="false">
      <c r="A117" s="3" t="s">
        <v>3016</v>
      </c>
      <c r="B117" s="9" t="s">
        <v>2221</v>
      </c>
      <c r="C117" s="9" t="s">
        <v>3017</v>
      </c>
      <c r="D117" s="5" t="s">
        <v>98</v>
      </c>
      <c r="H117" s="11" t="n">
        <f aca="false">01_Data!$D$259</f>
        <v>250000</v>
      </c>
      <c r="I117" s="55" t="s">
        <v>511</v>
      </c>
      <c r="J117" s="2" t="s">
        <v>511</v>
      </c>
      <c r="K117" s="2" t="s">
        <v>3018</v>
      </c>
      <c r="L117" s="5" t="s">
        <v>2921</v>
      </c>
      <c r="M117" s="2" t="s">
        <v>3019</v>
      </c>
      <c r="N117" s="2" t="s">
        <v>3020</v>
      </c>
      <c r="O117" s="2" t="s">
        <v>3021</v>
      </c>
      <c r="P117" s="5" t="s">
        <v>3022</v>
      </c>
      <c r="Q117" s="5" t="s">
        <v>2945</v>
      </c>
      <c r="R117" s="53" t="n">
        <f aca="false">00_Assumptions!$D$90/00_Assumptions!$D$90</f>
        <v>1</v>
      </c>
      <c r="U117" s="31" t="n">
        <f aca="false">01_Data!$D$123</f>
        <v>0</v>
      </c>
      <c r="V117" s="31" t="n">
        <f aca="false">01_Data!$D$123</f>
        <v>0</v>
      </c>
      <c r="W117" s="31" t="n">
        <f aca="false">01_Data!$D$123</f>
        <v>0</v>
      </c>
      <c r="X117" s="31" t="n">
        <f aca="false">01_Data!$D$123</f>
        <v>0</v>
      </c>
      <c r="Y117" s="31" t="n">
        <f aca="false">01_Data!$D$123</f>
        <v>0</v>
      </c>
      <c r="Z117" s="31" t="n">
        <f aca="false">01_Data!$D$123</f>
        <v>0</v>
      </c>
      <c r="AA117" s="31" t="n">
        <f aca="false">01_Data!$D$123</f>
        <v>0</v>
      </c>
      <c r="AB117" s="31" t="n">
        <f aca="false">01_Data!$D$123</f>
        <v>0</v>
      </c>
      <c r="AD117" s="2" t="s">
        <v>3023</v>
      </c>
    </row>
    <row r="118" customFormat="false" ht="15" hidden="false" customHeight="false" outlineLevel="0" collapsed="false">
      <c r="A118" s="3" t="s">
        <v>3024</v>
      </c>
      <c r="B118" s="9" t="s">
        <v>2221</v>
      </c>
      <c r="C118" s="9" t="s">
        <v>3025</v>
      </c>
      <c r="D118" s="5" t="s">
        <v>98</v>
      </c>
      <c r="E118" s="90" t="n">
        <f aca="false">00_Assumptions!$G$78</f>
        <v>46023</v>
      </c>
      <c r="F118" s="90" t="n">
        <f aca="false">DATE(INT((T118-1)/00_Assumptions!$D$90),T118-INT((T118-1)/00_Assumptions!$D$90)*00_Assumptions!$D$90,1)</f>
        <v>47818</v>
      </c>
      <c r="G118" s="48" t="n">
        <f aca="false">00_Assumptions!$G$80</f>
        <v>5</v>
      </c>
      <c r="H118" s="64" t="n">
        <f aca="false">I118*G118</f>
        <v>120500</v>
      </c>
      <c r="I118" s="31" t="n">
        <f aca="false">LB_08</f>
        <v>24100</v>
      </c>
      <c r="J118" s="2" t="s">
        <v>511</v>
      </c>
      <c r="K118" s="2" t="s">
        <v>3026</v>
      </c>
      <c r="L118" s="5" t="s">
        <v>2921</v>
      </c>
      <c r="M118" s="2" t="s">
        <v>3027</v>
      </c>
      <c r="N118" s="2" t="s">
        <v>3028</v>
      </c>
      <c r="O118" s="2" t="s">
        <v>3029</v>
      </c>
      <c r="P118" s="5" t="s">
        <v>3030</v>
      </c>
      <c r="Q118" s="5" t="s">
        <v>2923</v>
      </c>
      <c r="R118" s="53" t="n">
        <f aca="false">00_Assumptions!$D$90/00_Assumptions!$D$90</f>
        <v>1</v>
      </c>
      <c r="S118" s="57" t="n">
        <f aca="false">YEAR(E118)*00_Assumptions!$D$90+MONTH(E118)</f>
        <v>24313</v>
      </c>
      <c r="T118" s="57" t="n">
        <f aca="false">S118+G118*00_Assumptions!$D$90-1</f>
        <v>24372</v>
      </c>
      <c r="U118" s="31" t="n">
        <f aca="false">$I118*MAX(0,MIN(U$100*00_Assumptions!$D$90+00_Assumptions!$D$90,$T118)-MAX(U$100*00_Assumptions!$D$90+1,$S118)+1)/00_Assumptions!$D$90*IF(U$100=YEAR($E118),$R118,1)</f>
        <v>0</v>
      </c>
      <c r="V118" s="31" t="n">
        <f aca="false">$I118*MAX(0,MIN(V$100*00_Assumptions!$D$90+00_Assumptions!$D$90,$T118)-MAX(V$100*00_Assumptions!$D$90+1,$S118)+1)/00_Assumptions!$D$90*IF(V$100=YEAR($E118),$R118,1)</f>
        <v>0</v>
      </c>
      <c r="W118" s="31" t="n">
        <f aca="false">$I118*MAX(0,MIN(W$100*00_Assumptions!$D$90+00_Assumptions!$D$90,$T118)-MAX(W$100*00_Assumptions!$D$90+1,$S118)+1)/00_Assumptions!$D$90*IF(W$100=YEAR($E118),$R118,1)</f>
        <v>0</v>
      </c>
      <c r="X118" s="31" t="n">
        <f aca="false">$I118*MAX(0,MIN(X$100*00_Assumptions!$D$90+00_Assumptions!$D$90,$T118)-MAX(X$100*00_Assumptions!$D$90+1,$S118)+1)/00_Assumptions!$D$90*IF(X$100=YEAR($E118),$R118,1)</f>
        <v>24100</v>
      </c>
      <c r="Y118" s="31" t="n">
        <f aca="false">$I118*MAX(0,MIN(Y$100*00_Assumptions!$D$90+00_Assumptions!$D$90,$T118)-MAX(Y$100*00_Assumptions!$D$90+1,$S118)+1)/00_Assumptions!$D$90*IF(Y$100=YEAR($E118),$R118,1)</f>
        <v>24100</v>
      </c>
      <c r="Z118" s="31" t="n">
        <f aca="false">$I118*MAX(0,MIN(Z$100*00_Assumptions!$D$90+00_Assumptions!$D$90,$T118)-MAX(Z$100*00_Assumptions!$D$90+1,$S118)+1)/00_Assumptions!$D$90*IF(Z$100=YEAR($E118),$R118,1)</f>
        <v>24100</v>
      </c>
      <c r="AA118" s="31" t="n">
        <f aca="false">$I118*MAX(0,MIN(AA$100*00_Assumptions!$D$90+00_Assumptions!$D$90,$T118)-MAX(AA$100*00_Assumptions!$D$90+1,$S118)+1)/00_Assumptions!$D$90*IF(AA$100=YEAR($E118),$R118,1)</f>
        <v>24100</v>
      </c>
      <c r="AB118" s="31" t="n">
        <f aca="false">$I118*MAX(0,MIN(AB$100*00_Assumptions!$D$90+00_Assumptions!$D$90,$T118)-MAX(AB$100*00_Assumptions!$D$90+1,$S118)+1)/00_Assumptions!$D$90*IF(AB$100=YEAR($E118),$R118,1)</f>
        <v>24100</v>
      </c>
      <c r="AD118" s="2" t="s">
        <v>3031</v>
      </c>
    </row>
    <row r="119" customFormat="false" ht="15" hidden="false" customHeight="false" outlineLevel="0" collapsed="false">
      <c r="A119" s="3" t="s">
        <v>3032</v>
      </c>
      <c r="B119" s="9" t="s">
        <v>2221</v>
      </c>
      <c r="C119" s="9" t="s">
        <v>3033</v>
      </c>
      <c r="D119" s="5" t="s">
        <v>98</v>
      </c>
      <c r="E119" s="90" t="n">
        <f aca="false">00_Assumptions!$G$79</f>
        <v>46753</v>
      </c>
      <c r="F119" s="90" t="n">
        <f aca="false">DATE(INT((T119-1)/00_Assumptions!$D$90),T119-INT((T119-1)/00_Assumptions!$D$90)*00_Assumptions!$D$90,1)</f>
        <v>54027</v>
      </c>
      <c r="G119" s="48" t="n">
        <f aca="false">01_Data!$D$26</f>
        <v>20</v>
      </c>
      <c r="I119" s="65" t="s">
        <v>2081</v>
      </c>
      <c r="J119" s="2" t="s">
        <v>3034</v>
      </c>
      <c r="K119" s="2" t="s">
        <v>3035</v>
      </c>
      <c r="L119" s="5" t="s">
        <v>2921</v>
      </c>
      <c r="M119" s="2" t="s">
        <v>3036</v>
      </c>
      <c r="N119" s="2" t="s">
        <v>434</v>
      </c>
      <c r="O119" s="2" t="s">
        <v>453</v>
      </c>
      <c r="P119" s="5" t="s">
        <v>2691</v>
      </c>
      <c r="Q119" s="5" t="s">
        <v>2945</v>
      </c>
      <c r="R119" s="53" t="n">
        <f aca="false">00_Assumptions!$D$90/00_Assumptions!$D$90</f>
        <v>1</v>
      </c>
      <c r="S119" s="57" t="n">
        <f aca="false">YEAR(E119)*00_Assumptions!$D$90+MONTH(E119)</f>
        <v>24337</v>
      </c>
      <c r="T119" s="57" t="n">
        <f aca="false">S119+G119*00_Assumptions!$D$90-1</f>
        <v>24576</v>
      </c>
      <c r="U119" s="31" t="n">
        <f aca="false">01_Data!$D$123</f>
        <v>0</v>
      </c>
      <c r="V119" s="31" t="n">
        <f aca="false">01_Data!$D$123</f>
        <v>0</v>
      </c>
      <c r="W119" s="31" t="n">
        <f aca="false">01_Data!$D$123</f>
        <v>0</v>
      </c>
      <c r="X119" s="31" t="n">
        <f aca="false">01_Data!$D$123</f>
        <v>0</v>
      </c>
      <c r="Y119" s="31" t="n">
        <f aca="false">01_Data!$D$123</f>
        <v>0</v>
      </c>
      <c r="Z119" s="31" t="n">
        <f aca="false">01_Data!$D$123</f>
        <v>0</v>
      </c>
      <c r="AA119" s="31" t="n">
        <f aca="false">01_Data!$D$123</f>
        <v>0</v>
      </c>
      <c r="AB119" s="31" t="n">
        <f aca="false">01_Data!$D$123</f>
        <v>0</v>
      </c>
      <c r="AD119" s="57" t="str">
        <f aca="false">"Scale proxy only (not a disclosed rent): "&amp;TEXT(01_Data!$D$27/01_Data!$D$28*01_Data!$D$25,"#,##0")&amp;" = 105,000 / 4.25 GW-IT x 8.0 GW-IT"</f>
        <v>Scale proxy only (not a disclosed rent): 197,647 = 105,000 / 4.25 GW-IT x 8.0 GW-IT</v>
      </c>
      <c r="AE119" s="31" t="n">
        <f aca="false">01_Data!$D$27/01_Data!$D$28*01_Data!$D$25</f>
        <v>197647.058823529</v>
      </c>
    </row>
    <row r="120" customFormat="false" ht="15" hidden="false" customHeight="false" outlineLevel="0" collapsed="false">
      <c r="A120" s="3" t="s">
        <v>3037</v>
      </c>
      <c r="B120" s="9" t="s">
        <v>2221</v>
      </c>
      <c r="C120" s="9" t="s">
        <v>3038</v>
      </c>
      <c r="D120" s="5" t="s">
        <v>98</v>
      </c>
      <c r="E120" s="90" t="n">
        <f aca="false">00_Assumptions!$G$79</f>
        <v>46753</v>
      </c>
      <c r="F120" s="90" t="n">
        <f aca="false">DATE(INT((T120-1)/00_Assumptions!$D$90),T120-INT((T120-1)/00_Assumptions!$D$90)*00_Assumptions!$D$90,1)</f>
        <v>52201</v>
      </c>
      <c r="G120" s="48" t="n">
        <f aca="false">01_Data!$D$30</f>
        <v>15</v>
      </c>
      <c r="I120" s="65" t="s">
        <v>2081</v>
      </c>
      <c r="J120" s="2" t="s">
        <v>3039</v>
      </c>
      <c r="K120" s="2" t="s">
        <v>3040</v>
      </c>
      <c r="L120" s="5" t="s">
        <v>2921</v>
      </c>
      <c r="M120" s="2" t="s">
        <v>3041</v>
      </c>
      <c r="N120" s="2" t="s">
        <v>434</v>
      </c>
      <c r="O120" s="2" t="s">
        <v>448</v>
      </c>
      <c r="P120" s="5" t="s">
        <v>2691</v>
      </c>
      <c r="Q120" s="5" t="s">
        <v>2945</v>
      </c>
      <c r="R120" s="53" t="n">
        <f aca="false">00_Assumptions!$D$90/00_Assumptions!$D$90</f>
        <v>1</v>
      </c>
      <c r="S120" s="57" t="n">
        <f aca="false">YEAR(E120)*00_Assumptions!$D$90+MONTH(E120)</f>
        <v>24337</v>
      </c>
      <c r="T120" s="57" t="n">
        <f aca="false">S120+G120*00_Assumptions!$D$90-1</f>
        <v>24516</v>
      </c>
      <c r="U120" s="31" t="n">
        <f aca="false">01_Data!$D$123</f>
        <v>0</v>
      </c>
      <c r="V120" s="31" t="n">
        <f aca="false">01_Data!$D$123</f>
        <v>0</v>
      </c>
      <c r="W120" s="31" t="n">
        <f aca="false">01_Data!$D$123</f>
        <v>0</v>
      </c>
      <c r="X120" s="31" t="n">
        <f aca="false">01_Data!$D$123</f>
        <v>0</v>
      </c>
      <c r="Y120" s="31" t="n">
        <f aca="false">01_Data!$D$123</f>
        <v>0</v>
      </c>
      <c r="Z120" s="31" t="n">
        <f aca="false">01_Data!$D$123</f>
        <v>0</v>
      </c>
      <c r="AA120" s="31" t="n">
        <f aca="false">01_Data!$D$123</f>
        <v>0</v>
      </c>
      <c r="AB120" s="31" t="n">
        <f aca="false">01_Data!$D$123</f>
        <v>0</v>
      </c>
      <c r="AD120" s="2" t="s">
        <v>3042</v>
      </c>
    </row>
    <row r="121" customFormat="false" ht="15" hidden="false" customHeight="false" outlineLevel="0" collapsed="false">
      <c r="A121" s="3" t="s">
        <v>3043</v>
      </c>
      <c r="B121" s="9" t="s">
        <v>2221</v>
      </c>
      <c r="C121" s="9" t="s">
        <v>3044</v>
      </c>
      <c r="D121" s="5" t="s">
        <v>92</v>
      </c>
      <c r="H121" s="11" t="n">
        <f aca="false">01_Data!$D$260</f>
        <v>90000</v>
      </c>
      <c r="I121" s="55" t="s">
        <v>511</v>
      </c>
      <c r="J121" s="2" t="s">
        <v>3045</v>
      </c>
      <c r="K121" s="2" t="s">
        <v>3046</v>
      </c>
      <c r="L121" s="5" t="s">
        <v>2990</v>
      </c>
      <c r="M121" s="2" t="s">
        <v>3047</v>
      </c>
      <c r="N121" s="2" t="s">
        <v>2741</v>
      </c>
      <c r="O121" s="2" t="s">
        <v>2742</v>
      </c>
      <c r="P121" s="5" t="s">
        <v>3022</v>
      </c>
      <c r="Q121" s="5" t="s">
        <v>2945</v>
      </c>
      <c r="R121" s="53" t="n">
        <f aca="false">00_Assumptions!$D$90/00_Assumptions!$D$90</f>
        <v>1</v>
      </c>
      <c r="U121" s="31" t="n">
        <f aca="false">01_Data!$D$123</f>
        <v>0</v>
      </c>
      <c r="V121" s="31" t="n">
        <f aca="false">01_Data!$D$123</f>
        <v>0</v>
      </c>
      <c r="W121" s="31" t="n">
        <f aca="false">01_Data!$D$123</f>
        <v>0</v>
      </c>
      <c r="X121" s="31" t="n">
        <f aca="false">01_Data!$D$123</f>
        <v>0</v>
      </c>
      <c r="Y121" s="31" t="n">
        <f aca="false">01_Data!$D$123</f>
        <v>0</v>
      </c>
      <c r="Z121" s="31" t="n">
        <f aca="false">01_Data!$D$123</f>
        <v>0</v>
      </c>
      <c r="AA121" s="31" t="n">
        <f aca="false">01_Data!$D$123</f>
        <v>0</v>
      </c>
      <c r="AB121" s="31" t="n">
        <f aca="false">01_Data!$D$123</f>
        <v>0</v>
      </c>
      <c r="AD121" s="2" t="s">
        <v>3048</v>
      </c>
    </row>
    <row r="122" customFormat="false" ht="15" hidden="false" customHeight="false" outlineLevel="0" collapsed="false">
      <c r="A122" s="3" t="s">
        <v>3049</v>
      </c>
      <c r="B122" s="9" t="s">
        <v>2221</v>
      </c>
      <c r="C122" s="9" t="s">
        <v>3050</v>
      </c>
      <c r="D122" s="5" t="s">
        <v>92</v>
      </c>
      <c r="H122" s="11" t="n">
        <f aca="false">01_Data!$D$261</f>
        <v>350000</v>
      </c>
      <c r="I122" s="55" t="s">
        <v>511</v>
      </c>
      <c r="J122" s="2" t="s">
        <v>3051</v>
      </c>
      <c r="K122" s="2" t="s">
        <v>2746</v>
      </c>
      <c r="L122" s="5" t="s">
        <v>2921</v>
      </c>
      <c r="M122" s="2" t="s">
        <v>3052</v>
      </c>
      <c r="N122" s="2" t="s">
        <v>2741</v>
      </c>
      <c r="O122" s="2" t="s">
        <v>3053</v>
      </c>
      <c r="P122" s="5" t="s">
        <v>3022</v>
      </c>
      <c r="Q122" s="5" t="s">
        <v>2945</v>
      </c>
      <c r="R122" s="53" t="n">
        <f aca="false">00_Assumptions!$D$90/00_Assumptions!$D$90</f>
        <v>1</v>
      </c>
      <c r="U122" s="31" t="n">
        <f aca="false">01_Data!$D$123</f>
        <v>0</v>
      </c>
      <c r="V122" s="31" t="n">
        <f aca="false">01_Data!$D$123</f>
        <v>0</v>
      </c>
      <c r="W122" s="31" t="n">
        <f aca="false">01_Data!$D$123</f>
        <v>0</v>
      </c>
      <c r="X122" s="31" t="n">
        <f aca="false">01_Data!$D$123</f>
        <v>0</v>
      </c>
      <c r="Y122" s="31" t="n">
        <f aca="false">01_Data!$D$123</f>
        <v>0</v>
      </c>
      <c r="Z122" s="31" t="n">
        <f aca="false">01_Data!$D$123</f>
        <v>0</v>
      </c>
      <c r="AA122" s="31" t="n">
        <f aca="false">01_Data!$D$123</f>
        <v>0</v>
      </c>
      <c r="AB122" s="31" t="n">
        <f aca="false">01_Data!$D$123</f>
        <v>0</v>
      </c>
      <c r="AD122" s="2" t="s">
        <v>3048</v>
      </c>
    </row>
    <row r="123" customFormat="false" ht="15" hidden="false" customHeight="false" outlineLevel="0" collapsed="false">
      <c r="A123" s="3" t="s">
        <v>3054</v>
      </c>
      <c r="B123" s="9" t="s">
        <v>2221</v>
      </c>
      <c r="C123" s="9" t="s">
        <v>3055</v>
      </c>
      <c r="D123" s="5" t="s">
        <v>92</v>
      </c>
      <c r="I123" s="55" t="s">
        <v>511</v>
      </c>
      <c r="J123" s="2" t="s">
        <v>3056</v>
      </c>
      <c r="K123" s="2" t="s">
        <v>3057</v>
      </c>
      <c r="L123" s="5" t="s">
        <v>511</v>
      </c>
      <c r="M123" s="2" t="s">
        <v>3058</v>
      </c>
      <c r="N123" s="2" t="s">
        <v>2679</v>
      </c>
      <c r="O123" s="2" t="s">
        <v>2754</v>
      </c>
      <c r="P123" s="5" t="s">
        <v>2755</v>
      </c>
      <c r="Q123" s="5" t="s">
        <v>2945</v>
      </c>
      <c r="R123" s="53" t="n">
        <f aca="false">00_Assumptions!$D$90/00_Assumptions!$D$90</f>
        <v>1</v>
      </c>
      <c r="U123" s="31" t="n">
        <f aca="false">01_Data!$D$123</f>
        <v>0</v>
      </c>
      <c r="V123" s="31" t="n">
        <f aca="false">01_Data!$D$123</f>
        <v>0</v>
      </c>
      <c r="W123" s="31" t="n">
        <f aca="false">01_Data!$D$123</f>
        <v>0</v>
      </c>
      <c r="X123" s="31" t="n">
        <f aca="false">01_Data!$D$123</f>
        <v>0</v>
      </c>
      <c r="Y123" s="31" t="n">
        <f aca="false">01_Data!$D$123</f>
        <v>0</v>
      </c>
      <c r="Z123" s="31" t="n">
        <f aca="false">01_Data!$D$123</f>
        <v>0</v>
      </c>
      <c r="AA123" s="31" t="n">
        <f aca="false">01_Data!$D$123</f>
        <v>0</v>
      </c>
      <c r="AB123" s="31" t="n">
        <f aca="false">01_Data!$D$123</f>
        <v>0</v>
      </c>
      <c r="AD123" s="2" t="s">
        <v>3059</v>
      </c>
    </row>
    <row r="124" customFormat="false" ht="15" hidden="false" customHeight="false" outlineLevel="0" collapsed="false">
      <c r="A124" s="3" t="s">
        <v>3060</v>
      </c>
      <c r="B124" s="9" t="s">
        <v>2221</v>
      </c>
      <c r="C124" s="9" t="s">
        <v>3061</v>
      </c>
      <c r="D124" s="5" t="s">
        <v>98</v>
      </c>
      <c r="I124" s="55" t="s">
        <v>511</v>
      </c>
      <c r="J124" s="2" t="s">
        <v>3062</v>
      </c>
      <c r="K124" s="2" t="s">
        <v>3063</v>
      </c>
      <c r="L124" s="5" t="s">
        <v>511</v>
      </c>
      <c r="M124" s="2" t="s">
        <v>2760</v>
      </c>
      <c r="N124" s="2" t="s">
        <v>426</v>
      </c>
      <c r="O124" s="2" t="s">
        <v>1431</v>
      </c>
      <c r="P124" s="5" t="s">
        <v>2761</v>
      </c>
      <c r="Q124" s="5" t="s">
        <v>2945</v>
      </c>
      <c r="R124" s="53" t="n">
        <f aca="false">00_Assumptions!$D$90/00_Assumptions!$D$90</f>
        <v>1</v>
      </c>
      <c r="U124" s="31" t="n">
        <f aca="false">01_Data!$D$123</f>
        <v>0</v>
      </c>
      <c r="V124" s="31" t="n">
        <f aca="false">01_Data!$D$123</f>
        <v>0</v>
      </c>
      <c r="W124" s="31" t="n">
        <f aca="false">01_Data!$D$123</f>
        <v>0</v>
      </c>
      <c r="X124" s="31" t="n">
        <f aca="false">01_Data!$D$123</f>
        <v>0</v>
      </c>
      <c r="Y124" s="31" t="n">
        <f aca="false">01_Data!$D$123</f>
        <v>0</v>
      </c>
      <c r="Z124" s="31" t="n">
        <f aca="false">01_Data!$D$123</f>
        <v>0</v>
      </c>
      <c r="AA124" s="31" t="n">
        <f aca="false">01_Data!$D$123</f>
        <v>0</v>
      </c>
      <c r="AB124" s="31" t="n">
        <f aca="false">01_Data!$D$123</f>
        <v>0</v>
      </c>
      <c r="AD124" s="2" t="s">
        <v>3064</v>
      </c>
    </row>
    <row r="125" customFormat="false" ht="15" hidden="false" customHeight="false" outlineLevel="0" collapsed="false">
      <c r="A125" s="2" t="s">
        <v>3065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0"/>
    <col collapsed="false" customWidth="true" hidden="false" outlineLevel="0" max="3" min="3" style="1" width="16"/>
    <col collapsed="false" customWidth="true" hidden="false" outlineLevel="0" max="4" min="4" style="1" width="40"/>
    <col collapsed="false" customWidth="true" hidden="false" outlineLevel="0" max="5" min="5" style="1" width="44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40"/>
  </cols>
  <sheetData>
    <row r="1" customFormat="false" ht="15" hidden="false" customHeight="false" outlineLevel="0" collapsed="false">
      <c r="A1" s="2" t="s">
        <v>3066</v>
      </c>
    </row>
    <row r="3" customFormat="false" ht="15" hidden="false" customHeight="false" outlineLevel="0" collapsed="false">
      <c r="A3" s="24" t="s">
        <v>3067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customFormat="false" ht="15" hidden="false" customHeight="false" outlineLevel="0" collapsed="false">
      <c r="A4" s="8" t="s">
        <v>3068</v>
      </c>
      <c r="B4" s="8" t="s">
        <v>3069</v>
      </c>
      <c r="C4" s="8" t="s">
        <v>3070</v>
      </c>
      <c r="D4" s="8" t="s">
        <v>3071</v>
      </c>
      <c r="E4" s="8" t="s">
        <v>3072</v>
      </c>
      <c r="F4" s="8" t="s">
        <v>3073</v>
      </c>
      <c r="G4" s="8" t="s">
        <v>2773</v>
      </c>
      <c r="H4" s="8" t="s">
        <v>12</v>
      </c>
    </row>
    <row r="5" customFormat="false" ht="15" hidden="false" customHeight="false" outlineLevel="0" collapsed="false">
      <c r="A5" s="3" t="s">
        <v>3074</v>
      </c>
      <c r="B5" s="9" t="s">
        <v>3075</v>
      </c>
      <c r="C5" s="2" t="s">
        <v>2220</v>
      </c>
      <c r="D5" s="57" t="str">
        <f aca="false">01_Data!$D$87&amp;" / "&amp;TEXT(01_Data!$D$88,"0.00%")&amp;" / "&amp;TEXT(01_Data!$D$89,"0.0%")</f>
        <v>Treasuries + 1pt / 5.75% / 8.5%</v>
      </c>
      <c r="E5" s="2" t="s">
        <v>3076</v>
      </c>
      <c r="F5" s="2" t="s">
        <v>3077</v>
      </c>
      <c r="G5" s="31" t="n">
        <f aca="false">01_Data!$D$82</f>
        <v>34500</v>
      </c>
      <c r="H5" s="2" t="s">
        <v>3078</v>
      </c>
    </row>
    <row r="6" customFormat="false" ht="15" hidden="false" customHeight="false" outlineLevel="0" collapsed="false">
      <c r="A6" s="3" t="s">
        <v>3079</v>
      </c>
      <c r="B6" s="9" t="s">
        <v>3080</v>
      </c>
      <c r="C6" s="2" t="s">
        <v>2220</v>
      </c>
      <c r="D6" s="2" t="s">
        <v>3081</v>
      </c>
      <c r="E6" s="2" t="s">
        <v>3082</v>
      </c>
      <c r="F6" s="2" t="s">
        <v>3083</v>
      </c>
      <c r="G6" s="31" t="n">
        <f aca="false">01_Data!$D$90</f>
        <v>15200</v>
      </c>
      <c r="H6" s="2" t="s">
        <v>3084</v>
      </c>
    </row>
    <row r="7" customFormat="false" ht="15" hidden="false" customHeight="false" outlineLevel="0" collapsed="false">
      <c r="A7" s="3" t="s">
        <v>3085</v>
      </c>
      <c r="B7" s="9" t="s">
        <v>3086</v>
      </c>
      <c r="C7" s="2" t="s">
        <v>2220</v>
      </c>
      <c r="D7" s="2" t="s">
        <v>3087</v>
      </c>
      <c r="E7" s="2" t="s">
        <v>3088</v>
      </c>
      <c r="F7" s="2" t="s">
        <v>3089</v>
      </c>
      <c r="G7" s="31" t="n">
        <f aca="false">01_Data!$D$216</f>
        <v>35000</v>
      </c>
      <c r="H7" s="2" t="s">
        <v>3090</v>
      </c>
    </row>
    <row r="8" customFormat="false" ht="15" hidden="false" customHeight="false" outlineLevel="0" collapsed="false">
      <c r="A8" s="3" t="s">
        <v>3091</v>
      </c>
      <c r="B8" s="9" t="s">
        <v>3092</v>
      </c>
      <c r="C8" s="2" t="s">
        <v>2221</v>
      </c>
      <c r="D8" s="57" t="str">
        <f aca="false">"guaranteed value on "&amp;TEXT(01_Data!$D$28,"0.00")&amp;" GW-IT; option on the remaining capacity; payable only at RFS"</f>
        <v>guaranteed value on 4.25 GW-IT; option on the remaining capacity; payable only at RFS</v>
      </c>
      <c r="E8" s="2" t="s">
        <v>3093</v>
      </c>
      <c r="F8" s="2" t="s">
        <v>3094</v>
      </c>
      <c r="G8" s="31" t="n">
        <f aca="false">01_Data!$D$27</f>
        <v>105000</v>
      </c>
      <c r="H8" s="2" t="s">
        <v>3095</v>
      </c>
    </row>
    <row r="9" customFormat="false" ht="15" hidden="false" customHeight="false" outlineLevel="0" collapsed="false">
      <c r="A9" s="3" t="s">
        <v>3096</v>
      </c>
      <c r="B9" s="9" t="s">
        <v>3097</v>
      </c>
      <c r="C9" s="2" t="s">
        <v>2221</v>
      </c>
      <c r="D9" s="2" t="s">
        <v>3098</v>
      </c>
      <c r="E9" s="2" t="s">
        <v>3099</v>
      </c>
      <c r="F9" s="2" t="s">
        <v>3100</v>
      </c>
      <c r="G9" s="31" t="n">
        <f aca="false">01_Data!$D$275</f>
        <v>2573</v>
      </c>
      <c r="H9" s="2" t="s">
        <v>3101</v>
      </c>
    </row>
    <row r="10" customFormat="false" ht="15" hidden="false" customHeight="false" outlineLevel="0" collapsed="false">
      <c r="A10" s="3" t="s">
        <v>3102</v>
      </c>
      <c r="B10" s="9" t="s">
        <v>3103</v>
      </c>
      <c r="C10" s="2" t="s">
        <v>3104</v>
      </c>
      <c r="D10" s="57" t="str">
        <f aca="false">TEXT(01_Data!$D$267,"0.00%")&amp;" / "&amp;TEXT(01_Data!$D$268,"0.00%")&amp;" / "&amp;TEXT(01_Data!$D$269,"0.000%")</f>
        <v>9.00% / 9.75% / 9.625%</v>
      </c>
      <c r="E10" s="2" t="s">
        <v>3105</v>
      </c>
      <c r="F10" s="2" t="s">
        <v>3106</v>
      </c>
      <c r="G10" s="91" t="s">
        <v>511</v>
      </c>
      <c r="H10" s="2" t="s">
        <v>3107</v>
      </c>
    </row>
    <row r="11" customFormat="false" ht="15" hidden="false" customHeight="false" outlineLevel="0" collapsed="false">
      <c r="A11" s="3" t="s">
        <v>3108</v>
      </c>
      <c r="B11" s="9" t="s">
        <v>3109</v>
      </c>
      <c r="C11" s="2" t="s">
        <v>3104</v>
      </c>
      <c r="D11" s="57" t="str">
        <f aca="false">TEXT(01_Data!$D$288,"0.00")&amp;" and "&amp;TEXT(01_Data!$D$286,"0.00")&amp;" $M per MW-yr"</f>
        <v>1.76 and 2.38 $M per MW-yr</v>
      </c>
      <c r="E11" s="2" t="s">
        <v>3110</v>
      </c>
      <c r="F11" s="2" t="s">
        <v>3111</v>
      </c>
      <c r="G11" s="31" t="n">
        <f aca="false">01_Data!$D$270</f>
        <v>14000</v>
      </c>
      <c r="H11" s="2" t="s">
        <v>3112</v>
      </c>
    </row>
    <row r="12" customFormat="false" ht="15" hidden="false" customHeight="false" outlineLevel="0" collapsed="false">
      <c r="A12" s="3" t="s">
        <v>3113</v>
      </c>
      <c r="B12" s="9" t="s">
        <v>3114</v>
      </c>
      <c r="C12" s="2" t="s">
        <v>2220</v>
      </c>
      <c r="D12" s="57" t="str">
        <f aca="false">TEXT(01_Data!$D$284,"0.0")&amp;" and "&amp;TEXT(01_Data!$D$285,"0.0")&amp;" $M per MW-yr"</f>
        <v>16.3 and 12.5 $M per MW-yr</v>
      </c>
      <c r="E12" s="2" t="s">
        <v>3115</v>
      </c>
      <c r="F12" s="2" t="s">
        <v>3116</v>
      </c>
      <c r="G12" s="31" t="n">
        <f aca="false">01_Data!$D$213+01_Data!$D$222</f>
        <v>55000</v>
      </c>
      <c r="H12" s="2" t="s">
        <v>3117</v>
      </c>
    </row>
    <row r="13" customFormat="false" ht="15" hidden="false" customHeight="false" outlineLevel="0" collapsed="false">
      <c r="A13" s="3" t="s">
        <v>3118</v>
      </c>
      <c r="B13" s="9" t="s">
        <v>3119</v>
      </c>
      <c r="C13" s="2" t="s">
        <v>3104</v>
      </c>
      <c r="D13" s="2" t="s">
        <v>3120</v>
      </c>
      <c r="E13" s="2" t="s">
        <v>3121</v>
      </c>
      <c r="F13" s="2" t="s">
        <v>3122</v>
      </c>
      <c r="G13" s="31" t="n">
        <f aca="false">01_Data!$D$277</f>
        <v>175000</v>
      </c>
      <c r="H13" s="2" t="s">
        <v>3123</v>
      </c>
    </row>
    <row r="14" customFormat="false" ht="15" hidden="false" customHeight="false" outlineLevel="0" collapsed="false">
      <c r="A14" s="3" t="s">
        <v>3124</v>
      </c>
      <c r="B14" s="9" t="s">
        <v>3125</v>
      </c>
      <c r="C14" s="2" t="s">
        <v>3126</v>
      </c>
      <c r="D14" s="57" t="str">
        <f aca="false">TEXT(01_Data!$D$287,"0.00")&amp;" $M per MW-yr (= 19,600 / 704 MW / 15 yr); ~155 per kW-month"</f>
        <v>1.86 $M per MW-yr (= 19,600 / 704 MW / 15 yr); ~155 per kW-month</v>
      </c>
      <c r="E14" s="2" t="s">
        <v>3127</v>
      </c>
      <c r="F14" s="2" t="s">
        <v>3128</v>
      </c>
      <c r="G14" s="31" t="n">
        <f aca="false">01_Data!$D$220</f>
        <v>19600</v>
      </c>
      <c r="H14" s="2" t="s">
        <v>3129</v>
      </c>
    </row>
    <row r="16" customFormat="false" ht="15" hidden="false" customHeight="false" outlineLevel="0" collapsed="false">
      <c r="A16" s="3" t="s">
        <v>3130</v>
      </c>
    </row>
    <row r="17" customFormat="false" ht="15" hidden="false" customHeight="false" outlineLevel="0" collapsed="false">
      <c r="A17" s="8" t="s">
        <v>306</v>
      </c>
      <c r="B17" s="8" t="s">
        <v>3131</v>
      </c>
      <c r="C17" s="8" t="s">
        <v>3132</v>
      </c>
      <c r="D17" s="8" t="s">
        <v>6</v>
      </c>
      <c r="E17" s="8" t="s">
        <v>3133</v>
      </c>
      <c r="F17" s="8" t="s">
        <v>3134</v>
      </c>
    </row>
    <row r="18" customFormat="false" ht="15" hidden="false" customHeight="false" outlineLevel="0" collapsed="false">
      <c r="A18" s="9" t="s">
        <v>3135</v>
      </c>
      <c r="B18" s="21" t="n">
        <f aca="false">(01_Data!$D$267-01_Data!$D$88)*00_Assumptions!$I$90</f>
        <v>325</v>
      </c>
      <c r="C18" s="21" t="n">
        <f aca="false">(01_Data!$D$268-01_Data!$D$88)*00_Assumptions!$I$90</f>
        <v>400</v>
      </c>
      <c r="D18" s="2" t="s">
        <v>3136</v>
      </c>
      <c r="E18" s="7" t="str">
        <f aca="false">IF(ABS((B18)-00_Assumptions!$D$213)&lt;=00_Assumptions!$E$213,"PASS","FAIL: "&amp;TEXT((B18)-00_Assumptions!$D$213,"#,##0.000"))</f>
        <v>PASS</v>
      </c>
      <c r="F18" s="7" t="str">
        <f aca="false">IF(ABS((C18)-00_Assumptions!$D$214)&lt;=00_Assumptions!$E$214,"PASS","FAIL: "&amp;TEXT((C18)-00_Assumptions!$D$214,"#,##0.000"))</f>
        <v>PASS</v>
      </c>
    </row>
    <row r="19" customFormat="false" ht="15" hidden="false" customHeight="false" outlineLevel="0" collapsed="false">
      <c r="A19" s="9" t="s">
        <v>3137</v>
      </c>
      <c r="B19" s="11" t="n">
        <f aca="false">(01_Data!$D$267-01_Data!$D$88)*01_Data!$D$82</f>
        <v>1121.25</v>
      </c>
      <c r="C19" s="11" t="n">
        <f aca="false">(01_Data!$D$268-01_Data!$D$88)*01_Data!$D$82</f>
        <v>1380</v>
      </c>
      <c r="D19" s="2" t="s">
        <v>14</v>
      </c>
      <c r="E19" s="7" t="str">
        <f aca="false">IF(ABS((B19)-00_Assumptions!$D$215)&lt;=00_Assumptions!$E$215,"PASS","FAIL: "&amp;TEXT((B19)-00_Assumptions!$D$215,"#,##0.000"))</f>
        <v>PASS</v>
      </c>
      <c r="F19" s="7" t="str">
        <f aca="false">IF(ABS((C19)-00_Assumptions!$D$216)&lt;=00_Assumptions!$E$216,"PASS","FAIL: "&amp;TEXT((C19)-00_Assumptions!$D$216,"#,##0.000"))</f>
        <v>PASS</v>
      </c>
    </row>
    <row r="20" customFormat="false" ht="15" hidden="false" customHeight="false" outlineLevel="0" collapsed="false">
      <c r="A20" s="3" t="s">
        <v>3138</v>
      </c>
    </row>
    <row r="21" customFormat="false" ht="15" hidden="false" customHeight="false" outlineLevel="0" collapsed="false">
      <c r="A21" s="8" t="s">
        <v>3139</v>
      </c>
      <c r="B21" s="8" t="s">
        <v>2773</v>
      </c>
      <c r="C21" s="8" t="s">
        <v>3140</v>
      </c>
      <c r="D21" s="8" t="s">
        <v>3073</v>
      </c>
      <c r="E21" s="8" t="s">
        <v>12</v>
      </c>
    </row>
    <row r="22" customFormat="false" ht="15" hidden="false" customHeight="false" outlineLevel="0" collapsed="false">
      <c r="A22" s="9" t="s">
        <v>3141</v>
      </c>
      <c r="B22" s="31" t="n">
        <f aca="false">01_Data!$D$27</f>
        <v>105000</v>
      </c>
      <c r="C22" s="2" t="s">
        <v>3093</v>
      </c>
      <c r="D22" s="2" t="s">
        <v>3094</v>
      </c>
      <c r="E22" s="91" t="s">
        <v>3142</v>
      </c>
    </row>
    <row r="23" customFormat="false" ht="15" hidden="false" customHeight="false" outlineLevel="0" collapsed="false">
      <c r="A23" s="9" t="s">
        <v>3143</v>
      </c>
      <c r="B23" s="31" t="n">
        <f aca="false">01_Data!$D$220</f>
        <v>19600</v>
      </c>
      <c r="C23" s="2" t="s">
        <v>3144</v>
      </c>
      <c r="D23" s="2" t="s">
        <v>3145</v>
      </c>
      <c r="E23" s="31" t="n">
        <f aca="false">01_Data!$D$221</f>
        <v>50200</v>
      </c>
    </row>
    <row r="24" customFormat="false" ht="15" hidden="false" customHeight="false" outlineLevel="0" collapsed="false">
      <c r="A24" s="9" t="s">
        <v>3146</v>
      </c>
      <c r="B24" s="31" t="n">
        <f aca="false">01_Data!$D$83</f>
        <v>30000</v>
      </c>
      <c r="C24" s="2" t="s">
        <v>3147</v>
      </c>
      <c r="D24" s="2" t="s">
        <v>3148</v>
      </c>
      <c r="E24" s="91" t="s">
        <v>3149</v>
      </c>
    </row>
    <row r="25" customFormat="false" ht="15" hidden="false" customHeight="false" outlineLevel="0" collapsed="false">
      <c r="A25" s="9" t="s">
        <v>3150</v>
      </c>
      <c r="B25" s="31" t="n">
        <f aca="false">01_Data!$D$90</f>
        <v>15200</v>
      </c>
      <c r="C25" s="2" t="s">
        <v>3151</v>
      </c>
      <c r="D25" s="2" t="s">
        <v>3083</v>
      </c>
      <c r="E25" s="91" t="s">
        <v>3152</v>
      </c>
    </row>
    <row r="26" customFormat="false" ht="15" hidden="false" customHeight="false" outlineLevel="0" collapsed="false">
      <c r="A26" s="9" t="s">
        <v>3153</v>
      </c>
      <c r="B26" s="31" t="n">
        <f aca="false">01_Data!$D$273</f>
        <v>4100</v>
      </c>
      <c r="C26" s="2" t="s">
        <v>3154</v>
      </c>
      <c r="D26" s="2" t="s">
        <v>3155</v>
      </c>
      <c r="E26" s="31" t="n">
        <f aca="false">01_Data!$D$274</f>
        <v>9500</v>
      </c>
    </row>
    <row r="27" customFormat="false" ht="15" hidden="false" customHeight="false" outlineLevel="0" collapsed="false">
      <c r="A27" s="9" t="s">
        <v>1513</v>
      </c>
      <c r="B27" s="31" t="n">
        <f aca="false">01_Data!$D$275</f>
        <v>2573</v>
      </c>
      <c r="C27" s="2" t="s">
        <v>3156</v>
      </c>
      <c r="D27" s="2" t="s">
        <v>3157</v>
      </c>
      <c r="E27" s="91" t="s">
        <v>3158</v>
      </c>
    </row>
    <row r="28" customFormat="false" ht="15" hidden="false" customHeight="false" outlineLevel="0" collapsed="false">
      <c r="A28" s="9" t="s">
        <v>3159</v>
      </c>
      <c r="B28" s="31" t="n">
        <f aca="false">01_Data!$D$276</f>
        <v>6500</v>
      </c>
      <c r="C28" s="2" t="s">
        <v>3160</v>
      </c>
      <c r="D28" s="2" t="s">
        <v>3161</v>
      </c>
      <c r="E28" s="91" t="s">
        <v>3162</v>
      </c>
    </row>
    <row r="29" customFormat="false" ht="15" hidden="false" customHeight="false" outlineLevel="0" collapsed="false">
      <c r="A29" s="9" t="s">
        <v>3163</v>
      </c>
      <c r="B29" s="31" t="str">
        <f aca="false">01_Data!$D$283</f>
        <v>the 30,000 OpenAI investment 'might be the last time'; the 100,000 LOI 'probably not in the cards'</v>
      </c>
      <c r="C29" s="2" t="s">
        <v>3093</v>
      </c>
      <c r="D29" s="2" t="s">
        <v>3164</v>
      </c>
      <c r="E29" s="91" t="s">
        <v>720</v>
      </c>
    </row>
    <row r="30" customFormat="false" ht="15" hidden="false" customHeight="false" outlineLevel="0" collapsed="false">
      <c r="A30" s="2" t="s">
        <v>3165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M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9"/>
    <col collapsed="false" customWidth="true" hidden="false" outlineLevel="0" max="4" min="3" style="1" width="10"/>
    <col collapsed="false" customWidth="true" hidden="false" outlineLevel="0" max="5" min="5" style="1" width="70"/>
    <col collapsed="false" customWidth="true" hidden="false" outlineLevel="0" max="6" min="6" style="1" width="30"/>
    <col collapsed="false" customWidth="true" hidden="false" outlineLevel="0" max="7" min="7" style="1" width="26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8"/>
    <col collapsed="false" customWidth="true" hidden="false" outlineLevel="0" max="11" min="11" style="1" width="40"/>
    <col collapsed="false" customWidth="true" hidden="false" outlineLevel="0" max="12" min="12" style="1" width="14"/>
    <col collapsed="false" customWidth="true" hidden="false" outlineLevel="0" max="13" min="13" style="1" width="20"/>
  </cols>
  <sheetData>
    <row r="1" customFormat="false" ht="15" hidden="false" customHeight="false" outlineLevel="0" collapsed="false">
      <c r="A1" s="2" t="s">
        <v>3166</v>
      </c>
    </row>
    <row r="2" customFormat="false" ht="15" hidden="false" customHeight="false" outlineLevel="0" collapsed="false">
      <c r="A2" s="2" t="s">
        <v>3167</v>
      </c>
    </row>
    <row r="4" customFormat="false" ht="22.35" hidden="false" customHeight="false" outlineLevel="0" collapsed="false">
      <c r="A4" s="8" t="s">
        <v>3168</v>
      </c>
      <c r="B4" s="8" t="s">
        <v>3169</v>
      </c>
      <c r="C4" s="8" t="s">
        <v>3170</v>
      </c>
      <c r="D4" s="8" t="s">
        <v>3171</v>
      </c>
      <c r="E4" s="8" t="s">
        <v>3172</v>
      </c>
      <c r="F4" s="8" t="s">
        <v>2425</v>
      </c>
      <c r="G4" s="8" t="s">
        <v>3173</v>
      </c>
      <c r="H4" s="8" t="s">
        <v>3174</v>
      </c>
      <c r="I4" s="8" t="s">
        <v>3175</v>
      </c>
      <c r="J4" s="8" t="s">
        <v>3176</v>
      </c>
      <c r="K4" s="8" t="s">
        <v>3177</v>
      </c>
      <c r="L4" s="8" t="s">
        <v>3178</v>
      </c>
    </row>
    <row r="5" customFormat="false" ht="15" hidden="false" customHeight="false" outlineLevel="0" collapsed="false">
      <c r="A5" s="84" t="s">
        <v>3179</v>
      </c>
    </row>
    <row r="6" customFormat="false" ht="15" hidden="false" customHeight="false" outlineLevel="0" collapsed="false">
      <c r="A6" s="9" t="s">
        <v>3180</v>
      </c>
      <c r="B6" s="51" t="n">
        <f aca="false">01_Data!$D$323</f>
        <v>0.4</v>
      </c>
      <c r="C6" s="53" t="n">
        <f aca="false">01_Data!$D$334</f>
        <v>10</v>
      </c>
      <c r="D6" s="16" t="n">
        <f aca="false">01_Data!$D$355</f>
        <v>8</v>
      </c>
      <c r="E6" s="2" t="s">
        <v>3181</v>
      </c>
      <c r="F6" s="2" t="s">
        <v>3182</v>
      </c>
      <c r="G6" s="2" t="s">
        <v>3183</v>
      </c>
      <c r="H6" s="92" t="n">
        <f aca="false">D6-C6</f>
        <v>-2</v>
      </c>
      <c r="I6" s="93" t="n">
        <f aca="false">B6*H6</f>
        <v>-0.8</v>
      </c>
      <c r="J6" s="7" t="str">
        <f aca="false">IF(ABS(H6)&gt;=01_Data!$D$382,"FLAG","")</f>
        <v>FLAG</v>
      </c>
      <c r="K6" s="2" t="s">
        <v>3184</v>
      </c>
    </row>
    <row r="7" customFormat="false" ht="15" hidden="false" customHeight="false" outlineLevel="0" collapsed="false">
      <c r="A7" s="9" t="s">
        <v>3185</v>
      </c>
      <c r="B7" s="51" t="n">
        <f aca="false">01_Data!$D$324</f>
        <v>0.25</v>
      </c>
      <c r="C7" s="53" t="n">
        <f aca="false">01_Data!$D$335</f>
        <v>4</v>
      </c>
      <c r="D7" s="16" t="n">
        <f aca="false">01_Data!$D$356</f>
        <v>5</v>
      </c>
      <c r="E7" s="2" t="s">
        <v>3186</v>
      </c>
      <c r="F7" s="2" t="s">
        <v>3187</v>
      </c>
      <c r="G7" s="2" t="s">
        <v>3188</v>
      </c>
      <c r="H7" s="92" t="n">
        <f aca="false">D7-C7</f>
        <v>1</v>
      </c>
      <c r="I7" s="93" t="n">
        <f aca="false">B7*H7</f>
        <v>0.25</v>
      </c>
      <c r="J7" s="7" t="str">
        <f aca="false">IF(ABS(H7)&gt;=01_Data!$D$382,"FLAG","")</f>
        <v>FLAG</v>
      </c>
      <c r="K7" s="2" t="s">
        <v>3189</v>
      </c>
    </row>
    <row r="8" customFormat="false" ht="15" hidden="false" customHeight="false" outlineLevel="0" collapsed="false">
      <c r="A8" s="9" t="s">
        <v>3190</v>
      </c>
      <c r="B8" s="51" t="n">
        <f aca="false">01_Data!$D$325</f>
        <v>0.2</v>
      </c>
      <c r="C8" s="53" t="n">
        <f aca="false">01_Data!$D$336</f>
        <v>9</v>
      </c>
      <c r="D8" s="16" t="n">
        <f aca="false">01_Data!$D$357</f>
        <v>9</v>
      </c>
      <c r="E8" s="2" t="s">
        <v>3191</v>
      </c>
      <c r="F8" s="2" t="s">
        <v>366</v>
      </c>
      <c r="G8" s="2" t="s">
        <v>3192</v>
      </c>
      <c r="H8" s="92" t="n">
        <f aca="false">D8-C8</f>
        <v>0</v>
      </c>
      <c r="I8" s="93" t="n">
        <f aca="false">B8*H8</f>
        <v>0</v>
      </c>
      <c r="J8" s="7" t="str">
        <f aca="false">IF(ABS(H8)&gt;=01_Data!$D$382,"FLAG","")</f>
        <v/>
      </c>
      <c r="K8" s="2" t="s">
        <v>3193</v>
      </c>
    </row>
    <row r="9" customFormat="false" ht="15" hidden="false" customHeight="false" outlineLevel="0" collapsed="false">
      <c r="A9" s="9" t="s">
        <v>3194</v>
      </c>
      <c r="B9" s="51" t="n">
        <f aca="false">01_Data!$D$326</f>
        <v>0.15</v>
      </c>
      <c r="C9" s="53" t="n">
        <f aca="false">01_Data!$D$337</f>
        <v>8</v>
      </c>
      <c r="D9" s="16" t="n">
        <f aca="false">IF(SW_15B_FACILITY="Closes",01_Data!$D$359,01_Data!$D$358)</f>
        <v>7.5</v>
      </c>
      <c r="E9" s="2" t="s">
        <v>3195</v>
      </c>
      <c r="F9" s="2" t="s">
        <v>3196</v>
      </c>
      <c r="G9" s="2" t="s">
        <v>3197</v>
      </c>
      <c r="H9" s="92" t="n">
        <f aca="false">D9-C9</f>
        <v>-0.5</v>
      </c>
      <c r="I9" s="93" t="n">
        <f aca="false">B9*H9</f>
        <v>-0.075</v>
      </c>
      <c r="J9" s="7" t="str">
        <f aca="false">IF(ABS(H9)&gt;=01_Data!$D$382,"FLAG","")</f>
        <v>FLAG</v>
      </c>
      <c r="K9" s="2" t="str">
        <f aca="false">"does not close "&amp;TEXT(01_Data!$D$358,"0.0")&amp;" (default) / closes "&amp;TEXT(01_Data!$D$359,"0.0")</f>
        <v>does not close 7.5 (default) / closes 7.0</v>
      </c>
      <c r="L9" s="57" t="str">
        <f aca="false">SW_15B_FACILITY</f>
        <v>Does not close</v>
      </c>
    </row>
    <row r="10" customFormat="false" ht="15" hidden="false" customHeight="false" outlineLevel="0" collapsed="false">
      <c r="A10" s="3" t="s">
        <v>3198</v>
      </c>
      <c r="B10" s="30" t="n">
        <f aca="false">SUM(B6:B9)</f>
        <v>1</v>
      </c>
      <c r="C10" s="94" t="n">
        <f aca="false">SUMPRODUCT(B6:B9,C6:C9)</f>
        <v>8</v>
      </c>
      <c r="D10" s="94" t="n">
        <f aca="false">SUMPRODUCT(B6:B9,D6:D9)</f>
        <v>7.375</v>
      </c>
      <c r="E10" s="2" t="s">
        <v>3199</v>
      </c>
      <c r="F10" s="80" t="n">
        <f aca="false">01_Data!$D$323*01_Data!$D$355+01_Data!$D$324*01_Data!$D$356+01_Data!$D$325*01_Data!$D$357+01_Data!$D$326*01_Data!$D$358</f>
        <v>7.375</v>
      </c>
      <c r="G10" s="80" t="n">
        <f aca="false">01_Data!$D$323*01_Data!$D$355+01_Data!$D$324*01_Data!$D$356+01_Data!$D$325*01_Data!$D$357+01_Data!$D$326*01_Data!$D$359</f>
        <v>7.3</v>
      </c>
      <c r="H10" s="94" t="n">
        <f aca="false">D10-C10</f>
        <v>-0.625</v>
      </c>
      <c r="I10" s="7" t="str">
        <f aca="false">IF(ABS((F10)-00_Assumptions!$D$187)&lt;=00_Assumptions!$E$187,"PASS","FAIL: "&amp;TEXT((F10)-00_Assumptions!$D$187,"#,##0.000"))</f>
        <v>PASS</v>
      </c>
      <c r="J10" s="7" t="str">
        <f aca="false">IF(ABS((G10)-00_Assumptions!$D$188)&lt;=00_Assumptions!$E$188,"PASS","FAIL: "&amp;TEXT((G10)-00_Assumptions!$D$188,"#,##0.000"))</f>
        <v>PASS</v>
      </c>
      <c r="K10" s="2" t="s">
        <v>3200</v>
      </c>
      <c r="L10" s="80" t="n">
        <f aca="false">H10*01_Data!$D$332</f>
        <v>-0.125</v>
      </c>
      <c r="M10" s="2" t="s">
        <v>3201</v>
      </c>
    </row>
    <row r="12" customFormat="false" ht="15" hidden="false" customHeight="false" outlineLevel="0" collapsed="false">
      <c r="A12" s="84" t="s">
        <v>3202</v>
      </c>
    </row>
    <row r="13" customFormat="false" ht="15" hidden="false" customHeight="false" outlineLevel="0" collapsed="false">
      <c r="A13" s="9" t="s">
        <v>3203</v>
      </c>
      <c r="B13" s="51" t="n">
        <f aca="false">01_Data!$D$327</f>
        <v>0.3</v>
      </c>
      <c r="C13" s="53" t="n">
        <f aca="false">01_Data!$D$338</f>
        <v>6</v>
      </c>
      <c r="D13" s="16" t="n">
        <f aca="false">01_Data!$D$360</f>
        <v>7</v>
      </c>
      <c r="E13" s="2" t="s">
        <v>3204</v>
      </c>
      <c r="F13" s="2" t="s">
        <v>3205</v>
      </c>
      <c r="G13" s="2" t="s">
        <v>3206</v>
      </c>
      <c r="H13" s="92" t="n">
        <f aca="false">D13-C13</f>
        <v>1</v>
      </c>
      <c r="I13" s="93" t="n">
        <f aca="false">B13*H13</f>
        <v>0.3</v>
      </c>
      <c r="J13" s="7" t="str">
        <f aca="false">IF(ABS(H13)&gt;=01_Data!$D$382,"FLAG","")</f>
        <v>FLAG</v>
      </c>
      <c r="K13" s="2" t="s">
        <v>3207</v>
      </c>
    </row>
    <row r="14" customFormat="false" ht="15" hidden="false" customHeight="false" outlineLevel="0" collapsed="false">
      <c r="A14" s="9" t="s">
        <v>3208</v>
      </c>
      <c r="B14" s="51" t="n">
        <f aca="false">01_Data!$D$328</f>
        <v>0.25</v>
      </c>
      <c r="C14" s="53" t="n">
        <f aca="false">01_Data!$D$339</f>
        <v>4</v>
      </c>
      <c r="D14" s="16" t="n">
        <f aca="false">01_Data!$D$361</f>
        <v>5</v>
      </c>
      <c r="E14" s="2" t="s">
        <v>3209</v>
      </c>
      <c r="F14" s="2" t="s">
        <v>3210</v>
      </c>
      <c r="G14" s="2" t="s">
        <v>3211</v>
      </c>
      <c r="H14" s="92" t="n">
        <f aca="false">D14-C14</f>
        <v>1</v>
      </c>
      <c r="I14" s="93" t="n">
        <f aca="false">B14*H14</f>
        <v>0.25</v>
      </c>
      <c r="J14" s="7" t="str">
        <f aca="false">IF(ABS(H14)&gt;=01_Data!$D$382,"FLAG","")</f>
        <v>FLAG</v>
      </c>
      <c r="K14" s="2" t="s">
        <v>3212</v>
      </c>
    </row>
    <row r="15" customFormat="false" ht="15" hidden="false" customHeight="false" outlineLevel="0" collapsed="false">
      <c r="A15" s="9" t="s">
        <v>3213</v>
      </c>
      <c r="B15" s="51" t="n">
        <f aca="false">01_Data!$D$329</f>
        <v>0.2</v>
      </c>
      <c r="C15" s="53" t="n">
        <f aca="false">01_Data!$D$340</f>
        <v>5</v>
      </c>
      <c r="D15" s="16" t="n">
        <f aca="false">01_Data!$D$362</f>
        <v>4</v>
      </c>
      <c r="E15" s="2" t="s">
        <v>3214</v>
      </c>
      <c r="F15" s="2" t="s">
        <v>3215</v>
      </c>
      <c r="G15" s="2" t="s">
        <v>3216</v>
      </c>
      <c r="H15" s="92" t="n">
        <f aca="false">D15-C15</f>
        <v>-1</v>
      </c>
      <c r="I15" s="93" t="n">
        <f aca="false">B15*H15</f>
        <v>-0.2</v>
      </c>
      <c r="J15" s="7" t="str">
        <f aca="false">IF(ABS(H15)&gt;=01_Data!$D$382,"FLAG","")</f>
        <v>FLAG</v>
      </c>
      <c r="K15" s="2" t="s">
        <v>3217</v>
      </c>
    </row>
    <row r="16" customFormat="false" ht="15" hidden="false" customHeight="false" outlineLevel="0" collapsed="false">
      <c r="A16" s="9" t="s">
        <v>3218</v>
      </c>
      <c r="B16" s="51" t="n">
        <f aca="false">01_Data!$D$330</f>
        <v>0.15</v>
      </c>
      <c r="C16" s="53" t="n">
        <f aca="false">01_Data!$D$341</f>
        <v>5</v>
      </c>
      <c r="D16" s="16" t="n">
        <f aca="false">01_Data!$D$363</f>
        <v>6</v>
      </c>
      <c r="E16" s="2" t="s">
        <v>3219</v>
      </c>
      <c r="F16" s="2" t="s">
        <v>3220</v>
      </c>
      <c r="G16" s="2" t="s">
        <v>3206</v>
      </c>
      <c r="H16" s="92" t="n">
        <f aca="false">D16-C16</f>
        <v>1</v>
      </c>
      <c r="I16" s="93" t="n">
        <f aca="false">B16*H16</f>
        <v>0.15</v>
      </c>
      <c r="J16" s="7" t="str">
        <f aca="false">IF(ABS(H16)&gt;=01_Data!$D$382,"FLAG","")</f>
        <v>FLAG</v>
      </c>
      <c r="K16" s="2" t="s">
        <v>3221</v>
      </c>
    </row>
    <row r="17" customFormat="false" ht="15" hidden="false" customHeight="false" outlineLevel="0" collapsed="false">
      <c r="A17" s="9" t="s">
        <v>3222</v>
      </c>
      <c r="B17" s="51" t="n">
        <f aca="false">01_Data!$D$331</f>
        <v>0.1</v>
      </c>
      <c r="C17" s="53" t="n">
        <f aca="false">01_Data!$D$342</f>
        <v>5</v>
      </c>
      <c r="D17" s="16" t="n">
        <f aca="false">01_Data!$D$364</f>
        <v>5</v>
      </c>
      <c r="E17" s="2" t="s">
        <v>3223</v>
      </c>
      <c r="F17" s="2" t="s">
        <v>3224</v>
      </c>
      <c r="G17" s="2" t="s">
        <v>3225</v>
      </c>
      <c r="H17" s="92" t="n">
        <f aca="false">D17-C17</f>
        <v>0</v>
      </c>
      <c r="I17" s="93" t="n">
        <f aca="false">B17*H17</f>
        <v>0</v>
      </c>
      <c r="J17" s="7" t="str">
        <f aca="false">IF(ABS(H17)&gt;=01_Data!$D$382,"FLAG","")</f>
        <v/>
      </c>
      <c r="K17" s="2" t="s">
        <v>2685</v>
      </c>
    </row>
    <row r="18" customFormat="false" ht="15" hidden="false" customHeight="false" outlineLevel="0" collapsed="false">
      <c r="A18" s="3" t="s">
        <v>3226</v>
      </c>
      <c r="B18" s="30" t="n">
        <f aca="false">SUM(B13:B17)</f>
        <v>1</v>
      </c>
      <c r="C18" s="94" t="n">
        <f aca="false">SUMPRODUCT(B13:B17,C13:C17)</f>
        <v>5.05</v>
      </c>
      <c r="D18" s="94" t="n">
        <f aca="false">SUMPRODUCT(B13:B17,D13:D17)</f>
        <v>5.55</v>
      </c>
      <c r="E18" s="2" t="s">
        <v>3227</v>
      </c>
      <c r="F18" s="80" t="n">
        <f aca="false">D18-01_Data!$D$352</f>
        <v>-0.25</v>
      </c>
      <c r="H18" s="94" t="n">
        <f aca="false">D18-C18</f>
        <v>0.5</v>
      </c>
      <c r="I18" s="7" t="str">
        <f aca="false">IF(ABS((D18)-00_Assumptions!$D$189)&lt;=00_Assumptions!$E$189,"PASS","FAIL: "&amp;TEXT((D18)-00_Assumptions!$D$189,"#,##0.000"))</f>
        <v>PASS</v>
      </c>
      <c r="K18" s="57" t="str">
        <f aca="false">"canonical CI after the un-decomposed SpaceX revision = "&amp;TEXT(01_Data!$D$352,"0.00")&amp;"; delta vs canonical = "&amp;TEXT(D18-01_Data!$D$352,"0.000")</f>
        <v>canonical CI after the un-decomposed SpaceX revision = 5.80; delta vs canonical = -0.250</v>
      </c>
      <c r="L18" s="80" t="n">
        <f aca="false">H18*01_Data!$D$333</f>
        <v>0.075</v>
      </c>
      <c r="M18" s="2" t="s">
        <v>3228</v>
      </c>
    </row>
    <row r="20" customFormat="false" ht="15" hidden="false" customHeight="false" outlineLevel="0" collapsed="false">
      <c r="A20" s="84" t="s">
        <v>3229</v>
      </c>
    </row>
    <row r="21" customFormat="false" ht="15" hidden="false" customHeight="false" outlineLevel="0" collapsed="false">
      <c r="A21" s="9" t="s">
        <v>3230</v>
      </c>
      <c r="B21" s="51" t="n">
        <f aca="false">01_Data!$D$323</f>
        <v>0.4</v>
      </c>
      <c r="C21" s="53" t="n">
        <f aca="false">01_Data!$D$343</f>
        <v>3</v>
      </c>
      <c r="D21" s="16" t="n">
        <f aca="false">IF(SW_OAI_BASIS="NET",01_Data!$D$365,01_Data!$D$366)</f>
        <v>5</v>
      </c>
      <c r="E21" s="2" t="s">
        <v>3231</v>
      </c>
      <c r="F21" s="2" t="s">
        <v>3232</v>
      </c>
      <c r="G21" s="2" t="s">
        <v>3233</v>
      </c>
      <c r="H21" s="92" t="n">
        <f aca="false">D21-C21</f>
        <v>2</v>
      </c>
      <c r="I21" s="93" t="n">
        <f aca="false">B21*H21</f>
        <v>0.8</v>
      </c>
      <c r="J21" s="7" t="str">
        <f aca="false">IF(ABS(H21)&gt;=01_Data!$D$382,"FLAG","")</f>
        <v>FLAG</v>
      </c>
      <c r="K21" s="2" t="str">
        <f aca="false">"NET 5.0 / GROSS 4.0; live = "&amp;SW_OAI_BASIS</f>
        <v>NET 5.0 / GROSS 4.0; live = NET</v>
      </c>
      <c r="L21" s="57" t="str">
        <f aca="false">SW_OAI_BASIS</f>
        <v>NET</v>
      </c>
    </row>
    <row r="22" customFormat="false" ht="15" hidden="false" customHeight="false" outlineLevel="0" collapsed="false">
      <c r="A22" s="9" t="s">
        <v>3185</v>
      </c>
      <c r="B22" s="51" t="n">
        <f aca="false">01_Data!$D$324</f>
        <v>0.25</v>
      </c>
      <c r="C22" s="53" t="n">
        <f aca="false">01_Data!$D$344</f>
        <v>3.5</v>
      </c>
      <c r="D22" s="16" t="n">
        <f aca="false">01_Data!$D$367</f>
        <v>3.5</v>
      </c>
      <c r="E22" s="2" t="s">
        <v>3234</v>
      </c>
      <c r="F22" s="2" t="s">
        <v>3235</v>
      </c>
      <c r="G22" s="2" t="s">
        <v>3236</v>
      </c>
      <c r="H22" s="92" t="n">
        <f aca="false">D22-C22</f>
        <v>0</v>
      </c>
      <c r="I22" s="93" t="n">
        <f aca="false">B22*H22</f>
        <v>0</v>
      </c>
      <c r="J22" s="7" t="str">
        <f aca="false">IF(ABS(H22)&gt;=01_Data!$D$382,"FLAG","")</f>
        <v/>
      </c>
      <c r="K22" s="2" t="s">
        <v>2685</v>
      </c>
    </row>
    <row r="23" customFormat="false" ht="15" hidden="false" customHeight="false" outlineLevel="0" collapsed="false">
      <c r="A23" s="9" t="s">
        <v>3237</v>
      </c>
      <c r="B23" s="51" t="n">
        <f aca="false">01_Data!$D$325</f>
        <v>0.2</v>
      </c>
      <c r="C23" s="53" t="n">
        <f aca="false">01_Data!$D$345</f>
        <v>3</v>
      </c>
      <c r="D23" s="16" t="n">
        <f aca="false">01_Data!$D$368</f>
        <v>3</v>
      </c>
      <c r="E23" s="2" t="s">
        <v>3238</v>
      </c>
      <c r="F23" s="2" t="s">
        <v>388</v>
      </c>
      <c r="G23" s="2" t="s">
        <v>3225</v>
      </c>
      <c r="H23" s="92" t="n">
        <f aca="false">D23-C23</f>
        <v>0</v>
      </c>
      <c r="I23" s="93" t="n">
        <f aca="false">B23*H23</f>
        <v>0</v>
      </c>
      <c r="J23" s="7" t="str">
        <f aca="false">IF(ABS(H23)&gt;=01_Data!$D$382,"FLAG","")</f>
        <v/>
      </c>
      <c r="K23" s="2" t="s">
        <v>2685</v>
      </c>
    </row>
    <row r="24" customFormat="false" ht="15" hidden="false" customHeight="false" outlineLevel="0" collapsed="false">
      <c r="A24" s="9" t="s">
        <v>3239</v>
      </c>
      <c r="B24" s="51" t="n">
        <f aca="false">01_Data!$D$326</f>
        <v>0.15</v>
      </c>
      <c r="C24" s="53" t="n">
        <f aca="false">01_Data!$D$346</f>
        <v>2.5</v>
      </c>
      <c r="D24" s="16" t="n">
        <f aca="false">01_Data!$D$369</f>
        <v>3</v>
      </c>
      <c r="E24" s="2" t="s">
        <v>3240</v>
      </c>
      <c r="F24" s="2" t="s">
        <v>3241</v>
      </c>
      <c r="G24" s="2" t="s">
        <v>3242</v>
      </c>
      <c r="H24" s="92" t="n">
        <f aca="false">D24-C24</f>
        <v>0.5</v>
      </c>
      <c r="I24" s="93" t="n">
        <f aca="false">B24*H24</f>
        <v>0.075</v>
      </c>
      <c r="J24" s="7" t="str">
        <f aca="false">IF(ABS(H24)&gt;=01_Data!$D$382,"FLAG","")</f>
        <v>FLAG</v>
      </c>
      <c r="K24" s="2" t="s">
        <v>3243</v>
      </c>
    </row>
    <row r="25" customFormat="false" ht="15" hidden="false" customHeight="false" outlineLevel="0" collapsed="false">
      <c r="A25" s="3" t="s">
        <v>3244</v>
      </c>
      <c r="B25" s="30" t="n">
        <f aca="false">SUM(B21:B24)</f>
        <v>1</v>
      </c>
      <c r="C25" s="94" t="n">
        <f aca="false">SUMPRODUCT(B21:B24,C21:C24)</f>
        <v>3.05</v>
      </c>
      <c r="D25" s="94" t="n">
        <f aca="false">SUMPRODUCT(B21:B24,D21:D24)</f>
        <v>3.925</v>
      </c>
      <c r="E25" s="2" t="s">
        <v>3245</v>
      </c>
      <c r="F25" s="80" t="n">
        <f aca="false">01_Data!$D$323*01_Data!$D$366+01_Data!$D$324*01_Data!$D$367+01_Data!$D$325*01_Data!$D$368+01_Data!$D$326*01_Data!$D$369</f>
        <v>3.525</v>
      </c>
      <c r="H25" s="94" t="n">
        <f aca="false">D25-C25</f>
        <v>0.875</v>
      </c>
      <c r="I25" s="7" t="str">
        <f aca="false">IF(ABS((D25)-00_Assumptions!$D$190)&lt;=00_Assumptions!$E$190,"PASS","FAIL: "&amp;TEXT((D25)-00_Assumptions!$D$190,"#,##0.000"))</f>
        <v>PASS</v>
      </c>
      <c r="L25" s="80" t="n">
        <f aca="false">H25*01_Data!$D$332</f>
        <v>0.175</v>
      </c>
    </row>
    <row r="27" customFormat="false" ht="15" hidden="false" customHeight="false" outlineLevel="0" collapsed="false">
      <c r="A27" s="84" t="s">
        <v>3246</v>
      </c>
    </row>
    <row r="28" customFormat="false" ht="15" hidden="false" customHeight="false" outlineLevel="0" collapsed="false">
      <c r="A28" s="9" t="s">
        <v>3203</v>
      </c>
      <c r="B28" s="51" t="n">
        <f aca="false">01_Data!$D$327</f>
        <v>0.3</v>
      </c>
      <c r="C28" s="53" t="n">
        <f aca="false">01_Data!$D$347</f>
        <v>5.5</v>
      </c>
      <c r="D28" s="16" t="n">
        <f aca="false">01_Data!$D$370</f>
        <v>6</v>
      </c>
      <c r="E28" s="2" t="s">
        <v>3247</v>
      </c>
      <c r="F28" s="2" t="s">
        <v>3248</v>
      </c>
      <c r="G28" s="2" t="s">
        <v>3206</v>
      </c>
      <c r="H28" s="92" t="n">
        <f aca="false">D28-C28</f>
        <v>0.5</v>
      </c>
      <c r="I28" s="93" t="n">
        <f aca="false">B28*H28</f>
        <v>0.15</v>
      </c>
      <c r="J28" s="7" t="str">
        <f aca="false">IF(ABS(H28)&gt;=01_Data!$D$382,"FLAG","")</f>
        <v>FLAG</v>
      </c>
      <c r="K28" s="2" t="s">
        <v>2685</v>
      </c>
    </row>
    <row r="29" customFormat="false" ht="15" hidden="false" customHeight="false" outlineLevel="0" collapsed="false">
      <c r="A29" s="9" t="s">
        <v>3208</v>
      </c>
      <c r="B29" s="51" t="n">
        <f aca="false">01_Data!$D$328</f>
        <v>0.25</v>
      </c>
      <c r="C29" s="53" t="n">
        <f aca="false">01_Data!$D$348</f>
        <v>3</v>
      </c>
      <c r="D29" s="16" t="n">
        <f aca="false">01_Data!$D$371</f>
        <v>6</v>
      </c>
      <c r="E29" s="2" t="s">
        <v>3249</v>
      </c>
      <c r="F29" s="2" t="s">
        <v>3250</v>
      </c>
      <c r="G29" s="2" t="s">
        <v>3251</v>
      </c>
      <c r="H29" s="92" t="n">
        <f aca="false">D29-C29</f>
        <v>3</v>
      </c>
      <c r="I29" s="93" t="n">
        <f aca="false">B29*H29</f>
        <v>0.75</v>
      </c>
      <c r="J29" s="7" t="str">
        <f aca="false">IF(ABS(H29)&gt;=01_Data!$D$382,"FLAG","")</f>
        <v>FLAG</v>
      </c>
      <c r="K29" s="2" t="s">
        <v>3252</v>
      </c>
    </row>
    <row r="30" customFormat="false" ht="15" hidden="false" customHeight="false" outlineLevel="0" collapsed="false">
      <c r="A30" s="9" t="s">
        <v>3213</v>
      </c>
      <c r="B30" s="51" t="n">
        <f aca="false">01_Data!$D$329</f>
        <v>0.2</v>
      </c>
      <c r="C30" s="53" t="n">
        <f aca="false">01_Data!$D$349</f>
        <v>4</v>
      </c>
      <c r="D30" s="16" t="n">
        <f aca="false">01_Data!$D$372</f>
        <v>4</v>
      </c>
      <c r="E30" s="2" t="s">
        <v>3253</v>
      </c>
      <c r="F30" s="2" t="s">
        <v>3254</v>
      </c>
      <c r="G30" s="2" t="s">
        <v>3236</v>
      </c>
      <c r="H30" s="92" t="n">
        <f aca="false">D30-C30</f>
        <v>0</v>
      </c>
      <c r="I30" s="93" t="n">
        <f aca="false">B30*H30</f>
        <v>0</v>
      </c>
      <c r="J30" s="7" t="str">
        <f aca="false">IF(ABS(H30)&gt;=01_Data!$D$382,"FLAG","")</f>
        <v/>
      </c>
      <c r="K30" s="2" t="s">
        <v>2685</v>
      </c>
    </row>
    <row r="31" customFormat="false" ht="15" hidden="false" customHeight="false" outlineLevel="0" collapsed="false">
      <c r="A31" s="9" t="s">
        <v>3218</v>
      </c>
      <c r="B31" s="51" t="n">
        <f aca="false">01_Data!$D$330</f>
        <v>0.15</v>
      </c>
      <c r="C31" s="53" t="n">
        <f aca="false">01_Data!$D$350</f>
        <v>6</v>
      </c>
      <c r="D31" s="16" t="n">
        <f aca="false">01_Data!$D$373</f>
        <v>7</v>
      </c>
      <c r="E31" s="2" t="s">
        <v>3255</v>
      </c>
      <c r="F31" s="2" t="s">
        <v>3256</v>
      </c>
      <c r="G31" s="2" t="s">
        <v>3251</v>
      </c>
      <c r="H31" s="92" t="n">
        <f aca="false">D31-C31</f>
        <v>1</v>
      </c>
      <c r="I31" s="93" t="n">
        <f aca="false">B31*H31</f>
        <v>0.15</v>
      </c>
      <c r="J31" s="7" t="str">
        <f aca="false">IF(ABS(H31)&gt;=01_Data!$D$382,"FLAG","")</f>
        <v>FLAG</v>
      </c>
      <c r="K31" s="2" t="s">
        <v>3257</v>
      </c>
    </row>
    <row r="32" customFormat="false" ht="15" hidden="false" customHeight="false" outlineLevel="0" collapsed="false">
      <c r="A32" s="9" t="s">
        <v>3222</v>
      </c>
      <c r="B32" s="51" t="n">
        <f aca="false">01_Data!$D$331</f>
        <v>0.1</v>
      </c>
      <c r="C32" s="53" t="n">
        <f aca="false">01_Data!$D$351</f>
        <v>4</v>
      </c>
      <c r="D32" s="16" t="n">
        <f aca="false">01_Data!$D$374</f>
        <v>4.5</v>
      </c>
      <c r="E32" s="2" t="s">
        <v>3258</v>
      </c>
      <c r="F32" s="2" t="s">
        <v>3259</v>
      </c>
      <c r="G32" s="2" t="s">
        <v>3260</v>
      </c>
      <c r="H32" s="92" t="n">
        <f aca="false">D32-C32</f>
        <v>0.5</v>
      </c>
      <c r="I32" s="93" t="n">
        <f aca="false">B32*H32</f>
        <v>0.05</v>
      </c>
      <c r="J32" s="7" t="str">
        <f aca="false">IF(ABS(H32)&gt;=01_Data!$D$382,"FLAG","")</f>
        <v>FLAG</v>
      </c>
      <c r="K32" s="2" t="s">
        <v>2685</v>
      </c>
    </row>
    <row r="33" customFormat="false" ht="15" hidden="false" customHeight="false" outlineLevel="0" collapsed="false">
      <c r="A33" s="3" t="s">
        <v>3261</v>
      </c>
      <c r="B33" s="30" t="n">
        <f aca="false">SUM(B28:B32)</f>
        <v>1</v>
      </c>
      <c r="C33" s="94" t="n">
        <f aca="false">SUMPRODUCT(B28:B32,C28:C32)</f>
        <v>4.5</v>
      </c>
      <c r="D33" s="94" t="n">
        <f aca="false">SUMPRODUCT(B28:B32,D28:D32)</f>
        <v>5.6</v>
      </c>
      <c r="H33" s="94" t="n">
        <f aca="false">D33-C33</f>
        <v>1.1</v>
      </c>
      <c r="I33" s="7" t="str">
        <f aca="false">IF(ABS((D33)-00_Assumptions!$D$191)&lt;=00_Assumptions!$E$191,"PASS","FAIL: "&amp;TEXT((D33)-00_Assumptions!$D$191,"#,##0.000"))</f>
        <v>PASS</v>
      </c>
      <c r="L33" s="80" t="n">
        <f aca="false">H33*01_Data!$D$333</f>
        <v>0.165</v>
      </c>
    </row>
    <row r="35" customFormat="false" ht="15" hidden="false" customHeight="false" outlineLevel="0" collapsed="false">
      <c r="A35" s="84" t="s">
        <v>3262</v>
      </c>
    </row>
    <row r="36" customFormat="false" ht="22.35" hidden="false" customHeight="false" outlineLevel="0" collapsed="false">
      <c r="A36" s="8" t="s">
        <v>3263</v>
      </c>
      <c r="B36" s="8" t="s">
        <v>3264</v>
      </c>
      <c r="C36" s="8" t="s">
        <v>3265</v>
      </c>
      <c r="D36" s="8" t="s">
        <v>3266</v>
      </c>
      <c r="E36" s="8" t="s">
        <v>3267</v>
      </c>
      <c r="F36" s="8" t="s">
        <v>3268</v>
      </c>
      <c r="G36" s="8" t="s">
        <v>3269</v>
      </c>
      <c r="H36" s="8" t="s">
        <v>3270</v>
      </c>
      <c r="I36" s="8" t="s">
        <v>3271</v>
      </c>
      <c r="J36" s="8" t="s">
        <v>201</v>
      </c>
      <c r="K36" s="8" t="s">
        <v>3272</v>
      </c>
      <c r="L36" s="8" t="s">
        <v>12</v>
      </c>
    </row>
    <row r="37" customFormat="false" ht="15" hidden="false" customHeight="false" outlineLevel="0" collapsed="false">
      <c r="A37" s="9" t="s">
        <v>3273</v>
      </c>
      <c r="B37" s="80" t="n">
        <f aca="false">11_AIBQ!$F$10-11_AIBQ!$C$10</f>
        <v>-0.625</v>
      </c>
      <c r="C37" s="80" t="n">
        <f aca="false">B37*01_Data!$D$332</f>
        <v>-0.125</v>
      </c>
      <c r="D37" s="80" t="n">
        <f aca="false">11_AIBQ!$H$18</f>
        <v>0.5</v>
      </c>
      <c r="E37" s="80" t="n">
        <f aca="false">D37*01_Data!$D$333</f>
        <v>0.075</v>
      </c>
      <c r="F37" s="94" t="n">
        <f aca="false">C37+E37</f>
        <v>-0.05</v>
      </c>
      <c r="G37" s="53" t="n">
        <f aca="false">01_Data!$D$353</f>
        <v>8.2</v>
      </c>
      <c r="H37" s="94" t="n">
        <f aca="false">G37+F37</f>
        <v>8.15</v>
      </c>
      <c r="I37" s="2" t="s">
        <v>3274</v>
      </c>
      <c r="J37" s="7" t="str">
        <f aca="false">IF(ABS((H37)-00_Assumptions!$D$192)&lt;=00_Assumptions!$E$192,"PASS","FAIL: "&amp;TEXT((H37)-00_Assumptions!$D$192,"#,##0.000"))</f>
        <v>PASS</v>
      </c>
    </row>
    <row r="38" customFormat="false" ht="15" hidden="false" customHeight="false" outlineLevel="0" collapsed="false">
      <c r="A38" s="9" t="s">
        <v>3275</v>
      </c>
      <c r="B38" s="80" t="n">
        <f aca="false">11_AIBQ!$G$10-11_AIBQ!$C$10</f>
        <v>-0.7</v>
      </c>
      <c r="C38" s="80" t="n">
        <f aca="false">B38*01_Data!$D$332</f>
        <v>-0.14</v>
      </c>
      <c r="D38" s="80" t="n">
        <f aca="false">11_AIBQ!$H$18</f>
        <v>0.5</v>
      </c>
      <c r="E38" s="80" t="n">
        <f aca="false">D38*01_Data!$D$333</f>
        <v>0.075</v>
      </c>
      <c r="F38" s="94" t="n">
        <f aca="false">C38+E38</f>
        <v>-0.065</v>
      </c>
      <c r="G38" s="53" t="n">
        <f aca="false">01_Data!$D$353</f>
        <v>8.2</v>
      </c>
      <c r="H38" s="94" t="n">
        <f aca="false">G38+F38</f>
        <v>8.135</v>
      </c>
      <c r="I38" s="2" t="s">
        <v>3276</v>
      </c>
      <c r="J38" s="7" t="str">
        <f aca="false">IF(ABS((H38)-00_Assumptions!$D$193)&lt;=00_Assumptions!$E$193,"PASS","FAIL: "&amp;TEXT((H38)-00_Assumptions!$D$193,"#,##0.000"))</f>
        <v>PASS</v>
      </c>
    </row>
    <row r="39" customFormat="false" ht="15" hidden="false" customHeight="false" outlineLevel="0" collapsed="false">
      <c r="A39" s="9" t="s">
        <v>3277</v>
      </c>
      <c r="B39" s="80" t="n">
        <f aca="false">11_AIBQ!$F$10-11_AIBQ!$C$10</f>
        <v>-0.625</v>
      </c>
      <c r="C39" s="80" t="n">
        <f aca="false">B39*01_Data!$D$332</f>
        <v>-0.125</v>
      </c>
      <c r="D39" s="80" t="n">
        <f aca="false">11_AIBQ!$F$18</f>
        <v>-0.25</v>
      </c>
      <c r="E39" s="80" t="n">
        <f aca="false">D39*01_Data!$D$333</f>
        <v>-0.0375</v>
      </c>
      <c r="F39" s="94" t="n">
        <f aca="false">C39+E39</f>
        <v>-0.1625</v>
      </c>
      <c r="G39" s="53" t="n">
        <f aca="false">01_Data!$D$353</f>
        <v>8.2</v>
      </c>
      <c r="H39" s="94" t="n">
        <f aca="false">G39+F39</f>
        <v>8.0375</v>
      </c>
      <c r="I39" s="2" t="s">
        <v>3276</v>
      </c>
      <c r="J39" s="7" t="str">
        <f aca="false">IF(ABS((H39)-00_Assumptions!$D$194)&lt;=00_Assumptions!$E$194,"PASS","FAIL: "&amp;TEXT((H39)-00_Assumptions!$D$194,"#,##0.000"))</f>
        <v>PASS</v>
      </c>
    </row>
    <row r="40" customFormat="false" ht="15" hidden="false" customHeight="false" outlineLevel="0" collapsed="false">
      <c r="A40" s="9" t="s">
        <v>3278</v>
      </c>
      <c r="B40" s="80" t="n">
        <f aca="false">11_AIBQ!$H$10</f>
        <v>-0.625</v>
      </c>
      <c r="C40" s="80" t="n">
        <f aca="false">B40*01_Data!$D$332</f>
        <v>-0.125</v>
      </c>
      <c r="D40" s="80" t="n">
        <f aca="false">11_AIBQ!$H$18</f>
        <v>0.5</v>
      </c>
      <c r="E40" s="80" t="n">
        <f aca="false">D40*01_Data!$D$333</f>
        <v>0.075</v>
      </c>
      <c r="F40" s="94" t="n">
        <f aca="false">C40+E40</f>
        <v>-0.05</v>
      </c>
      <c r="G40" s="53" t="n">
        <f aca="false">01_Data!$D$353</f>
        <v>8.2</v>
      </c>
      <c r="H40" s="94" t="n">
        <f aca="false">G40+F40</f>
        <v>8.15</v>
      </c>
      <c r="I40" s="2" t="s">
        <v>3276</v>
      </c>
    </row>
    <row r="41" customFormat="false" ht="15" hidden="false" customHeight="false" outlineLevel="0" collapsed="false">
      <c r="A41" s="9" t="s">
        <v>3279</v>
      </c>
      <c r="B41" s="80" t="n">
        <f aca="false">11_AIBQ!$D$25-11_AIBQ!$C$25</f>
        <v>0.875</v>
      </c>
      <c r="C41" s="80" t="n">
        <f aca="false">B41*01_Data!$D$332</f>
        <v>0.175</v>
      </c>
      <c r="D41" s="80" t="n">
        <f aca="false">11_AIBQ!$H$33</f>
        <v>1.1</v>
      </c>
      <c r="E41" s="80" t="n">
        <f aca="false">D41*01_Data!$D$333</f>
        <v>0.165</v>
      </c>
      <c r="F41" s="94" t="n">
        <f aca="false">C41+E41</f>
        <v>0.34</v>
      </c>
      <c r="G41" s="53" t="n">
        <f aca="false">01_Data!$D$354</f>
        <v>4.53</v>
      </c>
      <c r="H41" s="94" t="n">
        <f aca="false">G41+F41</f>
        <v>4.87</v>
      </c>
      <c r="I41" s="2" t="s">
        <v>3280</v>
      </c>
      <c r="J41" s="7" t="str">
        <f aca="false">IF(ABS((H41)-00_Assumptions!$D$195)&lt;=00_Assumptions!$E$195,"PASS","FAIL: "&amp;TEXT((H41)-00_Assumptions!$D$195,"#,##0.000"))</f>
        <v>PASS</v>
      </c>
    </row>
    <row r="42" customFormat="false" ht="15" hidden="false" customHeight="false" outlineLevel="0" collapsed="false">
      <c r="A42" s="9" t="s">
        <v>3281</v>
      </c>
      <c r="B42" s="80" t="n">
        <f aca="false">11_AIBQ!$F$25-11_AIBQ!$C$25</f>
        <v>0.475</v>
      </c>
      <c r="C42" s="80" t="n">
        <f aca="false">B42*01_Data!$D$332</f>
        <v>0.095</v>
      </c>
      <c r="D42" s="80" t="n">
        <f aca="false">11_AIBQ!$H$33</f>
        <v>1.1</v>
      </c>
      <c r="E42" s="80" t="n">
        <f aca="false">D42*01_Data!$D$333</f>
        <v>0.165</v>
      </c>
      <c r="F42" s="94" t="n">
        <f aca="false">C42+E42</f>
        <v>0.26</v>
      </c>
      <c r="G42" s="53" t="n">
        <f aca="false">01_Data!$D$354</f>
        <v>4.53</v>
      </c>
      <c r="H42" s="94" t="n">
        <f aca="false">G42+F42</f>
        <v>4.79</v>
      </c>
      <c r="I42" s="2" t="s">
        <v>3282</v>
      </c>
      <c r="J42" s="7" t="str">
        <f aca="false">IF(ABS((H42)-00_Assumptions!$D$196)&lt;=00_Assumptions!$E$196,"PASS","FAIL: "&amp;TEXT((H42)-00_Assumptions!$D$196,"#,##0.000"))</f>
        <v>PASS</v>
      </c>
    </row>
    <row r="43" customFormat="false" ht="15" hidden="false" customHeight="false" outlineLevel="0" collapsed="false">
      <c r="A43" s="9" t="s">
        <v>3283</v>
      </c>
      <c r="B43" s="80" t="n">
        <f aca="false">11_AIBQ!$H$25</f>
        <v>0.875</v>
      </c>
      <c r="C43" s="80" t="n">
        <f aca="false">B43*01_Data!$D$332</f>
        <v>0.175</v>
      </c>
      <c r="D43" s="80" t="n">
        <f aca="false">11_AIBQ!$H$33</f>
        <v>1.1</v>
      </c>
      <c r="E43" s="80" t="n">
        <f aca="false">D43*01_Data!$D$333</f>
        <v>0.165</v>
      </c>
      <c r="F43" s="94" t="n">
        <f aca="false">C43+E43</f>
        <v>0.34</v>
      </c>
      <c r="G43" s="53" t="n">
        <f aca="false">01_Data!$D$354</f>
        <v>4.53</v>
      </c>
      <c r="H43" s="94" t="n">
        <f aca="false">G43+F43</f>
        <v>4.87</v>
      </c>
      <c r="I43" s="2" t="s">
        <v>3282</v>
      </c>
    </row>
    <row r="44" customFormat="false" ht="15" hidden="false" customHeight="false" outlineLevel="0" collapsed="false">
      <c r="A44" s="3" t="s">
        <v>3284</v>
      </c>
      <c r="B44" s="2" t="s">
        <v>2220</v>
      </c>
      <c r="C44" s="80" t="n">
        <f aca="false">01_Data!$D$379*01_Data!$D$375+01_Data!$D$380*01_Data!$D$376+01_Data!$D$381*01_Data!$D$377</f>
        <v>0.55</v>
      </c>
      <c r="D44" s="7" t="str">
        <f aca="false">IF(ABS((C44)-00_Assumptions!$D$197)&lt;=00_Assumptions!$E$197,"PASS","FAIL: "&amp;TEXT((C44)-00_Assumptions!$D$197,"#,##0.000"))</f>
        <v>PASS</v>
      </c>
      <c r="E44" s="2" t="s">
        <v>2221</v>
      </c>
      <c r="F44" s="80" t="n">
        <f aca="false">01_Data!$D$379*01_Data!$D$375+01_Data!$D$380*01_Data!$D$376+01_Data!$D$381*01_Data!$D$378</f>
        <v>0.499</v>
      </c>
      <c r="G44" s="7" t="str">
        <f aca="false">IF(ABS((F44)-00_Assumptions!$D$198)&lt;=00_Assumptions!$E$198,"PASS","FAIL: "&amp;TEXT((F44)-00_Assumptions!$D$198,"#,##0.000"))</f>
        <v>PASS</v>
      </c>
    </row>
    <row r="45" customFormat="false" ht="15" hidden="false" customHeight="false" outlineLevel="0" collapsed="false">
      <c r="A45" s="9" t="s">
        <v>3285</v>
      </c>
      <c r="C45" s="72" t="n">
        <f aca="false">05_Cash_Fund!$E$43</f>
        <v>0.315181000209249</v>
      </c>
      <c r="D45" s="72" t="n">
        <f aca="false">05_Cash_Fund!$E$45</f>
        <v>0.381879054195438</v>
      </c>
      <c r="F45" s="72" t="n">
        <f aca="false">05_Cash_Fund!$G$43</f>
        <v>0.220730452249105</v>
      </c>
      <c r="G45" s="62" t="n">
        <f aca="false">SW_HAIRCUT</f>
        <v>0.3975</v>
      </c>
    </row>
    <row r="46" customFormat="false" ht="15" hidden="false" customHeight="false" outlineLevel="0" collapsed="false">
      <c r="A46" s="2" t="s">
        <v>3286</v>
      </c>
    </row>
    <row r="47" customFormat="false" ht="15" hidden="false" customHeight="false" outlineLevel="0" collapsed="false">
      <c r="A47" s="2" t="s">
        <v>3287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4"/>
    <col collapsed="false" customWidth="true" hidden="false" outlineLevel="0" max="3" min="3" style="1" width="20"/>
    <col collapsed="false" customWidth="true" hidden="false" outlineLevel="0" max="4" min="4" style="1" width="9"/>
    <col collapsed="false" customWidth="true" hidden="false" outlineLevel="0" max="6" min="5" style="1" width="16"/>
    <col collapsed="false" customWidth="true" hidden="false" outlineLevel="0" max="8" min="7" style="1" width="12"/>
    <col collapsed="false" customWidth="true" hidden="false" outlineLevel="0" max="9" min="9" style="1" width="70"/>
    <col collapsed="false" customWidth="true" hidden="false" outlineLevel="0" max="10" min="10" style="1" width="16"/>
    <col collapsed="false" customWidth="true" hidden="false" outlineLevel="0" max="11" min="11" style="1" width="60"/>
  </cols>
  <sheetData>
    <row r="1" customFormat="false" ht="15" hidden="false" customHeight="false" outlineLevel="0" collapsed="false">
      <c r="A1" s="2" t="s">
        <v>3288</v>
      </c>
    </row>
    <row r="2" customFormat="false" ht="15" hidden="false" customHeight="false" outlineLevel="0" collapsed="false">
      <c r="A2" s="2" t="s">
        <v>3289</v>
      </c>
    </row>
    <row r="4" customFormat="false" ht="15" hidden="false" customHeight="false" outlineLevel="0" collapsed="false">
      <c r="A4" s="8" t="s">
        <v>3290</v>
      </c>
      <c r="B4" s="8" t="s">
        <v>3291</v>
      </c>
      <c r="C4" s="8" t="s">
        <v>3292</v>
      </c>
      <c r="D4" s="8" t="s">
        <v>3293</v>
      </c>
      <c r="E4" s="8" t="s">
        <v>3294</v>
      </c>
      <c r="F4" s="8" t="s">
        <v>3295</v>
      </c>
      <c r="G4" s="8" t="s">
        <v>3296</v>
      </c>
      <c r="H4" s="8" t="s">
        <v>3297</v>
      </c>
      <c r="I4" s="8" t="s">
        <v>3298</v>
      </c>
      <c r="J4" s="8" t="s">
        <v>3299</v>
      </c>
      <c r="K4" s="8" t="s">
        <v>3300</v>
      </c>
    </row>
    <row r="5" customFormat="false" ht="15" hidden="false" customHeight="false" outlineLevel="0" collapsed="false">
      <c r="A5" s="3" t="s">
        <v>2469</v>
      </c>
      <c r="B5" s="9" t="s">
        <v>3301</v>
      </c>
      <c r="C5" s="95" t="n">
        <f aca="false">CHOOSE(D5,E5,F5)</f>
        <v>0.3975</v>
      </c>
      <c r="D5" s="4" t="n">
        <v>1</v>
      </c>
      <c r="E5" s="62" t="n">
        <f aca="false">01_Data!$D$36</f>
        <v>0.3975</v>
      </c>
      <c r="F5" s="62" t="n">
        <f aca="false">01_Data!$D$37</f>
        <v>0.27</v>
      </c>
      <c r="I5" s="2" t="s">
        <v>3302</v>
      </c>
      <c r="J5" s="2" t="s">
        <v>3303</v>
      </c>
      <c r="K5" s="2" t="s">
        <v>3304</v>
      </c>
    </row>
    <row r="6" customFormat="false" ht="15" hidden="false" customHeight="false" outlineLevel="0" collapsed="false">
      <c r="A6" s="3" t="s">
        <v>3305</v>
      </c>
      <c r="B6" s="9" t="s">
        <v>3306</v>
      </c>
      <c r="C6" s="3" t="str">
        <f aca="false">CHOOSE(D6,E6,F6)</f>
        <v>NET</v>
      </c>
      <c r="D6" s="4" t="n">
        <v>1</v>
      </c>
      <c r="E6" s="33" t="s">
        <v>2315</v>
      </c>
      <c r="F6" s="33" t="s">
        <v>1979</v>
      </c>
      <c r="I6" s="2" t="s">
        <v>3307</v>
      </c>
      <c r="J6" s="2" t="s">
        <v>2315</v>
      </c>
      <c r="K6" s="2" t="s">
        <v>3308</v>
      </c>
    </row>
    <row r="7" customFormat="false" ht="15" hidden="false" customHeight="false" outlineLevel="0" collapsed="false">
      <c r="A7" s="3" t="s">
        <v>3309</v>
      </c>
      <c r="B7" s="9" t="s">
        <v>3310</v>
      </c>
      <c r="C7" s="3" t="str">
        <f aca="false">CHOOSE(D7,E7,F7)</f>
        <v>2027</v>
      </c>
      <c r="D7" s="4" t="n">
        <v>2</v>
      </c>
      <c r="E7" s="33" t="s">
        <v>3311</v>
      </c>
      <c r="F7" s="33" t="s">
        <v>2016</v>
      </c>
      <c r="I7" s="2" t="s">
        <v>3312</v>
      </c>
      <c r="J7" s="2" t="s">
        <v>2016</v>
      </c>
      <c r="K7" s="2" t="s">
        <v>3313</v>
      </c>
    </row>
    <row r="8" customFormat="false" ht="15" hidden="false" customHeight="false" outlineLevel="0" collapsed="false">
      <c r="A8" s="3" t="s">
        <v>3314</v>
      </c>
      <c r="B8" s="9" t="s">
        <v>3315</v>
      </c>
      <c r="C8" s="64" t="n">
        <f aca="false">CHOOSE(D8,E8,F8)</f>
        <v>10000</v>
      </c>
      <c r="D8" s="4" t="n">
        <v>1</v>
      </c>
      <c r="E8" s="31" t="n">
        <f aca="false">01_Data!$D$57</f>
        <v>10000</v>
      </c>
      <c r="F8" s="31" t="n">
        <f aca="false">AVERAGE(01_Data!$D$58,01_Data!$D$59)</f>
        <v>5250</v>
      </c>
      <c r="I8" s="2" t="s">
        <v>3316</v>
      </c>
      <c r="J8" s="2" t="s">
        <v>3317</v>
      </c>
      <c r="K8" s="2" t="s">
        <v>3318</v>
      </c>
    </row>
    <row r="9" customFormat="false" ht="15" hidden="false" customHeight="false" outlineLevel="0" collapsed="false">
      <c r="A9" s="3" t="s">
        <v>3319</v>
      </c>
      <c r="B9" s="9" t="s">
        <v>3320</v>
      </c>
      <c r="C9" s="64" t="n">
        <f aca="false">CHOOSE(D9,E9,F9)</f>
        <v>-8300</v>
      </c>
      <c r="D9" s="4" t="n">
        <v>2</v>
      </c>
      <c r="E9" s="31" t="n">
        <f aca="false">01_Data!$D$56</f>
        <v>-5300</v>
      </c>
      <c r="F9" s="31" t="n">
        <f aca="false">01_Data!$D$55</f>
        <v>-8300</v>
      </c>
      <c r="I9" s="2" t="s">
        <v>3321</v>
      </c>
      <c r="J9" s="2" t="s">
        <v>3322</v>
      </c>
      <c r="K9" s="2" t="s">
        <v>3323</v>
      </c>
    </row>
    <row r="10" customFormat="false" ht="15" hidden="false" customHeight="false" outlineLevel="0" collapsed="false">
      <c r="A10" s="3" t="s">
        <v>3324</v>
      </c>
      <c r="B10" s="9" t="s">
        <v>3325</v>
      </c>
      <c r="C10" s="3" t="str">
        <f aca="false">CHOOSE(D10,E10,F10)</f>
        <v>Adjusted-operating-income trajectory (Q2 print; non-GAAP, definition unpublished, L-151/L-152)</v>
      </c>
      <c r="D10" s="4" t="n">
        <v>2</v>
      </c>
      <c r="E10" s="33" t="s">
        <v>3326</v>
      </c>
      <c r="F10" s="33" t="s">
        <v>3327</v>
      </c>
      <c r="I10" s="2" t="s">
        <v>3328</v>
      </c>
      <c r="J10" s="2" t="s">
        <v>3329</v>
      </c>
      <c r="K10" s="2" t="s">
        <v>3330</v>
      </c>
    </row>
    <row r="11" customFormat="false" ht="15" hidden="false" customHeight="false" outlineLevel="0" collapsed="false">
      <c r="A11" s="3" t="s">
        <v>3331</v>
      </c>
      <c r="B11" s="9" t="s">
        <v>3332</v>
      </c>
      <c r="C11" s="96" t="n">
        <f aca="false">CHOOSE(D11,E11,F11)</f>
        <v>5000</v>
      </c>
      <c r="D11" s="4" t="n">
        <v>1</v>
      </c>
      <c r="E11" s="85" t="n">
        <f aca="false">01_Data!$D$77</f>
        <v>5000</v>
      </c>
      <c r="F11" s="85" t="n">
        <f aca="false">01_Data!$D$78</f>
        <v>4020</v>
      </c>
      <c r="I11" s="2" t="s">
        <v>3333</v>
      </c>
      <c r="J11" s="2" t="s">
        <v>3334</v>
      </c>
      <c r="K11" s="2" t="s">
        <v>3335</v>
      </c>
    </row>
    <row r="12" customFormat="false" ht="15" hidden="false" customHeight="false" outlineLevel="0" collapsed="false">
      <c r="A12" s="3" t="s">
        <v>3336</v>
      </c>
      <c r="B12" s="9" t="s">
        <v>3337</v>
      </c>
      <c r="C12" s="97" t="n">
        <f aca="false">CHOOSE(D12,E12,F12,G12,H12)</f>
        <v>9.3</v>
      </c>
      <c r="D12" s="4" t="n">
        <v>2</v>
      </c>
      <c r="E12" s="49" t="n">
        <f aca="false">01_Data!$D$290</f>
        <v>6.9</v>
      </c>
      <c r="F12" s="49" t="n">
        <f aca="false">01_Data!$D$291</f>
        <v>9.3</v>
      </c>
      <c r="G12" s="49" t="n">
        <f aca="false">01_Data!$D$292</f>
        <v>12.5</v>
      </c>
      <c r="H12" s="49" t="n">
        <f aca="false">01_Data!$D$293</f>
        <v>16.3</v>
      </c>
      <c r="I12" s="2" t="s">
        <v>3338</v>
      </c>
      <c r="J12" s="2" t="s">
        <v>3339</v>
      </c>
      <c r="K12" s="2" t="s">
        <v>3340</v>
      </c>
    </row>
    <row r="13" customFormat="false" ht="15" hidden="false" customHeight="false" outlineLevel="0" collapsed="false">
      <c r="A13" s="3" t="s">
        <v>3341</v>
      </c>
      <c r="B13" s="9" t="s">
        <v>3342</v>
      </c>
      <c r="C13" s="3" t="str">
        <f aca="false">CHOOSE(D13,E13,F13)</f>
        <v>On-balance-sheet</v>
      </c>
      <c r="D13" s="4" t="n">
        <v>1</v>
      </c>
      <c r="E13" s="33" t="s">
        <v>3343</v>
      </c>
      <c r="F13" s="33" t="s">
        <v>3344</v>
      </c>
      <c r="I13" s="2" t="s">
        <v>3345</v>
      </c>
      <c r="J13" s="2" t="s">
        <v>3343</v>
      </c>
      <c r="K13" s="2" t="s">
        <v>3346</v>
      </c>
    </row>
    <row r="14" customFormat="false" ht="15" hidden="false" customHeight="false" outlineLevel="0" collapsed="false">
      <c r="A14" s="3" t="s">
        <v>3347</v>
      </c>
      <c r="B14" s="9" t="s">
        <v>3348</v>
      </c>
      <c r="C14" s="3" t="str">
        <f aca="false">CHOOSE(D14,E14,F14)</f>
        <v>Does not close</v>
      </c>
      <c r="D14" s="4" t="n">
        <v>2</v>
      </c>
      <c r="E14" s="33" t="s">
        <v>3349</v>
      </c>
      <c r="F14" s="33" t="s">
        <v>3350</v>
      </c>
      <c r="I14" s="2" t="s">
        <v>3351</v>
      </c>
      <c r="J14" s="2" t="s">
        <v>3350</v>
      </c>
      <c r="K14" s="2" t="s">
        <v>3352</v>
      </c>
    </row>
    <row r="15" customFormat="false" ht="15" hidden="false" customHeight="false" outlineLevel="0" collapsed="false">
      <c r="A15" s="3" t="s">
        <v>3353</v>
      </c>
      <c r="B15" s="9" t="s">
        <v>3354</v>
      </c>
      <c r="C15" s="64" t="n">
        <f aca="false">CHOOSE(D15,E15,F15)</f>
        <v>7000</v>
      </c>
      <c r="D15" s="4" t="n">
        <v>1</v>
      </c>
      <c r="E15" s="31" t="n">
        <f aca="false">01_Data!$D$409</f>
        <v>7000</v>
      </c>
      <c r="F15" s="31" t="n">
        <f aca="false">01_Data!$D$410</f>
        <v>8000</v>
      </c>
      <c r="I15" s="2" t="s">
        <v>3355</v>
      </c>
      <c r="J15" s="2" t="s">
        <v>3356</v>
      </c>
      <c r="K15" s="2" t="s">
        <v>3357</v>
      </c>
    </row>
    <row r="16" customFormat="false" ht="15" hidden="false" customHeight="false" outlineLevel="0" collapsed="false">
      <c r="A16" s="3" t="s">
        <v>3358</v>
      </c>
      <c r="B16" s="9" t="s">
        <v>3359</v>
      </c>
      <c r="C16" s="96" t="n">
        <f aca="false">CHOOSE(D16,E16,F16)</f>
        <v>5</v>
      </c>
      <c r="D16" s="4" t="n">
        <v>1</v>
      </c>
      <c r="E16" s="85" t="n">
        <f aca="false">01_Data!$D$231</f>
        <v>5</v>
      </c>
      <c r="F16" s="85" t="n">
        <f aca="false">01_Data!$D$231+01_Data!$D$232</f>
        <v>15</v>
      </c>
      <c r="I16" s="2" t="s">
        <v>3360</v>
      </c>
      <c r="J16" s="2" t="s">
        <v>3361</v>
      </c>
      <c r="K16" s="2" t="s">
        <v>3362</v>
      </c>
    </row>
    <row r="17" customFormat="false" ht="15" hidden="false" customHeight="false" outlineLevel="0" collapsed="false">
      <c r="A17" s="3" t="s">
        <v>3363</v>
      </c>
      <c r="B17" s="9" t="s">
        <v>3364</v>
      </c>
      <c r="C17" s="3" t="str">
        <f aca="false">CHOOSE(D17,E17,F17)</f>
        <v>reported</v>
      </c>
      <c r="D17" s="4" t="n">
        <v>1</v>
      </c>
      <c r="E17" s="33" t="s">
        <v>3365</v>
      </c>
      <c r="F17" s="33" t="s">
        <v>3366</v>
      </c>
      <c r="I17" s="2" t="s">
        <v>3367</v>
      </c>
      <c r="J17" s="2" t="s">
        <v>3368</v>
      </c>
      <c r="K17" s="2" t="s">
        <v>3369</v>
      </c>
    </row>
    <row r="18" customFormat="false" ht="15" hidden="false" customHeight="false" outlineLevel="0" collapsed="false">
      <c r="A18" s="3" t="s">
        <v>3370</v>
      </c>
      <c r="B18" s="2" t="s">
        <v>3371</v>
      </c>
    </row>
    <row r="20" customFormat="false" ht="15" hidden="false" customHeight="false" outlineLevel="0" collapsed="false">
      <c r="A20" s="3" t="s">
        <v>3372</v>
      </c>
    </row>
    <row r="21" customFormat="false" ht="15" hidden="false" customHeight="false" outlineLevel="0" collapsed="false">
      <c r="A21" s="8" t="s">
        <v>3291</v>
      </c>
      <c r="B21" s="8" t="s">
        <v>3373</v>
      </c>
      <c r="C21" s="8" t="s">
        <v>3374</v>
      </c>
    </row>
    <row r="22" customFormat="false" ht="15" hidden="false" customHeight="false" outlineLevel="0" collapsed="false">
      <c r="A22" s="3" t="s">
        <v>3375</v>
      </c>
      <c r="B22" s="9" t="s">
        <v>3376</v>
      </c>
      <c r="C22" s="2" t="s">
        <v>3377</v>
      </c>
    </row>
    <row r="23" customFormat="false" ht="15" hidden="false" customHeight="false" outlineLevel="0" collapsed="false">
      <c r="A23" s="3" t="s">
        <v>3378</v>
      </c>
      <c r="B23" s="9" t="s">
        <v>3379</v>
      </c>
      <c r="C23" s="2" t="s">
        <v>3380</v>
      </c>
    </row>
    <row r="24" customFormat="false" ht="15" hidden="false" customHeight="false" outlineLevel="0" collapsed="false">
      <c r="A24" s="3" t="s">
        <v>3381</v>
      </c>
      <c r="B24" s="9" t="s">
        <v>936</v>
      </c>
      <c r="C24" s="2" t="s">
        <v>3382</v>
      </c>
    </row>
    <row r="25" customFormat="false" ht="15" hidden="false" customHeight="false" outlineLevel="0" collapsed="false">
      <c r="A25" s="3" t="s">
        <v>3383</v>
      </c>
      <c r="B25" s="9" t="s">
        <v>3384</v>
      </c>
      <c r="C25" s="2" t="s">
        <v>3385</v>
      </c>
    </row>
    <row r="26" customFormat="false" ht="15" hidden="false" customHeight="false" outlineLevel="0" collapsed="false">
      <c r="A26" s="3" t="s">
        <v>3386</v>
      </c>
      <c r="B26" s="9" t="s">
        <v>3387</v>
      </c>
      <c r="C26" s="2" t="s">
        <v>3388</v>
      </c>
    </row>
    <row r="27" customFormat="false" ht="15" hidden="false" customHeight="false" outlineLevel="0" collapsed="false">
      <c r="A27" s="3" t="s">
        <v>3389</v>
      </c>
      <c r="B27" s="9" t="s">
        <v>3390</v>
      </c>
      <c r="C27" s="2" t="s">
        <v>3391</v>
      </c>
    </row>
    <row r="28" customFormat="false" ht="15" hidden="false" customHeight="false" outlineLevel="0" collapsed="false">
      <c r="A28" s="3" t="s">
        <v>3392</v>
      </c>
      <c r="B28" s="9" t="s">
        <v>3393</v>
      </c>
      <c r="C28" s="2" t="s">
        <v>3394</v>
      </c>
    </row>
    <row r="29" customFormat="false" ht="15" hidden="false" customHeight="false" outlineLevel="0" collapsed="false">
      <c r="A29" s="3" t="s">
        <v>3395</v>
      </c>
      <c r="B29" s="9" t="s">
        <v>3396</v>
      </c>
      <c r="C29" s="2" t="s">
        <v>3397</v>
      </c>
    </row>
    <row r="30" customFormat="false" ht="15" hidden="false" customHeight="false" outlineLevel="0" collapsed="false">
      <c r="A30" s="3" t="s">
        <v>3398</v>
      </c>
      <c r="B30" s="9" t="s">
        <v>3399</v>
      </c>
      <c r="C30" s="2" t="s">
        <v>3400</v>
      </c>
    </row>
    <row r="31" customFormat="false" ht="15" hidden="false" customHeight="false" outlineLevel="0" collapsed="false">
      <c r="A31" s="3" t="s">
        <v>3401</v>
      </c>
      <c r="B31" s="9" t="s">
        <v>3402</v>
      </c>
      <c r="C31" s="2" t="s">
        <v>3403</v>
      </c>
    </row>
    <row r="32" customFormat="false" ht="15" hidden="false" customHeight="false" outlineLevel="0" collapsed="false">
      <c r="A32" s="3" t="s">
        <v>3404</v>
      </c>
      <c r="B32" s="9" t="s">
        <v>3405</v>
      </c>
      <c r="C32" s="2" t="s">
        <v>3406</v>
      </c>
    </row>
    <row r="33" customFormat="false" ht="15" hidden="false" customHeight="false" outlineLevel="0" collapsed="false">
      <c r="A33" s="3" t="s">
        <v>3407</v>
      </c>
      <c r="B33" s="9" t="s">
        <v>3408</v>
      </c>
      <c r="C33" s="2" t="s">
        <v>3409</v>
      </c>
    </row>
    <row r="36" customFormat="false" ht="15" hidden="false" customHeight="false" outlineLevel="0" collapsed="false">
      <c r="A36" s="2" t="s">
        <v>3410</v>
      </c>
    </row>
    <row r="37" customFormat="false" ht="15" hidden="false" customHeight="false" outlineLevel="0" collapsed="false">
      <c r="A37" s="2" t="s">
        <v>3411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40"/>
    <col collapsed="false" customWidth="true" hidden="false" outlineLevel="0" max="3" min="3" style="1" width="50"/>
    <col collapsed="false" customWidth="true" hidden="false" outlineLevel="0" max="4" min="4" style="1" width="36"/>
    <col collapsed="false" customWidth="true" hidden="false" outlineLevel="0" max="5" min="5" style="1" width="50"/>
    <col collapsed="false" customWidth="true" hidden="false" outlineLevel="0" max="6" min="6" style="1" width="30"/>
    <col collapsed="false" customWidth="true" hidden="false" outlineLevel="0" max="8" min="7" style="1" width="24"/>
  </cols>
  <sheetData>
    <row r="1" customFormat="false" ht="15" hidden="false" customHeight="false" outlineLevel="0" collapsed="false">
      <c r="A1" s="2" t="s">
        <v>3412</v>
      </c>
    </row>
    <row r="4" customFormat="false" ht="15" hidden="false" customHeight="false" outlineLevel="0" collapsed="false">
      <c r="A4" s="8" t="s">
        <v>3413</v>
      </c>
      <c r="B4" s="8" t="s">
        <v>3414</v>
      </c>
      <c r="C4" s="8" t="s">
        <v>3415</v>
      </c>
      <c r="D4" s="8" t="s">
        <v>3416</v>
      </c>
      <c r="E4" s="8" t="s">
        <v>3417</v>
      </c>
      <c r="F4" s="8" t="s">
        <v>3418</v>
      </c>
      <c r="G4" s="8" t="s">
        <v>3419</v>
      </c>
      <c r="H4" s="8" t="s">
        <v>12</v>
      </c>
    </row>
    <row r="5" customFormat="false" ht="15" hidden="false" customHeight="false" outlineLevel="0" collapsed="false">
      <c r="A5" s="3" t="s">
        <v>3420</v>
      </c>
      <c r="B5" s="2" t="s">
        <v>3421</v>
      </c>
      <c r="C5" s="57" t="str">
        <f aca="false">"next year's growth = "&amp;TEXT(01_Data!$D$384,"0%")&amp;" (private) / "&amp;TEXT(01_Data!$D$385,"0%")&amp;" (public) of this year's"</f>
        <v>next year's growth = 70% (private) / 80% (public) of this year's</v>
      </c>
      <c r="D5" s="2" t="s">
        <v>3422</v>
      </c>
      <c r="E5" s="2" t="s">
        <v>3423</v>
      </c>
      <c r="F5" s="57" t="str">
        <f aca="false">"AM-71: the rule on FY2026E growth gives "&amp;TEXT(13_OutsideView!$D$29,"#,##0")&amp;" of 2027 revenue, above the 2028 plan"</f>
        <v>AM-71: the rule on FY2026E growth gives 249,356 of 2027 revenue, above the 2028 plan</v>
      </c>
      <c r="G5" s="2" t="s">
        <v>3424</v>
      </c>
      <c r="H5" s="2" t="s">
        <v>3425</v>
      </c>
    </row>
    <row r="6" customFormat="false" ht="15" hidden="false" customHeight="false" outlineLevel="0" collapsed="false">
      <c r="A6" s="3" t="s">
        <v>3426</v>
      </c>
      <c r="B6" s="2" t="s">
        <v>3427</v>
      </c>
      <c r="C6" s="57" t="str">
        <f aca="false">"next year's growth = "&amp;TEXT(01_Data!$D$384,"0%")&amp;" (private) / "&amp;TEXT(01_Data!$D$385,"0%")&amp;" (public) of this year's"</f>
        <v>next year's growth = 70% (private) / 80% (public) of this year's</v>
      </c>
      <c r="D6" s="2" t="s">
        <v>3428</v>
      </c>
      <c r="E6" s="2" t="s">
        <v>3429</v>
      </c>
      <c r="F6" s="57" t="str">
        <f aca="false">"PB FY2026 field moved "&amp;TEXT(01_Data!$D$321,"+0%")&amp;" in eight weeks"</f>
        <v>PB FY2026 field moved +38% in eight weeks</v>
      </c>
      <c r="G6" s="2" t="s">
        <v>3430</v>
      </c>
      <c r="H6" s="2" t="s">
        <v>3431</v>
      </c>
    </row>
    <row r="7" customFormat="false" ht="15" hidden="false" customHeight="false" outlineLevel="0" collapsed="false">
      <c r="A7" s="3" t="s">
        <v>3432</v>
      </c>
      <c r="B7" s="2" t="s">
        <v>3433</v>
      </c>
      <c r="C7" s="57" t="str">
        <f aca="false">TEXT(01_Data!$D$386,"0.0%")&amp;" (2014) -&gt; "&amp;TEXT(01_Data!$D$388,"0.0%")&amp;" (2016) -&gt; 27-30% (2018-2023) -&gt; "&amp;TEXT(01_Data!$D$396,"0.0%")&amp;" / "&amp;TEXT(01_Data!$D$397,"0.0%")&amp;" (2024-2025)"</f>
        <v>9.9% (2014) -&gt; 25.4% (2016) -&gt; 27-30% (2018-2023) -&gt; 37.0% / 35.4% (2024-2025)</v>
      </c>
      <c r="D7" s="2" t="s">
        <v>3434</v>
      </c>
      <c r="E7" s="2" t="s">
        <v>3435</v>
      </c>
      <c r="F7" s="2" t="s">
        <v>3436</v>
      </c>
      <c r="G7" s="2" t="s">
        <v>3437</v>
      </c>
      <c r="H7" s="2" t="s">
        <v>3438</v>
      </c>
    </row>
    <row r="8" customFormat="false" ht="15" hidden="false" customHeight="false" outlineLevel="0" collapsed="false">
      <c r="A8" s="3" t="s">
        <v>3439</v>
      </c>
      <c r="B8" s="2" t="s">
        <v>3440</v>
      </c>
      <c r="C8" s="57" t="str">
        <f aca="false">"OpenAI 2025 GM "&amp;TEXT(01_Data!$D$167,"0%")&amp;" vs plan "&amp;TEXT(01_Data!$D$168,"0%")</f>
        <v>OpenAI 2025 GM 33% vs plan 46%</v>
      </c>
      <c r="D8" s="2" t="s">
        <v>3441</v>
      </c>
      <c r="E8" s="2" t="s">
        <v>3442</v>
      </c>
      <c r="F8" s="2" t="s">
        <v>3443</v>
      </c>
      <c r="G8" s="2" t="s">
        <v>3444</v>
      </c>
      <c r="H8" s="2" t="s">
        <v>1030</v>
      </c>
    </row>
    <row r="9" customFormat="false" ht="15" hidden="false" customHeight="false" outlineLevel="0" collapsed="false">
      <c r="A9" s="3" t="s">
        <v>3445</v>
      </c>
      <c r="B9" s="2" t="s">
        <v>3446</v>
      </c>
      <c r="C9" s="2" t="s">
        <v>3447</v>
      </c>
      <c r="D9" s="2" t="s">
        <v>3448</v>
      </c>
      <c r="E9" s="2" t="s">
        <v>3449</v>
      </c>
      <c r="F9" s="57" t="str">
        <f aca="false">"+"&amp;TEXT(01_Data!$D$20/01_Data!$D$21-1,"0%")&amp;" plan revision in 11 weeks (OpenAI)"</f>
        <v>+25% plan revision in 11 weeks (OpenAI)</v>
      </c>
      <c r="G9" s="2" t="s">
        <v>3450</v>
      </c>
      <c r="H9" s="2" t="s">
        <v>3451</v>
      </c>
    </row>
    <row r="10" customFormat="false" ht="15" hidden="false" customHeight="false" outlineLevel="0" collapsed="false">
      <c r="A10" s="3" t="s">
        <v>3452</v>
      </c>
      <c r="B10" s="2" t="s">
        <v>3453</v>
      </c>
      <c r="C10" s="2" t="s">
        <v>2812</v>
      </c>
      <c r="D10" s="2" t="s">
        <v>3454</v>
      </c>
      <c r="E10" s="2" t="s">
        <v>3455</v>
      </c>
      <c r="F10" s="57" t="str">
        <f aca="false">"unexplained "&amp;TEXT(03_Costs!$G$49,"#,##0")</f>
        <v>unexplained 10,900</v>
      </c>
      <c r="G10" s="2" t="s">
        <v>3450</v>
      </c>
      <c r="H10" s="2" t="s">
        <v>3456</v>
      </c>
    </row>
    <row r="11" customFormat="false" ht="15" hidden="false" customHeight="false" outlineLevel="0" collapsed="false">
      <c r="A11" s="3" t="s">
        <v>3457</v>
      </c>
      <c r="B11" s="2" t="s">
        <v>3458</v>
      </c>
      <c r="C11" s="2" t="s">
        <v>3459</v>
      </c>
      <c r="D11" s="2" t="s">
        <v>3460</v>
      </c>
      <c r="E11" s="2" t="s">
        <v>3461</v>
      </c>
      <c r="F11" s="57" t="str">
        <f aca="false">"Q2 adjusted margin ~"&amp;TEXT(LB_05b/01_Data!$D$12,"0.0%")</f>
        <v>Q2 adjusted margin ~5.1%</v>
      </c>
      <c r="G11" s="2" t="s">
        <v>3462</v>
      </c>
      <c r="H11" s="2" t="s">
        <v>366</v>
      </c>
    </row>
    <row r="12" customFormat="false" ht="15" hidden="false" customHeight="false" outlineLevel="0" collapsed="false">
      <c r="A12" s="3" t="s">
        <v>3463</v>
      </c>
      <c r="B12" s="2" t="s">
        <v>3464</v>
      </c>
      <c r="C12" s="2" t="s">
        <v>3465</v>
      </c>
      <c r="D12" s="2" t="s">
        <v>3466</v>
      </c>
      <c r="E12" s="2" t="s">
        <v>3467</v>
      </c>
      <c r="F12" s="57" t="str">
        <f aca="false">TEXT(01_Data!$D$157/01_Data!$D$156-1,"+0%")&amp;" (2027 plan, two vintages)"</f>
        <v>+11% (2027 plan, two vintages)</v>
      </c>
      <c r="G12" s="2" t="s">
        <v>3450</v>
      </c>
      <c r="H12" s="2" t="s">
        <v>3468</v>
      </c>
    </row>
    <row r="13" customFormat="false" ht="15" hidden="false" customHeight="false" outlineLevel="0" collapsed="false">
      <c r="A13" s="3" t="s">
        <v>3469</v>
      </c>
      <c r="B13" s="2" t="s">
        <v>3470</v>
      </c>
      <c r="C13" s="2" t="s">
        <v>3471</v>
      </c>
      <c r="D13" s="2" t="s">
        <v>3472</v>
      </c>
      <c r="E13" s="2" t="s">
        <v>3473</v>
      </c>
      <c r="F13" s="57" t="str">
        <f aca="false">"step-up "&amp;TEXT(01_Data!$D$398,"0.0x")&amp;"; Cerebras ~"&amp;TEXT(01_Data!$D$399,"0")&amp;" months"</f>
        <v>step-up 1.3x; Cerebras ~9 months</v>
      </c>
      <c r="G13" s="2" t="s">
        <v>3474</v>
      </c>
      <c r="H13" s="2" t="s">
        <v>3475</v>
      </c>
    </row>
    <row r="14" customFormat="false" ht="15" hidden="false" customHeight="false" outlineLevel="0" collapsed="false">
      <c r="A14" s="3" t="s">
        <v>3476</v>
      </c>
      <c r="B14" s="2" t="s">
        <v>3470</v>
      </c>
      <c r="C14" s="2" t="s">
        <v>3477</v>
      </c>
      <c r="D14" s="2" t="s">
        <v>3478</v>
      </c>
      <c r="E14" s="2" t="s">
        <v>3479</v>
      </c>
      <c r="F14" s="57" t="str">
        <f aca="false">SW_IPO_OAI</f>
        <v>2027</v>
      </c>
      <c r="G14" s="2" t="s">
        <v>3480</v>
      </c>
      <c r="H14" s="2" t="s">
        <v>3481</v>
      </c>
    </row>
    <row r="15" customFormat="false" ht="15" hidden="false" customHeight="false" outlineLevel="0" collapsed="false">
      <c r="A15" s="3" t="s">
        <v>3482</v>
      </c>
      <c r="B15" s="2" t="s">
        <v>3483</v>
      </c>
      <c r="C15" s="2" t="s">
        <v>3484</v>
      </c>
      <c r="D15" s="2" t="s">
        <v>3485</v>
      </c>
      <c r="E15" s="2" t="s">
        <v>3486</v>
      </c>
      <c r="F15" s="57" t="str">
        <f aca="false">"2028 gap (reported branch) "&amp;TEXT(09_Obligations!$I$88,"#,##0")&amp;" to "&amp;TEXT(09_Obligations!$I$89,"#,##0")</f>
        <v>2028 gap (reported branch) -27,655 to -25,355</v>
      </c>
      <c r="G15" s="2" t="s">
        <v>3487</v>
      </c>
      <c r="H15" s="2" t="s">
        <v>3488</v>
      </c>
    </row>
    <row r="16" customFormat="false" ht="15" hidden="false" customHeight="false" outlineLevel="0" collapsed="false">
      <c r="A16" s="3" t="s">
        <v>3489</v>
      </c>
      <c r="B16" s="2" t="s">
        <v>3490</v>
      </c>
      <c r="C16" s="2" t="s">
        <v>3491</v>
      </c>
      <c r="D16" s="2" t="s">
        <v>3492</v>
      </c>
      <c r="E16" s="2" t="s">
        <v>3493</v>
      </c>
      <c r="F16" s="2" t="s">
        <v>3494</v>
      </c>
      <c r="G16" s="2" t="s">
        <v>3495</v>
      </c>
      <c r="H16" s="2" t="s">
        <v>3496</v>
      </c>
    </row>
    <row r="18" customFormat="false" ht="15" hidden="false" customHeight="false" outlineLevel="0" collapsed="false">
      <c r="A18" s="9" t="s">
        <v>3497</v>
      </c>
      <c r="B18" s="2" t="s">
        <v>3498</v>
      </c>
      <c r="C18" s="2" t="s">
        <v>3499</v>
      </c>
      <c r="D18" s="2" t="s">
        <v>3500</v>
      </c>
      <c r="E18" s="57" t="str">
        <f aca="false">"PB projections moved "&amp;TEXT(01_Data!$D$320,"+0%")&amp;" (Anthropic FY27) and "&amp;TEXT(01_Data!$D$321,"+0%")&amp;" (OpenAI FY26) in eight weeks"</f>
        <v>PB projections moved +29% (Anthropic FY27) and +38% (OpenAI FY26) in eight weeks</v>
      </c>
      <c r="F18" s="2" t="s">
        <v>3501</v>
      </c>
      <c r="G18" s="2" t="s">
        <v>3502</v>
      </c>
      <c r="H18" s="2" t="s">
        <v>3503</v>
      </c>
    </row>
    <row r="19" customFormat="false" ht="15" hidden="false" customHeight="false" outlineLevel="0" collapsed="false">
      <c r="A19" s="9" t="s">
        <v>3504</v>
      </c>
      <c r="B19" s="2" t="s">
        <v>3498</v>
      </c>
      <c r="C19" s="2" t="s">
        <v>3505</v>
      </c>
      <c r="D19" s="2" t="s">
        <v>3506</v>
      </c>
      <c r="E19" s="2" t="s">
        <v>511</v>
      </c>
      <c r="F19" s="2" t="s">
        <v>3507</v>
      </c>
      <c r="G19" s="2" t="s">
        <v>3502</v>
      </c>
      <c r="H19" s="2"/>
    </row>
    <row r="20" customFormat="false" ht="15" hidden="false" customHeight="false" outlineLevel="0" collapsed="false">
      <c r="A20" s="9" t="s">
        <v>3508</v>
      </c>
      <c r="B20" s="2" t="s">
        <v>3498</v>
      </c>
      <c r="C20" s="2" t="s">
        <v>3509</v>
      </c>
      <c r="D20" s="2" t="s">
        <v>3510</v>
      </c>
      <c r="E20" s="2" t="s">
        <v>511</v>
      </c>
      <c r="F20" s="2" t="s">
        <v>3511</v>
      </c>
      <c r="G20" s="2" t="s">
        <v>3512</v>
      </c>
      <c r="H20" s="2"/>
    </row>
    <row r="21" customFormat="false" ht="15" hidden="false" customHeight="false" outlineLevel="0" collapsed="false">
      <c r="A21" s="9" t="s">
        <v>3513</v>
      </c>
      <c r="B21" s="2" t="s">
        <v>3514</v>
      </c>
      <c r="C21" s="2" t="s">
        <v>3515</v>
      </c>
      <c r="D21" s="2" t="s">
        <v>3516</v>
      </c>
      <c r="E21" s="2" t="s">
        <v>511</v>
      </c>
      <c r="F21" s="57" t="str">
        <f aca="false">TEXT(01_Data!$D$319,"0")&amp;" months late; Abilene "&amp;TEXT(01_Data!$D$317,"0.0")&amp;" of "&amp;TEXT(01_Data!$D$318,"0.0")&amp;" GW"</f>
        <v>7 months late; Abilene 1.2 of 2.1 GW</v>
      </c>
      <c r="G21" s="2" t="s">
        <v>3517</v>
      </c>
      <c r="H21" s="2"/>
    </row>
    <row r="22" customFormat="false" ht="15" hidden="false" customHeight="false" outlineLevel="0" collapsed="false">
      <c r="A22" s="9" t="s">
        <v>3518</v>
      </c>
      <c r="B22" s="2" t="s">
        <v>3519</v>
      </c>
      <c r="C22" s="57" t="str">
        <f aca="false">"+"&amp;TEXT(01_Data!$D$309,"0%")&amp;" per MW since Q4-2024 to "&amp;TEXT(01_Data!$D$308,"0.0")&amp;" $M per MW"</f>
        <v>+21% per MW since Q4-2024 to 17.6 $M per MW</v>
      </c>
      <c r="D22" s="2" t="s">
        <v>3520</v>
      </c>
      <c r="E22" s="2" t="s">
        <v>511</v>
      </c>
      <c r="F22" s="2" t="s">
        <v>3521</v>
      </c>
      <c r="G22" s="2" t="s">
        <v>3502</v>
      </c>
      <c r="H22" s="2"/>
    </row>
    <row r="23" customFormat="false" ht="15" hidden="false" customHeight="false" outlineLevel="0" collapsed="false">
      <c r="A23" s="9" t="s">
        <v>3522</v>
      </c>
      <c r="B23" s="2" t="s">
        <v>3523</v>
      </c>
      <c r="C23" s="57" t="str">
        <f aca="false">"H100 new "&amp;TEXT(01_Data!$D$310/00_Assumptions!$J$90,"0")&amp;"-"&amp;TEXT(01_Data!$D$311/00_Assumptions!$J$90,"0")&amp;"K vs used "&amp;TEXT(01_Data!$D$312/00_Assumptions!$J$90,"0.0")&amp;"-"&amp;TEXT(01_Data!$D$313/00_Assumptions!$J$90,"0")&amp;"K: used at "&amp;TEXT(01_Data!$D$312/01_Data!$D$310,"0%")&amp;"-"&amp;TEXT(01_Data!$D$313/01_Data!$D$311,"0%")&amp;" of new"</f>
        <v>H100 new 25-40K vs used 8.2-25K: used at 33%-63% of new</v>
      </c>
      <c r="D23" s="2" t="s">
        <v>3524</v>
      </c>
      <c r="E23" s="2" t="s">
        <v>511</v>
      </c>
      <c r="F23" s="2" t="s">
        <v>3525</v>
      </c>
      <c r="G23" s="2" t="s">
        <v>3512</v>
      </c>
      <c r="H23" s="2"/>
    </row>
    <row r="24" customFormat="false" ht="15" hidden="false" customHeight="false" outlineLevel="0" collapsed="false">
      <c r="A24" s="9" t="s">
        <v>3526</v>
      </c>
      <c r="B24" s="2" t="s">
        <v>3527</v>
      </c>
      <c r="C24" s="57" t="str">
        <f aca="false">"Microsoft datacenter useful life "&amp;TEXT(01_Data!$D$314,"0")&amp;" -&gt; "&amp;TEXT(01_Data!$D$315,"0")&amp;" years while GPUs stay short-lived (~two-thirds of capex)"</f>
        <v>Microsoft datacenter useful life 15 -&gt; 25 years while GPUs stay short-lived (~two-thirds of capex)</v>
      </c>
      <c r="D24" s="2" t="s">
        <v>3528</v>
      </c>
      <c r="E24" s="2" t="s">
        <v>511</v>
      </c>
      <c r="F24" s="2" t="s">
        <v>3529</v>
      </c>
      <c r="G24" s="2" t="s">
        <v>3530</v>
      </c>
      <c r="H24" s="2"/>
    </row>
    <row r="26" customFormat="false" ht="15" hidden="false" customHeight="false" outlineLevel="0" collapsed="false">
      <c r="A26" s="84" t="s">
        <v>3531</v>
      </c>
    </row>
    <row r="27" customFormat="false" ht="15" hidden="false" customHeight="false" outlineLevel="0" collapsed="false">
      <c r="A27" s="9" t="s">
        <v>3532</v>
      </c>
      <c r="D27" s="14" t="n">
        <f aca="false">02_Revenue!$M$55/01_Data!$D$57-1</f>
        <v>4.758</v>
      </c>
      <c r="E27" s="7" t="str">
        <f aca="false">IF(ABS((D27)-00_Assumptions!$D$219)&lt;=00_Assumptions!$E$219,"PASS","FAIL: "&amp;TEXT((D27)-00_Assumptions!$D$219,"#,##0.000"))</f>
        <v>PASS</v>
      </c>
    </row>
    <row r="28" customFormat="false" ht="15" hidden="false" customHeight="false" outlineLevel="0" collapsed="false">
      <c r="A28" s="9" t="s">
        <v>3533</v>
      </c>
      <c r="D28" s="14" t="n">
        <f aca="false">D27*01_Data!$D$384</f>
        <v>3.3306</v>
      </c>
      <c r="E28" s="7" t="str">
        <f aca="false">IF(ABS((D28)-00_Assumptions!$D$220)&lt;=00_Assumptions!$E$220,"PASS","FAIL: "&amp;TEXT((D28)-00_Assumptions!$D$220,"#,##0.000"))</f>
        <v>PASS</v>
      </c>
    </row>
    <row r="29" customFormat="false" ht="15" hidden="false" customHeight="false" outlineLevel="0" collapsed="false">
      <c r="A29" s="9" t="s">
        <v>3534</v>
      </c>
      <c r="D29" s="11" t="n">
        <f aca="false">02_Revenue!$M$55*(1+D28)</f>
        <v>249355.948</v>
      </c>
      <c r="E29" s="7" t="str">
        <f aca="false">IF(ABS((D29)-00_Assumptions!$D$221)&lt;=00_Assumptions!$E$221,"PASS","FAIL: "&amp;TEXT((D29)-00_Assumptions!$D$221,"#,##0.000"))</f>
        <v>PASS</v>
      </c>
      <c r="F29" s="31" t="n">
        <f aca="false">LB_10</f>
        <v>190000</v>
      </c>
      <c r="G29" s="31" t="n">
        <f aca="false">01_Data!$D$32</f>
        <v>200000</v>
      </c>
      <c r="H29" s="2" t="s">
        <v>3535</v>
      </c>
    </row>
    <row r="30" customFormat="false" ht="15" hidden="false" customHeight="false" outlineLevel="0" collapsed="false">
      <c r="A30" s="2" t="s">
        <v>3536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2026-09-09T21:21:34Z</dcterms:created>
  <dc:creator>openpyxl</dc:creator>
  <dc:description/>
  <dc:language>en-US</dc:language>
  <cp:lastModifiedBy/>
  <dcterms:modified xsi:type="dcterms:W3CDTF">2026-09-09T21:21:35Z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