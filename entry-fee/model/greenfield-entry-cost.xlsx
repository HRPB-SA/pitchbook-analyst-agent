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Assumptions" sheetId="1" state="visible" r:id="rId3"/>
    <sheet name="01_Data" sheetId="2" state="visible" r:id="rId4"/>
    <sheet name="02_Compute" sheetId="3" state="visible" r:id="rId5"/>
    <sheet name="03_Facility" sheetId="4" state="visible" r:id="rId6"/>
    <sheet name="04_Training" sheetId="5" state="visible" r:id="rId7"/>
    <sheet name="05_Inference" sheetId="6" state="visible" r:id="rId8"/>
    <sheet name="06_People_Other" sheetId="7" state="visible" r:id="rId9"/>
    <sheet name="07_Cash" sheetId="8" state="visible" r:id="rId10"/>
    <sheet name="08_Reference" sheetId="9" state="visible" r:id="rId11"/>
    <sheet name="09_Output" sheetId="10" state="visible" r:id="rId12"/>
  </sheets>
  <definedNames>
    <definedName function="false" hidden="false" name="SW_GF" vbProcedure="false">00_Assumptions!$C$4</definedName>
    <definedName function="false" hidden="false" name="SW_GF_BACKSTOP" vbProcedure="false">00_Assumptions!$C$5</definedName>
    <definedName function="false" hidden="false" name="SW_GF_MODELCLASS" vbProcedure="false">00_Assumptions!$C$7</definedName>
    <definedName function="false" hidden="false" name="SW_GF_REGION" vbProcedure="false">00_Assumptions!$C$6</definedName>
    <definedName function="false" hidden="false" name="SW_SSI" vbProcedure="false">00_Assumptions!$C$8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<sst xmlns="http://schemas.openxmlformats.org/spreadsheetml/2006/main" count="3916" uniqueCount="1385">
  <si>
    <t xml:space="preserve">00_Assumptions (Workbook B): timeline Y1-Y5 (D:H), scenario switch SW_GF (C4), switches SW_GF_BACKSTOP / SW_GF_REGION / SW_GF_MODELCLASS / SW_SSI, AJ drivers by scenario (yellow; columns D Lean / E Full / F VI; G live; H-I range), time-series drivers, unit constants, expected-magnitude bands (spec section 7.4) and reference-class bands (section 7.5).</t>
  </si>
  <si>
    <t xml:space="preserve">Year index (numeric, typed once)</t>
  </si>
  <si>
    <t xml:space="preserve">Timeline label</t>
  </si>
  <si>
    <t xml:space="preserve">Scenario switch SW_GF (1 Lean fast-follower / 2 Full frontier / 3 Vertically integrated with custom silicon)</t>
  </si>
  <si>
    <t xml:space="preserve">SW_GF_BACKSTOP: vendor backstop obtained for purchased clusters? (selector in D: 1 No / 2 Yes)</t>
  </si>
  <si>
    <t xml:space="preserve">No = neocloud unsecured 9.0-9.75% (L-059); Yes = SPV A2 5.75% (L-044)</t>
  </si>
  <si>
    <t xml:space="preserve">SW_GF_REGION: power price region for owned MW (selector: 1 Texas / 2 Virginia / 3 Ohio / 4 Norway AJ)</t>
  </si>
  <si>
    <t xml:space="preserve">EIA industrial prices (L-108, T1); Norway AJ 40-60</t>
  </si>
  <si>
    <t xml:space="preserve">SW_GF_MODELCLASS: serving model class for G20 (selector: 1 scenario default / 2 MoE-efficient / 3 dense-frontier)</t>
  </si>
  <si>
    <t xml:space="preserve">Lean default MoE-efficient; Full and VI default dense-frontier (L-164 anchors)</t>
  </si>
  <si>
    <t xml:space="preserve">SW_SSI (mirrored from Workbook A, C-08): SSI total raised (selector: 1 PB 7,000 / 2 press 8,000)</t>
  </si>
  <si>
    <t xml:space="preserve">AJ driver (scalar)</t>
  </si>
  <si>
    <t xml:space="preserve">Unit</t>
  </si>
  <si>
    <t xml:space="preserve">Tag (AJ · anchor)</t>
  </si>
  <si>
    <t xml:space="preserve">1 Lean</t>
  </si>
  <si>
    <t xml:space="preserve">2 Full</t>
  </si>
  <si>
    <t xml:space="preserve">3 VI</t>
  </si>
  <si>
    <t xml:space="preserve">Live (SW_GF)</t>
  </si>
  <si>
    <t xml:space="preserve">Range low</t>
  </si>
  <si>
    <t xml:space="preserve">Range high</t>
  </si>
  <si>
    <t xml:space="preserve">Note</t>
  </si>
  <si>
    <t xml:space="preserve">Purchase price per GPU (Full: GB300 NVL72 mid rack / 72; VI: GB200 mid rack / 72)</t>
  </si>
  <si>
    <t xml:space="preserve">$ per GPU</t>
  </si>
  <si>
    <t xml:space="preserve">AJ · G01 (L-103, T4 index)</t>
  </si>
  <si>
    <t xml:space="preserve">Lean buys nothing</t>
  </si>
  <si>
    <t xml:space="preserve">Contracted GPU-hour rate (Lean/VI neocloud p25; Full hyperscaler p50)</t>
  </si>
  <si>
    <t xml:space="preserve">$ per GPU-hr</t>
  </si>
  <si>
    <t xml:space="preserve">AJ · G03 (L-105, T3)</t>
  </si>
  <si>
    <t xml:space="preserve">Training-cluster utilization (G07)</t>
  </si>
  <si>
    <t xml:space="preserve">fraction</t>
  </si>
  <si>
    <t xml:space="preserve">AJ · G07 (no row): 70-85%</t>
  </si>
  <si>
    <t xml:space="preserve">Inference utilization (G07)</t>
  </si>
  <si>
    <t xml:space="preserve">AJ · G07 (no row): 40-70%</t>
  </si>
  <si>
    <t xml:space="preserve">Debt share of purchased capex (Full 60%; VI AJ 60%)</t>
  </si>
  <si>
    <t xml:space="preserve">AJ · spec section 7.3</t>
  </si>
  <si>
    <t xml:space="preserve">GPU depreciation life (AJ)</t>
  </si>
  <si>
    <t xml:space="preserve">yrs</t>
  </si>
  <si>
    <t xml:space="preserve">AJ · spec section 7.3 (3 yrs)</t>
  </si>
  <si>
    <t xml:space="preserve">Debt principal straight-line (AJ)</t>
  </si>
  <si>
    <t xml:space="preserve">AJ · spec section 7.4 (4 yrs)</t>
  </si>
  <si>
    <t xml:space="preserve">Network fabric as share of purchased GPU BOM (G12)</t>
  </si>
  <si>
    <t xml:space="preserve">AJ · G12 (L-111, T3): 5.8-8% Blackwell</t>
  </si>
  <si>
    <t xml:space="preserve">Storage as share of cluster capex (G13, could-not-verify)</t>
  </si>
  <si>
    <t xml:space="preserve">HOLE-class · G13 (L-112, CNV, T4): 2-5%</t>
  </si>
  <si>
    <t xml:space="preserve">Facility MW per 1,000 GB200-class GPUs (G05)</t>
  </si>
  <si>
    <t xml:space="preserve">MW</t>
  </si>
  <si>
    <t xml:space="preserve">AJ · G05 (L-107, T3): 2.0-2.2</t>
  </si>
  <si>
    <t xml:space="preserve">Power utilization of owned MW</t>
  </si>
  <si>
    <t xml:space="preserve">AJ · G07</t>
  </si>
  <si>
    <t xml:space="preserve">Powered-shell colocation rate for owned clusters (Beacon Point T1 as Base)</t>
  </si>
  <si>
    <t xml:space="preserve">$M per MW-yr</t>
  </si>
  <si>
    <t xml:space="preserve">AJ · G10 (L-167 T1; L-148 T1; L-136 T2): 1.76-2.4</t>
  </si>
  <si>
    <t xml:space="preserve">Greenfield build cost (G08)</t>
  </si>
  <si>
    <t xml:space="preserve">$M per MW</t>
  </si>
  <si>
    <t xml:space="preserve">AJ · G08 (L-109, T2); AI-dense 20 sensitivity</t>
  </si>
  <si>
    <t xml:space="preserve">Owned datacenter build target (VI: 1 GW-IT by Y4)</t>
  </si>
  <si>
    <t xml:space="preserve">Development multiple: total development compute = G16 x final-run compute</t>
  </si>
  <si>
    <t xml:space="preserve">x</t>
  </si>
  <si>
    <t xml:space="preserve">AJ · G16 (Epoch cost-share structure as colour, L-115): 3-5x</t>
  </si>
  <si>
    <t xml:space="preserve">Failed-run allowance as share of final-run compute</t>
  </si>
  <si>
    <t xml:space="preserve">AJ · G17 (no row): 30-50%</t>
  </si>
  <si>
    <t xml:space="preserve">Frontier-class threshold for the Lean milestone: prior-generation class run (Llama 3.1-405B / GPT-4.5 pre-train, L-115); Full and VI use the current-year G14 path</t>
  </si>
  <si>
    <t xml:space="preserve">$M</t>
  </si>
  <si>
    <t xml:space="preserve">AJ · L-115 anchors; fast follower matches last generation</t>
  </si>
  <si>
    <t xml:space="preserve">Blended list price realised on billed tokens (Opus 5 mix of input and output; G19)</t>
  </si>
  <si>
    <t xml:space="preserve">$ per MTok</t>
  </si>
  <si>
    <t xml:space="preserve">AJ · G19 (L-084, T1)</t>
  </si>
  <si>
    <t xml:space="preserve">mid of Opus 5 input 5 and output 25 = 15; blended by a 1:1 token mix (AJ)</t>
  </si>
  <si>
    <t xml:space="preserve">Discounting off list (enterprise, batch, cache)</t>
  </si>
  <si>
    <t xml:space="preserve">AJ · spec section 7.3: 30-50%</t>
  </si>
  <si>
    <t xml:space="preserve">Leaders as share of headcount (10% at 100 heads cannot hold at 3,000: AJ shrinks with scale)</t>
  </si>
  <si>
    <t xml:space="preserve">AJ · spec section 7.3 (10% at Lean)</t>
  </si>
  <si>
    <t xml:space="preserve">Leader comp per head per year (G21: 5-25 typical; 25-100 at the extreme)</t>
  </si>
  <si>
    <t xml:space="preserve">$M/yr</t>
  </si>
  <si>
    <t xml:space="preserve">AJ · G21 (L-094, T2)</t>
  </si>
  <si>
    <t xml:space="preserve">Senior IC share of headcount</t>
  </si>
  <si>
    <t xml:space="preserve">AJ · spec section 7.3 (40%)</t>
  </si>
  <si>
    <t xml:space="preserve">Senior IC total comp per head (G21 T4 band 0.5-1.5)</t>
  </si>
  <si>
    <t xml:space="preserve">AJ · G21 (L-094 notes, T4)</t>
  </si>
  <si>
    <t xml:space="preserve">Engineer total comp per head (G21 T4 band 0.30-0.76)</t>
  </si>
  <si>
    <t xml:space="preserve">AJ · G21 (L-092 notes, T4)</t>
  </si>
  <si>
    <t xml:space="preserve">Safety / eval as share of research headcount cost (G25)</t>
  </si>
  <si>
    <t xml:space="preserve">AJ · G25 (L-117 CNV as colour): 3% / 5% / 5%</t>
  </si>
  <si>
    <t xml:space="preserve">Legal reserve per year (G26)</t>
  </si>
  <si>
    <t xml:space="preserve">AJ · G26 (L-086, L-088 as colour): reserve 500-1,500 over 5 yrs</t>
  </si>
  <si>
    <t xml:space="preserve">Compliance / policy per year (G26)</t>
  </si>
  <si>
    <t xml:space="preserve">AJ · G26: 20-50</t>
  </si>
  <si>
    <t xml:space="preserve">GTM and G&amp;A as share of headcount cost (G27)</t>
  </si>
  <si>
    <t xml:space="preserve">AJ · G27 (L-118 T4 mix as colour): Lean 20%; scenarios 2-3 40-60%</t>
  </si>
  <si>
    <t xml:space="preserve">Data licensing per year (G23)</t>
  </si>
  <si>
    <t xml:space="preserve">AJ · G23 (L-113, T1): Lean 50-200; scenarios 2-3 300-1,000</t>
  </si>
  <si>
    <t xml:space="preserve">Custom ASIC program per year, NRE and team (G29; VI only)</t>
  </si>
  <si>
    <t xml:space="preserve">AJ · G29 (no row): 1,000-3,000 for 3-4 yrs</t>
  </si>
  <si>
    <t xml:space="preserve">First-silicon risk allowance on the ASIC program (G29)</t>
  </si>
  <si>
    <t xml:space="preserve">AJ · G29</t>
  </si>
  <si>
    <t xml:space="preserve">ASIC program years to first GA (G29: 3-4)</t>
  </si>
  <si>
    <t xml:space="preserve">Share of merchant GPUs replaced by the ASIC from Y5 (VI; vendor 'half cost' claim flagged)</t>
  </si>
  <si>
    <t xml:space="preserve">AJ · spec section 7.3; G18 (L-050 vendor)</t>
  </si>
  <si>
    <t xml:space="preserve">ASIC cost relative to a GPU (vendor claim: half)</t>
  </si>
  <si>
    <t xml:space="preserve">vendor claim · G18 (L-050, T1 vendor) · FLAGGED</t>
  </si>
  <si>
    <t xml:space="preserve">Share of VI headcount costed inside G29 (silicon team), excluded from the people line</t>
  </si>
  <si>
    <t xml:space="preserve">AJ · spec section 7.3 ('ASIC team inside G29')</t>
  </si>
  <si>
    <t xml:space="preserve">AJ probability of reaching $1B net revenue by the milestone year</t>
  </si>
  <si>
    <t xml:space="preserve">AJ · spec section 7.4: 30-50% / 60-80% / 60-80% (reference: TML, Mistral, SSI)</t>
  </si>
  <si>
    <t xml:space="preserve">Revenue milestone threshold ($1B net revenue)</t>
  </si>
  <si>
    <t xml:space="preserve">spec section 7.4</t>
  </si>
  <si>
    <t xml:space="preserve">Cost of debt for purchased clusters: SPV A2 5.75% if SW_GF_BACKSTOP = Yes, else neocloud unsecured midpoint 9.375% (VI: OEM equipment financing 7-8% shown as the range)</t>
  </si>
  <si>
    <t xml:space="preserve">G04 (L-059 T1; L-044 T3; equipment AJ)</t>
  </si>
  <si>
    <t xml:space="preserve">Frontier-threshold lag (years): Full and VI judge the first frontier-class run against G14 of (year - lag); VI lag 1 because its owned cluster is bought in Y2 and lands Y2-Y3, so the Y3 run is judged against the Y2 frontier it was bought to train (AJ, flagged)</t>
  </si>
  <si>
    <t xml:space="preserve">AJ · spec section 7.4 milestone reasoning ('VI Y3 because the owned cluster lands Y2-Y3')</t>
  </si>
  <si>
    <t xml:space="preserve">Unit constants: hours per year; $ per $M; seconds per hour; tokens per MTok; GPUs per 1,000; MW per GW; $ per $K; unit one; unit zero; 20% tolerance for the section 7.4 magnitude check; 'near' band for the xAI reference (0.5x-2x); 60% utilization for the G20 x1.67 line; 5% relative tolerance for the G20 checks</t>
  </si>
  <si>
    <t xml:space="preserve">TIME-SERIES AJ DRIVERS BY SCENARIO (live row = CHOOSE on SW_GF; scenario rows yellow)</t>
  </si>
  <si>
    <t xml:space="preserve">Driver</t>
  </si>
  <si>
    <t xml:space="preserve">Tag</t>
  </si>
  <si>
    <t xml:space="preserve">GPUs leased (GB200/B200-class equivalents)</t>
  </si>
  <si>
    <t xml:space="preserve">GPUs</t>
  </si>
  <si>
    <t xml:space="preserve">AJ · spec section 7.3: Lean 25,000 -&gt; 50,000; Full 100,000 -&gt; 400,000 fleet with half purchased from Y2; VI merchant GPUs until the ASIC</t>
  </si>
  <si>
    <t xml:space="preserve">   1 Lean fast-follower</t>
  </si>
  <si>
    <t xml:space="preserve">   2 Full frontier</t>
  </si>
  <si>
    <t xml:space="preserve">   3 Vertically integrated with custom silicon</t>
  </si>
  <si>
    <t xml:space="preserve">GPUs owned (cumulative; purchased at GPU_PRICE)</t>
  </si>
  <si>
    <t xml:space="preserve">AJ · spec section 7.3: Full 50% purchased from Y2; VI 240,000 in Y2 (500 MW), 476,000 by Y4 (1 GW-IT)</t>
  </si>
  <si>
    <t xml:space="preserve">Lean: frontier-class final runs per year (capped by cluster size)</t>
  </si>
  <si>
    <t xml:space="preserve">runs</t>
  </si>
  <si>
    <t xml:space="preserve">AJ · spec section 7.3 (1 per year from Y2)</t>
  </si>
  <si>
    <t xml:space="preserve">Full / VI: annual training budget (1,500 Y1 -&gt; 7,000 Y3 = Anthropic 2026 -&gt; 14,000 Y5; G15 ceiling)</t>
  </si>
  <si>
    <t xml:space="preserve">AJ · spec section 7.3; G15 (L-125, T4)</t>
  </si>
  <si>
    <t xml:space="preserve">Y2 5,500 interpolated so the Y2 final-run-equivalent (budget / (G16 + G17)) reaches the current-year frontier (1,200), the spec's Full-frontier Y2 milestone</t>
  </si>
  <si>
    <t xml:space="preserve">Net revenue ramp (AJ; reference: TML 'a few hundred million' ~18 months in; Mistral 1,167 PB FY2026 ~3 yrs in)</t>
  </si>
  <si>
    <t xml:space="preserve">AJ · spec section 7.4 milestone years (Lean Y4 / Full Y3 / VI Y4 for $1B)</t>
  </si>
  <si>
    <t xml:space="preserve">Inference serving cost as % of revenue (64% Y1 anchor = OpenAI 2025, G18)</t>
  </si>
  <si>
    <t xml:space="preserve">AJ · G18 (L-083, L-063): 64% -&gt; 45% -&gt; 35% (Lean); 64% -&gt; 40% -&gt; 30% (Full, VI)</t>
  </si>
  <si>
    <t xml:space="preserve">Research and engineering headcount (VI incl. DC ops; silicon team inside G29)</t>
  </si>
  <si>
    <t xml:space="preserve">people</t>
  </si>
  <si>
    <t xml:space="preserve">AJ · spec section 7.3: 100 -&gt; 300; 500 -&gt; 3,000; 800 -&gt; 4,000</t>
  </si>
  <si>
    <t xml:space="preserve">Retention pool (G22: ~1,500 over two years = ~750 per year from Y3; scenarios 2-3)</t>
  </si>
  <si>
    <t xml:space="preserve">AJ · G22 (L-093, L-166 T3/CNV)</t>
  </si>
  <si>
    <t xml:space="preserve">Expert data / labeling (G24: Lean 100-300; scenarios 2-3 1,000-3,000 by Y3)</t>
  </si>
  <si>
    <t xml:space="preserve">AJ · G24 (L-114, T4)</t>
  </si>
  <si>
    <t xml:space="preserve">Greenfield build spend phasing (VI; 24-36 month lead time G09): first 500 MW by end-Y2, 1 GW by Y4</t>
  </si>
  <si>
    <t xml:space="preserve">AJ · G09 (no row) · sums to 100%</t>
  </si>
  <si>
    <t xml:space="preserve">EXPECTED MAGNITUDES AT BASE (spec section 7.4; typed once; 09_Output checks within +/- 20%) and REFERENCE-CLASS BANDS (section 7.5)</t>
  </si>
  <si>
    <t xml:space="preserve">Metric</t>
  </si>
  <si>
    <t xml:space="preserve">1 Lean low</t>
  </si>
  <si>
    <t xml:space="preserve">1 Lean high</t>
  </si>
  <si>
    <t xml:space="preserve">2 Full low</t>
  </si>
  <si>
    <t xml:space="preserve">2 Full high</t>
  </si>
  <si>
    <t xml:space="preserve">3 VI low</t>
  </si>
  <si>
    <t xml:space="preserve">3 VI high</t>
  </si>
  <si>
    <t xml:space="preserve">Y1 cash out</t>
  </si>
  <si>
    <t xml:space="preserve">Y2 cash out (VI only stated)</t>
  </si>
  <si>
    <t xml:space="preserve">Cumulative capital to the first frontier-class model</t>
  </si>
  <si>
    <t xml:space="preserve">Cumulative capital to the first $1B net revenue</t>
  </si>
  <si>
    <t xml:space="preserve">Cumulative capital to cash-flow breakeven</t>
  </si>
  <si>
    <t xml:space="preserve">Expected milestone year: first frontier-class model</t>
  </si>
  <si>
    <t xml:space="preserve">year</t>
  </si>
  <si>
    <t xml:space="preserve">Expected milestone year: first $1B net revenue</t>
  </si>
  <si>
    <t xml:space="preserve">Expected breakeven: Lean Y5 or never (Bear); Full beyond Y5 (Base); VI beyond Y5</t>
  </si>
  <si>
    <t xml:space="preserve">Reference-class band for Lean: entrants that raised 2,000-8,000 to a model with little revenue (TML seed / Reflection / SSI via SW_SSI / Mistral)</t>
  </si>
  <si>
    <t xml:space="preserve">L-097, L-098, L-099, L-100</t>
  </si>
  <si>
    <t xml:space="preserve">Reference-class band for Full frontier: below Anthropic's equity raised (124,254) and 'near' xAI's accumulated deficit (41,311) by Y4-Y5 (near = 0.5x-2x, AJ)</t>
  </si>
  <si>
    <t xml:space="preserve">L-007, L-096; AJ near band</t>
  </si>
  <si>
    <t xml:space="preserve">Reference-class floor for Vertically integrated: at or above xAI's deficit plus its 2025 AI-segment debt by Y5</t>
  </si>
  <si>
    <t xml:space="preserve">L-096</t>
  </si>
  <si>
    <t xml:space="preserve">Lease-vs-own expected (spec section 7.4): owning 1 GW-IT ~36,400 up front (17,600 build + 16,700 chips + 1,700 network + 500 storage) plus 400-620 per year of power; full-stack lease 12,500-16,300 per year; powered shell 1,760-2,400 per year; crossover ~2.5-3 years</t>
  </si>
  <si>
    <t xml:space="preserve">G20 expected serving cost per million output tokens at 100% utilization (spec section 9): MoE on-demand 0.22; dense on-demand 13-21</t>
  </si>
  <si>
    <t xml:space="preserve">spec section 9</t>
  </si>
  <si>
    <t xml:space="preserve">01_Data (Workbook B): greenfield anchors G01-G30 (model-spec.md section 7.2) and the reference class (section 7.5). Column C = source string (row · status · tier · as-of · basis). Blue = typed input; black = derived; yellow = AJ / could-not-verify.</t>
  </si>
  <si>
    <t xml:space="preserve">ID</t>
  </si>
  <si>
    <t xml:space="preserve">Item</t>
  </si>
  <si>
    <t xml:space="preserve">Source (row · status · tier · as-of · basis)</t>
  </si>
  <si>
    <t xml:space="preserve">Value</t>
  </si>
  <si>
    <t xml:space="preserve">As-of</t>
  </si>
  <si>
    <t xml:space="preserve">Basis</t>
  </si>
  <si>
    <t xml:space="preserve">Status</t>
  </si>
  <si>
    <t xml:space="preserve">Tier</t>
  </si>
  <si>
    <t xml:space="preserve">Decay</t>
  </si>
  <si>
    <t xml:space="preserve">Ledger row</t>
  </si>
  <si>
    <t xml:space="preserve">Used by</t>
  </si>
  <si>
    <t xml:space="preserve">G01 GPU purchase prices (index / channel; use ranges)</t>
  </si>
  <si>
    <t xml:space="preserve">H100_new_lo</t>
  </si>
  <si>
    <t xml:space="preserve">G01: H100 new, low</t>
  </si>
  <si>
    <t xml:space="preserve">L-103 · estimated · T4 · 2026-07-10 · GPU price index (no Nvidia list price for rack systems)</t>
  </si>
  <si>
    <t xml:space="preserve">$</t>
  </si>
  <si>
    <t xml:space="preserve">2026-07-10</t>
  </si>
  <si>
    <t xml:space="preserve">GPU price index (no Nvidia list price for rack systems)</t>
  </si>
  <si>
    <t xml:space="preserve">estimated</t>
  </si>
  <si>
    <t xml:space="preserve">T4</t>
  </si>
  <si>
    <t xml:space="preserve">VOLATILE</t>
  </si>
  <si>
    <t xml:space="preserve">L-103</t>
  </si>
  <si>
    <t xml:space="preserve">00, 02</t>
  </si>
  <si>
    <t xml:space="preserve">H100_new_hi</t>
  </si>
  <si>
    <t xml:space="preserve">G01: H100 new, high</t>
  </si>
  <si>
    <t xml:space="preserve">H100_used_lo</t>
  </si>
  <si>
    <t xml:space="preserve">G01: H100 used, low</t>
  </si>
  <si>
    <t xml:space="preserve">H100_used_hi</t>
  </si>
  <si>
    <t xml:space="preserve">G01: H100 used, high</t>
  </si>
  <si>
    <t xml:space="preserve">B200_lo</t>
  </si>
  <si>
    <t xml:space="preserve">G01: B200 unit, low</t>
  </si>
  <si>
    <t xml:space="preserve">B200_hi</t>
  </si>
  <si>
    <t xml:space="preserve">G01: B200 unit, high</t>
  </si>
  <si>
    <t xml:space="preserve">GB200_rack_lo</t>
  </si>
  <si>
    <t xml:space="preserve">G01: GB200 NVL72 rack, low</t>
  </si>
  <si>
    <t xml:space="preserve">GB200_rack_hi</t>
  </si>
  <si>
    <t xml:space="preserve">G01: GB200 NVL72 rack, high</t>
  </si>
  <si>
    <t xml:space="preserve">GB300_rack_lo</t>
  </si>
  <si>
    <t xml:space="preserve">G01: GB300 NVL72 rack, low</t>
  </si>
  <si>
    <t xml:space="preserve">GB300_rack_hi</t>
  </si>
  <si>
    <t xml:space="preserve">G01: GB300 NVL72 rack, high</t>
  </si>
  <si>
    <t xml:space="preserve">DGX_B300</t>
  </si>
  <si>
    <t xml:space="preserve">G01: DGX B300 (~)</t>
  </si>
  <si>
    <t xml:space="preserve">B200_mfg</t>
  </si>
  <si>
    <t xml:space="preserve">G01: B200 manufacturing cost (~)</t>
  </si>
  <si>
    <t xml:space="preserve">GPUS_PER_RACK</t>
  </si>
  <si>
    <t xml:space="preserve">GPUs per NVL72 rack</t>
  </si>
  <si>
    <t xml:space="preserve">L-103 · confirmed · T2 · 2026 · NVL72 = 72 GPUs</t>
  </si>
  <si>
    <t xml:space="preserve">2026</t>
  </si>
  <si>
    <t xml:space="preserve">NVL72 = 72 GPUs</t>
  </si>
  <si>
    <t xml:space="preserve">confirmed</t>
  </si>
  <si>
    <t xml:space="preserve">T2</t>
  </si>
  <si>
    <t xml:space="preserve">PERMANENT</t>
  </si>
  <si>
    <t xml:space="preserve">00</t>
  </si>
  <si>
    <t xml:space="preserve">G02 GPU-hour on-demand (provider price pages, T1) and G03 contracted large-cluster rates (T3)</t>
  </si>
  <si>
    <t xml:space="preserve">CW_H100</t>
  </si>
  <si>
    <t xml:space="preserve">G02: CoreWeave H100 per GPU-hr</t>
  </si>
  <si>
    <t xml:space="preserve">L-104 · confirmed · T1 · 2026-09-09 · provider price page; on-demand</t>
  </si>
  <si>
    <t xml:space="preserve">2026-09-09</t>
  </si>
  <si>
    <t xml:space="preserve">provider price page; on-demand</t>
  </si>
  <si>
    <t xml:space="preserve">T1</t>
  </si>
  <si>
    <t xml:space="preserve">L-104</t>
  </si>
  <si>
    <t xml:space="preserve">05 (G20), 02</t>
  </si>
  <si>
    <t xml:space="preserve">CW_H200</t>
  </si>
  <si>
    <t xml:space="preserve">G02: CoreWeave H200</t>
  </si>
  <si>
    <t xml:space="preserve">CW_B200</t>
  </si>
  <si>
    <t xml:space="preserve">G02: CoreWeave B200</t>
  </si>
  <si>
    <t xml:space="preserve">CW_GB200</t>
  </si>
  <si>
    <t xml:space="preserve">G02: CoreWeave GB200 NVL72 per GPU-hr</t>
  </si>
  <si>
    <t xml:space="preserve">LAM_B200</t>
  </si>
  <si>
    <t xml:space="preserve">G02: Lambda B200 (8x)</t>
  </si>
  <si>
    <t xml:space="preserve">LAM_H100</t>
  </si>
  <si>
    <t xml:space="preserve">G02: Lambda H100 SXM</t>
  </si>
  <si>
    <t xml:space="preserve">NEB_H100</t>
  </si>
  <si>
    <t xml:space="preserve">G02: Nebius H100</t>
  </si>
  <si>
    <t xml:space="preserve">NEB_B200</t>
  </si>
  <si>
    <t xml:space="preserve">G02: Nebius B200</t>
  </si>
  <si>
    <t xml:space="preserve">NEB_B300</t>
  </si>
  <si>
    <t xml:space="preserve">G02: Nebius B300</t>
  </si>
  <si>
    <t xml:space="preserve">CW_res_disc</t>
  </si>
  <si>
    <t xml:space="preserve">G02: CoreWeave reserved discount ('up to')</t>
  </si>
  <si>
    <t xml:space="preserve">L-104 · confirmed · T1 · 2026-09-09 · price page</t>
  </si>
  <si>
    <t xml:space="preserve">price page</t>
  </si>
  <si>
    <t xml:space="preserve">02</t>
  </si>
  <si>
    <t xml:space="preserve">NEB_res_disc</t>
  </si>
  <si>
    <t xml:space="preserve">G02: Nebius reservation discount ('up to')</t>
  </si>
  <si>
    <t xml:space="preserve">NEO_P25</t>
  </si>
  <si>
    <t xml:space="preserve">G03: B200 cluster, neocloud 25th percentile</t>
  </si>
  <si>
    <t xml:space="preserve">L-105 · estimated · T3 · 2026-04-20 · SemiAnalysis ClusterMAX</t>
  </si>
  <si>
    <t xml:space="preserve">2026-04-20</t>
  </si>
  <si>
    <t xml:space="preserve">SemiAnalysis ClusterMAX</t>
  </si>
  <si>
    <t xml:space="preserve">T3</t>
  </si>
  <si>
    <t xml:space="preserve">L-105</t>
  </si>
  <si>
    <t xml:space="preserve">00, 02, 05</t>
  </si>
  <si>
    <t xml:space="preserve">HYP_P50</t>
  </si>
  <si>
    <t xml:space="preserve">G03: B200 cluster, hyperscaler ~50th percentile</t>
  </si>
  <si>
    <t xml:space="preserve">L-105 · estimated · T3 · 2026-04-20 · SemiAnalysis</t>
  </si>
  <si>
    <t xml:space="preserve">SemiAnalysis</t>
  </si>
  <si>
    <t xml:space="preserve">GB300_EX</t>
  </si>
  <si>
    <t xml:space="preserve">G03: GB300 NVL72 example (5,184 GPUs)</t>
  </si>
  <si>
    <t xml:space="preserve">00, 05</t>
  </si>
  <si>
    <t xml:space="preserve">TCO_lo</t>
  </si>
  <si>
    <t xml:space="preserve">G03: hyperscaler TCO vs gold-tier neocloud, low</t>
  </si>
  <si>
    <t xml:space="preserve">L-105 · estimated · T3 · 2026-04-20 · LLM pretrain</t>
  </si>
  <si>
    <t xml:space="preserve">LLM pretrain</t>
  </si>
  <si>
    <t xml:space="preserve">09 (note)</t>
  </si>
  <si>
    <t xml:space="preserve">TCO_hi</t>
  </si>
  <si>
    <t xml:space="preserve">G03: hyperscaler TCO vs gold-tier neocloud, high</t>
  </si>
  <si>
    <t xml:space="preserve">L-105 · estimated · T3 · 2026-04-20 · multimodal RL</t>
  </si>
  <si>
    <t xml:space="preserve">multimodal RL</t>
  </si>
  <si>
    <t xml:space="preserve">G04 cost of debt; G05 power per GPU; G06 electricity; G08 datacenter build; G10 colocation; G11 full-stack lease</t>
  </si>
  <si>
    <t xml:space="preserve">NEO1</t>
  </si>
  <si>
    <t xml:space="preserve">G04: CoreWeave 2031 senior notes</t>
  </si>
  <si>
    <t xml:space="preserve">L-059, L-106 · confirmed · T1 · 2026-06-30 · 10-Q</t>
  </si>
  <si>
    <t xml:space="preserve">2026-06-30</t>
  </si>
  <si>
    <t xml:space="preserve">10-Q</t>
  </si>
  <si>
    <t xml:space="preserve">STABLE</t>
  </si>
  <si>
    <t xml:space="preserve">L-059, L-106</t>
  </si>
  <si>
    <t xml:space="preserve">NEO2</t>
  </si>
  <si>
    <t xml:space="preserve">G04: CoreWeave 2031 senior notes (second)</t>
  </si>
  <si>
    <t xml:space="preserve">NEO3</t>
  </si>
  <si>
    <t xml:space="preserve">G04: CoreWeave 2032 senior notes</t>
  </si>
  <si>
    <t xml:space="preserve">NEO_MID</t>
  </si>
  <si>
    <t xml:space="preserve">G04: neocloud unsecured, midpoint of 9.00-9.75%</t>
  </si>
  <si>
    <t xml:space="preserve">L-059 · confirmed · T1 · 2026-06-30 · derived</t>
  </si>
  <si>
    <t xml:space="preserve">derived</t>
  </si>
  <si>
    <t xml:space="preserve">L-059</t>
  </si>
  <si>
    <t xml:space="preserve">SPV_A2</t>
  </si>
  <si>
    <t xml:space="preserve">G04: vendor-backstopped SPV tranche A2</t>
  </si>
  <si>
    <t xml:space="preserve">L-044, L-106 · estimated · T3 · 2026-08-12 · Epoch AI; A1 = Treasuries + 1pt; B = 8.5%</t>
  </si>
  <si>
    <t xml:space="preserve">2026-08-12</t>
  </si>
  <si>
    <t xml:space="preserve">Epoch AI; A1 = Treasuries + 1pt; B = 8.5%</t>
  </si>
  <si>
    <t xml:space="preserve">L-044, L-106</t>
  </si>
  <si>
    <t xml:space="preserve">SPV_B</t>
  </si>
  <si>
    <t xml:space="preserve">G04: SPV tranche B</t>
  </si>
  <si>
    <t xml:space="preserve">L-044, L-106 · estimated · T3 · 2026-08-12 · Epoch AI</t>
  </si>
  <si>
    <t xml:space="preserve">Epoch AI</t>
  </si>
  <si>
    <t xml:space="preserve">EQUIP_lo</t>
  </si>
  <si>
    <t xml:space="preserve">G04: OEM equipment financing rate, low (AJ; exists, rate not stated)</t>
  </si>
  <si>
    <t xml:space="preserve">L-059 (existence) · estimated · AJ · 2026-06-30 · AJ 7-8%</t>
  </si>
  <si>
    <t xml:space="preserve">AJ 7-8%</t>
  </si>
  <si>
    <t xml:space="preserve">AJ</t>
  </si>
  <si>
    <t xml:space="preserve">L-059 (existence)</t>
  </si>
  <si>
    <t xml:space="preserve">EQUIP_hi</t>
  </si>
  <si>
    <t xml:space="preserve">G04: OEM equipment financing rate, high (AJ)</t>
  </si>
  <si>
    <t xml:space="preserve">MW_H100</t>
  </si>
  <si>
    <t xml:space="preserve">G05: facility MW per 1,000 H100-class GPUs</t>
  </si>
  <si>
    <t xml:space="preserve">L-107 · estimated · T3 · 2024-09 · Colossus rule of thumb; PUE embedded</t>
  </si>
  <si>
    <t xml:space="preserve">2024-09</t>
  </si>
  <si>
    <t xml:space="preserve">Colossus rule of thumb; PUE embedded</t>
  </si>
  <si>
    <t xml:space="preserve">L-107</t>
  </si>
  <si>
    <t xml:space="preserve">MW_GB200_lo</t>
  </si>
  <si>
    <t xml:space="preserve">G05: facility MW per 1,000 GB200-class GPUs, low</t>
  </si>
  <si>
    <t xml:space="preserve">L-107 · estimated · T3 · 2026 · rack 120-132 kW; ~1.2 kW per GPU</t>
  </si>
  <si>
    <t xml:space="preserve">rack 120-132 kW; ~1.2 kW per GPU</t>
  </si>
  <si>
    <t xml:space="preserve">MW_GB200_hi</t>
  </si>
  <si>
    <t xml:space="preserve">G05: facility MW per 1,000 GB200-class GPUs, high</t>
  </si>
  <si>
    <t xml:space="preserve">L-107 · estimated · T3 · 2026 · as above</t>
  </si>
  <si>
    <t xml:space="preserve">as above</t>
  </si>
  <si>
    <t xml:space="preserve">EIA_TX</t>
  </si>
  <si>
    <t xml:space="preserve">G06: industrial electricity price, Texas</t>
  </si>
  <si>
    <t xml:space="preserve">L-108 · confirmed · T1 · 2026-06 · EIA Table 5.6.A; large-load tariffs differ</t>
  </si>
  <si>
    <t xml:space="preserve">$ per MWh</t>
  </si>
  <si>
    <t xml:space="preserve">2026-06</t>
  </si>
  <si>
    <t xml:space="preserve">EIA Table 5.6.A; large-load tariffs differ</t>
  </si>
  <si>
    <t xml:space="preserve">QUARTERLY</t>
  </si>
  <si>
    <t xml:space="preserve">L-108</t>
  </si>
  <si>
    <t xml:space="preserve">03</t>
  </si>
  <si>
    <t xml:space="preserve">EIA_WA</t>
  </si>
  <si>
    <t xml:space="preserve">G06: industrial electricity price, Washington</t>
  </si>
  <si>
    <t xml:space="preserve">EIA_AZ</t>
  </si>
  <si>
    <t xml:space="preserve">G06: industrial electricity price, Arizona</t>
  </si>
  <si>
    <t xml:space="preserve">EIA_WY</t>
  </si>
  <si>
    <t xml:space="preserve">G06: industrial electricity price, Wyoming</t>
  </si>
  <si>
    <t xml:space="preserve">EIA_GA</t>
  </si>
  <si>
    <t xml:space="preserve">G06: industrial electricity price, Georgia</t>
  </si>
  <si>
    <t xml:space="preserve">EIA_US</t>
  </si>
  <si>
    <t xml:space="preserve">G06: industrial electricity price, US industrial average</t>
  </si>
  <si>
    <t xml:space="preserve">EIA_VA</t>
  </si>
  <si>
    <t xml:space="preserve">G06: industrial electricity price, Virginia</t>
  </si>
  <si>
    <t xml:space="preserve">EIA_OH</t>
  </si>
  <si>
    <t xml:space="preserve">G06: industrial electricity price, Ohio</t>
  </si>
  <si>
    <t xml:space="preserve">EIA_PA</t>
  </si>
  <si>
    <t xml:space="preserve">G06: industrial electricity price, Pennsylvania</t>
  </si>
  <si>
    <t xml:space="preserve">NOR_AJ</t>
  </si>
  <si>
    <t xml:space="preserve">G06: Norway (AJ 40-60; hydropower site per L-048)</t>
  </si>
  <si>
    <t xml:space="preserve">AJ (no row) · estimated · AJ · 2026 · AJ</t>
  </si>
  <si>
    <t xml:space="preserve">AJ (no row)</t>
  </si>
  <si>
    <t xml:space="preserve">BUILD</t>
  </si>
  <si>
    <t xml:space="preserve">G08: all-in greenfield build cost</t>
  </si>
  <si>
    <t xml:space="preserve">L-109 · confirmed · T2 · 2026-09-03 · Cushman &amp; Wakefield 2026 guide; +21% since Q4-2024</t>
  </si>
  <si>
    <t xml:space="preserve">2026-09-03</t>
  </si>
  <si>
    <t xml:space="preserve">Cushman &amp; Wakefield 2026 guide; +21% since Q4-2024</t>
  </si>
  <si>
    <t xml:space="preserve">L-109</t>
  </si>
  <si>
    <t xml:space="preserve">00, 03</t>
  </si>
  <si>
    <t xml:space="preserve">BUILD_AI</t>
  </si>
  <si>
    <t xml:space="preserve">G08: AI-dense build cost ('can exceed 20M')</t>
  </si>
  <si>
    <t xml:space="preserve">L-109 · estimated · T4 · 2026-09-03 · T4 note</t>
  </si>
  <si>
    <t xml:space="preserve">T4 note</t>
  </si>
  <si>
    <t xml:space="preserve">00 (range)</t>
  </si>
  <si>
    <t xml:space="preserve">SHELL_CORE</t>
  </si>
  <si>
    <t xml:space="preserve">G08: shell-and-core (JLL)</t>
  </si>
  <si>
    <t xml:space="preserve">L-109 · estimated · T4 · 2026 · JLL 2026 outlook</t>
  </si>
  <si>
    <t xml:space="preserve">JLL 2026 outlook</t>
  </si>
  <si>
    <t xml:space="preserve">LAND</t>
  </si>
  <si>
    <t xml:space="preserve">G08: powered land</t>
  </si>
  <si>
    <t xml:space="preserve">L-109 · confirmed · T2 · 2026 · primary US markets YTD 2026</t>
  </si>
  <si>
    <t xml:space="preserve">$ per MW</t>
  </si>
  <si>
    <t xml:space="preserve">primary US markets YTD 2026</t>
  </si>
  <si>
    <t xml:space="preserve">POWER_SHARE</t>
  </si>
  <si>
    <t xml:space="preserve">G08: power infrastructure share of greenfield cost</t>
  </si>
  <si>
    <t xml:space="preserve">L-109 · confirmed · T2 · 2026 · C&amp;W</t>
  </si>
  <si>
    <t xml:space="preserve">C&amp;W</t>
  </si>
  <si>
    <t xml:space="preserve">WHOLESALE_lo</t>
  </si>
  <si>
    <t xml:space="preserve">G10: wholesale colocation, low</t>
  </si>
  <si>
    <t xml:space="preserve">L-110 · estimated · T3 · 2026 · triple-net hyperscale/AI leases</t>
  </si>
  <si>
    <t xml:space="preserve">$ per kW-month</t>
  </si>
  <si>
    <t xml:space="preserve">triple-net hyperscale/AI leases</t>
  </si>
  <si>
    <t xml:space="preserve">L-110</t>
  </si>
  <si>
    <t xml:space="preserve">WHOLESALE_hi</t>
  </si>
  <si>
    <t xml:space="preserve">G10: wholesale colocation, high</t>
  </si>
  <si>
    <t xml:space="preserve">L-110 · estimated · T3 · 2026 · as above</t>
  </si>
  <si>
    <t xml:space="preserve">CS_tot</t>
  </si>
  <si>
    <t xml:space="preserve">G10: Core Scientific-AMD base contracted revenue</t>
  </si>
  <si>
    <t xml:space="preserve">L-148 · confirmed · T1 · 2026-07-28 · 15 yrs, 530 MW, 2.5% escalators</t>
  </si>
  <si>
    <t xml:space="preserve">2026-07-28</t>
  </si>
  <si>
    <t xml:space="preserve">15 yrs, 530 MW, 2.5% escalators</t>
  </si>
  <si>
    <t xml:space="preserve">L-148</t>
  </si>
  <si>
    <t xml:space="preserve">CS_MW</t>
  </si>
  <si>
    <t xml:space="preserve">G10: Core Scientific-AMD capacity</t>
  </si>
  <si>
    <t xml:space="preserve">L-148 · confirmed · T1 · 2026-07-28 · five sites</t>
  </si>
  <si>
    <t xml:space="preserve">five sites</t>
  </si>
  <si>
    <t xml:space="preserve">CS_term</t>
  </si>
  <si>
    <t xml:space="preserve">G10: Core Scientific-AMD term</t>
  </si>
  <si>
    <t xml:space="preserve">L-148 · confirmed · T1 · 2026-07-28 · 15-year agreements</t>
  </si>
  <si>
    <t xml:space="preserve">15-year agreements</t>
  </si>
  <si>
    <t xml:space="preserve">BP_val</t>
  </si>
  <si>
    <t xml:space="preserve">G10: Hut 8 Beacon Point campus base-term contract value</t>
  </si>
  <si>
    <t xml:space="preserve">L-167 · confirmed · T1 · 2026-07-20 · 15-yr, 704 MW; tenant Nvidia; 50,200 with renewals</t>
  </si>
  <si>
    <t xml:space="preserve">2026-07-20</t>
  </si>
  <si>
    <t xml:space="preserve">15-yr, 704 MW; tenant Nvidia; 50,200 with renewals</t>
  </si>
  <si>
    <t xml:space="preserve">L-167</t>
  </si>
  <si>
    <t xml:space="preserve">BP_MW</t>
  </si>
  <si>
    <t xml:space="preserve">G10: Beacon Point tenant capacity</t>
  </si>
  <si>
    <t xml:space="preserve">L-167 · confirmed · T1 · 2026-07-20 · Hut 8 release</t>
  </si>
  <si>
    <t xml:space="preserve">Hut 8 release</t>
  </si>
  <si>
    <t xml:space="preserve">BP_term</t>
  </si>
  <si>
    <t xml:space="preserve">G10: Beacon Point lease term</t>
  </si>
  <si>
    <t xml:space="preserve">RIOT_tot</t>
  </si>
  <si>
    <t xml:space="preserve">G10: Riot powered-shell lease</t>
  </si>
  <si>
    <t xml:space="preserve">L-136 · confirmed · T2 · 2026-08-10 · 20 yrs, 191 MW</t>
  </si>
  <si>
    <t xml:space="preserve">2026-08-10</t>
  </si>
  <si>
    <t xml:space="preserve">20 yrs, 191 MW</t>
  </si>
  <si>
    <t xml:space="preserve">L-136</t>
  </si>
  <si>
    <t xml:space="preserve">RIOT_MW</t>
  </si>
  <si>
    <t xml:space="preserve">G10: Riot capacity</t>
  </si>
  <si>
    <t xml:space="preserve">L-136 · confirmed · T2 · 2026-08-10 · Rockdale</t>
  </si>
  <si>
    <t xml:space="preserve">Rockdale</t>
  </si>
  <si>
    <t xml:space="preserve">RIOT_term</t>
  </si>
  <si>
    <t xml:space="preserve">G10: Riot term</t>
  </si>
  <si>
    <t xml:space="preserve">L-136 · confirmed · T2 · 2026-08-10 · through June 2048</t>
  </si>
  <si>
    <t xml:space="preserve">through June 2048</t>
  </si>
  <si>
    <t xml:space="preserve">CS_rate</t>
  </si>
  <si>
    <t xml:space="preserve">G10: Core Scientific-AMD powered shell (derived)</t>
  </si>
  <si>
    <t xml:space="preserve">L-148 · confirmed · T1 (derived) · 2026-07-28 · equals 14,000 / 530 / 15</t>
  </si>
  <si>
    <t xml:space="preserve">equals 14,000 / 530 / 15</t>
  </si>
  <si>
    <t xml:space="preserve">T1 (derived)</t>
  </si>
  <si>
    <t xml:space="preserve">00, 09</t>
  </si>
  <si>
    <t xml:space="preserve">BP_rate</t>
  </si>
  <si>
    <t xml:space="preserve">G10: Hut 8 Beacon Point powered shell (derived)</t>
  </si>
  <si>
    <t xml:space="preserve">L-167 · confirmed · T1 (derived) · 2026-07-20 · equals 19,600 / 704 / 15 (~155 per kW-month)</t>
  </si>
  <si>
    <t xml:space="preserve">equals 19,600 / 704 / 15 (~155 per kW-month)</t>
  </si>
  <si>
    <t xml:space="preserve">RIOT_rate</t>
  </si>
  <si>
    <t xml:space="preserve">G10: Riot powered shell (derived)</t>
  </si>
  <si>
    <t xml:space="preserve">L-136 · confirmed · T2 (derived) · 2026-08-10 · equals 9,100 / 191 / 20</t>
  </si>
  <si>
    <t xml:space="preserve">equals 9,100 / 191 / 20</t>
  </si>
  <si>
    <t xml:space="preserve">T2 (derived)</t>
  </si>
  <si>
    <t xml:space="preserve">RETAIL_lo</t>
  </si>
  <si>
    <t xml:space="preserve">G10: retail colocation, low</t>
  </si>
  <si>
    <t xml:space="preserve">L-110 · estimated · T4 · 2026 · retail</t>
  </si>
  <si>
    <t xml:space="preserve">retail</t>
  </si>
  <si>
    <t xml:space="preserve">RETAIL_hi</t>
  </si>
  <si>
    <t xml:space="preserve">G10: retail colocation, high</t>
  </si>
  <si>
    <t xml:space="preserve">NSCALE_tot</t>
  </si>
  <si>
    <t xml:space="preserve">G11: Nscale full-stack deal</t>
  </si>
  <si>
    <t xml:space="preserve">L-135, L-134 · confirmed · T2 · 2026-08-26 · 6 yrs, ~460 MW Vera Rubin</t>
  </si>
  <si>
    <t xml:space="preserve">2026-08-26</t>
  </si>
  <si>
    <t xml:space="preserve">6 yrs, ~460 MW Vera Rubin</t>
  </si>
  <si>
    <t xml:space="preserve">L-135, L-134</t>
  </si>
  <si>
    <t xml:space="preserve">NSCALE_MW</t>
  </si>
  <si>
    <t xml:space="preserve">G11: Nscale capacity</t>
  </si>
  <si>
    <t xml:space="preserve">L-135 · estimated · T3 · 2026-08-26 · relay</t>
  </si>
  <si>
    <t xml:space="preserve">relay</t>
  </si>
  <si>
    <t xml:space="preserve">L-135</t>
  </si>
  <si>
    <t xml:space="preserve">NSCALE_term</t>
  </si>
  <si>
    <t xml:space="preserve">G11: Nscale term</t>
  </si>
  <si>
    <t xml:space="preserve">L-135 · confirmed · T2 · 2026-08-26 · six years</t>
  </si>
  <si>
    <t xml:space="preserve">six years</t>
  </si>
  <si>
    <t xml:space="preserve">VOLTA_tot</t>
  </si>
  <si>
    <t xml:space="preserve">G11: Volta full-stack deal</t>
  </si>
  <si>
    <t xml:space="preserve">L-048, L-134 · estimated · T3 · 2026-08-04 · 6 yrs, 133 MW</t>
  </si>
  <si>
    <t xml:space="preserve">2026-08-04</t>
  </si>
  <si>
    <t xml:space="preserve">6 yrs, 133 MW</t>
  </si>
  <si>
    <t xml:space="preserve">L-048, L-134</t>
  </si>
  <si>
    <t xml:space="preserve">VOLTA_MW</t>
  </si>
  <si>
    <t xml:space="preserve">G11: Volta capacity</t>
  </si>
  <si>
    <t xml:space="preserve">L-048 · estimated · T3 · 2026-08-04 · Tydal</t>
  </si>
  <si>
    <t xml:space="preserve">Tydal</t>
  </si>
  <si>
    <t xml:space="preserve">L-048</t>
  </si>
  <si>
    <t xml:space="preserve">VOLTA_term</t>
  </si>
  <si>
    <t xml:space="preserve">G11: Volta term</t>
  </si>
  <si>
    <t xml:space="preserve">L-048 · estimated · T3 · 2026-08-04 · six years</t>
  </si>
  <si>
    <t xml:space="preserve">FS_NSCALE</t>
  </si>
  <si>
    <t xml:space="preserve">G11: full-stack lease rate, Nscale (derived)</t>
  </si>
  <si>
    <t xml:space="preserve">L-134 · estimated · T3 (derived) · 2026-08 · equals 45,000 / 460 / 6</t>
  </si>
  <si>
    <t xml:space="preserve">2026-08</t>
  </si>
  <si>
    <t xml:space="preserve">equals 45,000 / 460 / 6</t>
  </si>
  <si>
    <t xml:space="preserve">T3 (derived)</t>
  </si>
  <si>
    <t xml:space="preserve">L-134</t>
  </si>
  <si>
    <t xml:space="preserve">FS_VOLTA</t>
  </si>
  <si>
    <t xml:space="preserve">G11: full-stack lease rate, Volta (derived)</t>
  </si>
  <si>
    <t xml:space="preserve">L-134 · estimated · T3 (derived) · 2026-08 · equals 10,000 / 133 / 6</t>
  </si>
  <si>
    <t xml:space="preserve">equals 10,000 / 133 / 6</t>
  </si>
  <si>
    <t xml:space="preserve">G12 network; G13 storage (could-not-verify); G14 training runs; G15 incumbent budgets</t>
  </si>
  <si>
    <t xml:space="preserve">NET_lo</t>
  </si>
  <si>
    <t xml:space="preserve">G12: network fabric share of GPU hardware cost, low</t>
  </si>
  <si>
    <t xml:space="preserve">L-111 · estimated · T3 · 2026-06-08 · Hedgehog (vendor-adjacent)</t>
  </si>
  <si>
    <t xml:space="preserve">2026-06-08</t>
  </si>
  <si>
    <t xml:space="preserve">Hedgehog (vendor-adjacent)</t>
  </si>
  <si>
    <t xml:space="preserve">L-111</t>
  </si>
  <si>
    <t xml:space="preserve">NET_hi</t>
  </si>
  <si>
    <t xml:space="preserve">G12: network fabric share, high</t>
  </si>
  <si>
    <t xml:space="preserve">L-111 · estimated · T3 · 2026-06-08 · Hedgehog</t>
  </si>
  <si>
    <t xml:space="preserve">Hedgehog</t>
  </si>
  <si>
    <t xml:space="preserve">NET_B200</t>
  </si>
  <si>
    <t xml:space="preserve">G12: network share, B200 BOM at 1,024 GPUs</t>
  </si>
  <si>
    <t xml:space="preserve">NET_GB300</t>
  </si>
  <si>
    <t xml:space="preserve">G12: network share, GB300</t>
  </si>
  <si>
    <t xml:space="preserve">NET_MI300</t>
  </si>
  <si>
    <t xml:space="preserve">G12: network share, MI300X</t>
  </si>
  <si>
    <t xml:space="preserve">IB_GPU</t>
  </si>
  <si>
    <t xml:space="preserve">G12: InfiniBand per GPU (T4)</t>
  </si>
  <si>
    <t xml:space="preserve">L-111 · estimated · T4 · 2026 · Spheron (T4)</t>
  </si>
  <si>
    <t xml:space="preserve">Spheron (T4)</t>
  </si>
  <si>
    <t xml:space="preserve">STO_lo</t>
  </si>
  <si>
    <t xml:space="preserve">G13: storage share of cluster capex, low (could-not-verify)</t>
  </si>
  <si>
    <t xml:space="preserve">L-112 · could-not-verify · T4 · 2026 · aggregators only; FLAGGED</t>
  </si>
  <si>
    <t xml:space="preserve">aggregators only; FLAGGED</t>
  </si>
  <si>
    <t xml:space="preserve">could-not-verify</t>
  </si>
  <si>
    <t xml:space="preserve">L-112</t>
  </si>
  <si>
    <t xml:space="preserve">STO_hi</t>
  </si>
  <si>
    <t xml:space="preserve">G13: storage share of cluster capex, high (could-not-verify)</t>
  </si>
  <si>
    <t xml:space="preserve">STO_node_lo</t>
  </si>
  <si>
    <t xml:space="preserve">G13: parallel FS node, low</t>
  </si>
  <si>
    <t xml:space="preserve">L-112 · could-not-verify · T4 · 2026 · WEKA-class node</t>
  </si>
  <si>
    <t xml:space="preserve">WEKA-class node</t>
  </si>
  <si>
    <t xml:space="preserve">STO_node_hi</t>
  </si>
  <si>
    <t xml:space="preserve">G13: parallel FS node, high</t>
  </si>
  <si>
    <t xml:space="preserve">L-112 · could-not-verify · T4 · 2026 · as above</t>
  </si>
  <si>
    <t xml:space="preserve">GPT4</t>
  </si>
  <si>
    <t xml:space="preserve">G14: final-run compute cost, GPT-4 (~)</t>
  </si>
  <si>
    <t xml:space="preserve">L-115 · estimated · T3 · 2024-06-03 / 2025-09-26 · Epoch AI; amortized hardware and energy for the final run</t>
  </si>
  <si>
    <t xml:space="preserve">2024-06-03 / 2025-09-26</t>
  </si>
  <si>
    <t xml:space="preserve">Epoch AI; amortized hardware and energy for the final run</t>
  </si>
  <si>
    <t xml:space="preserve">L-115</t>
  </si>
  <si>
    <t xml:space="preserve">00, 04</t>
  </si>
  <si>
    <t xml:space="preserve">GEMINI</t>
  </si>
  <si>
    <t xml:space="preserve">G14: final-run compute cost, Gemini Ultra (~)</t>
  </si>
  <si>
    <t xml:space="preserve">LLAMA</t>
  </si>
  <si>
    <t xml:space="preserve">G14: final-run compute cost, Llama 3.1-405B (~)</t>
  </si>
  <si>
    <t xml:space="preserve">GROK4</t>
  </si>
  <si>
    <t xml:space="preserve">G14: final-run compute cost, Grok 4 (~)</t>
  </si>
  <si>
    <t xml:space="preserve">GPT45</t>
  </si>
  <si>
    <t xml:space="preserve">G14: final-run compute cost, GPT-4.5 pre-training (~)</t>
  </si>
  <si>
    <t xml:space="preserve">GPT45_post</t>
  </si>
  <si>
    <t xml:space="preserve">G14: final-run compute cost, GPT-4.5 post-training (~)</t>
  </si>
  <si>
    <t xml:space="preserve">BY2027</t>
  </si>
  <si>
    <t xml:space="preserve">G14: final-run compute cost, largest runs by 2027 ('&gt;1,000')</t>
  </si>
  <si>
    <t xml:space="preserve">GROWTH</t>
  </si>
  <si>
    <t xml:space="preserve">G14: final-run cost growth since 2016</t>
  </si>
  <si>
    <t xml:space="preserve">L-115 · estimated · T3 · 2024-06-03 · Epoch AI</t>
  </si>
  <si>
    <t xml:space="preserve">x per yr</t>
  </si>
  <si>
    <t xml:space="preserve">2024-06-03</t>
  </si>
  <si>
    <t xml:space="preserve">04</t>
  </si>
  <si>
    <t xml:space="preserve">SH_hw_lo</t>
  </si>
  <si>
    <t xml:space="preserve">G14: development cost shares, hardware share, low</t>
  </si>
  <si>
    <t xml:space="preserve">SH_hw_hi</t>
  </si>
  <si>
    <t xml:space="preserve">G14: development cost shares, hardware share, high</t>
  </si>
  <si>
    <t xml:space="preserve">SH_staff_lo</t>
  </si>
  <si>
    <t xml:space="preserve">G14: development cost shares, R&amp;D staff share, low</t>
  </si>
  <si>
    <t xml:space="preserve">SH_staff_hi</t>
  </si>
  <si>
    <t xml:space="preserve">G14: development cost shares, R&amp;D staff share, high</t>
  </si>
  <si>
    <t xml:space="preserve">SH_en_lo</t>
  </si>
  <si>
    <t xml:space="preserve">G14: development cost shares, energy share, low</t>
  </si>
  <si>
    <t xml:space="preserve">SH_en_hi</t>
  </si>
  <si>
    <t xml:space="preserve">G14: development cost shares, energy share, high</t>
  </si>
  <si>
    <t xml:space="preserve">ANT_T26</t>
  </si>
  <si>
    <t xml:space="preserve">G15: incumbent annual training budget, Anthropic 2026E</t>
  </si>
  <si>
    <t xml:space="preserve">L-125 · recalled · T4 · undated leaked docs · annual training-compute budget (C-11); ceiling for scenario 2</t>
  </si>
  <si>
    <t xml:space="preserve">undated leaked docs</t>
  </si>
  <si>
    <t xml:space="preserve">annual training-compute budget (C-11); ceiling for scenario 2</t>
  </si>
  <si>
    <t xml:space="preserve">recalled</t>
  </si>
  <si>
    <t xml:space="preserve">L-125</t>
  </si>
  <si>
    <t xml:space="preserve">ANT_T27</t>
  </si>
  <si>
    <t xml:space="preserve">G15: incumbent annual training budget, Anthropic 2027E</t>
  </si>
  <si>
    <t xml:space="preserve">ANT_T28</t>
  </si>
  <si>
    <t xml:space="preserve">G15: incumbent annual training budget, Anthropic 2028E</t>
  </si>
  <si>
    <t xml:space="preserve">OAI_T26</t>
  </si>
  <si>
    <t xml:space="preserve">G15: incumbent annual training budget, OpenAI 2026E</t>
  </si>
  <si>
    <t xml:space="preserve">OAI_T27</t>
  </si>
  <si>
    <t xml:space="preserve">G15: incumbent annual training budget, OpenAI 2027E</t>
  </si>
  <si>
    <t xml:space="preserve">OAI_T28</t>
  </si>
  <si>
    <t xml:space="preserve">G15: incumbent annual training budget, OpenAI 2028E</t>
  </si>
  <si>
    <t xml:space="preserve">OAI_T29</t>
  </si>
  <si>
    <t xml:space="preserve">G15: incumbent annual training budget, OpenAI 2029E</t>
  </si>
  <si>
    <t xml:space="preserve">G18 inference proxies; G19 list prices; G20 throughput (L-164); G21-G22 comp and retention; G23-G27 data, safety, legal, GTM; G28-G29 silicon</t>
  </si>
  <si>
    <t xml:space="preserve">OAI_INF25</t>
  </si>
  <si>
    <t xml:space="preserve">G18: OpenAI inference cost 2025</t>
  </si>
  <si>
    <t xml:space="preserve">L-083 · estimated · T3 · 2025 · Sacra</t>
  </si>
  <si>
    <t xml:space="preserve">2025</t>
  </si>
  <si>
    <t xml:space="preserve">Sacra</t>
  </si>
  <si>
    <t xml:space="preserve">L-083</t>
  </si>
  <si>
    <t xml:space="preserve">OAI_REV25</t>
  </si>
  <si>
    <t xml:space="preserve">G18: OpenAI revenue 2025</t>
  </si>
  <si>
    <t xml:space="preserve">L-063 · confirmed · T2 · FY2025 · NET presumed</t>
  </si>
  <si>
    <t xml:space="preserve">FY2025</t>
  </si>
  <si>
    <t xml:space="preserve">NET presumed</t>
  </si>
  <si>
    <t xml:space="preserve">L-063</t>
  </si>
  <si>
    <t xml:space="preserve">OAI_INF26</t>
  </si>
  <si>
    <t xml:space="preserve">G18: OpenAI inference cost 2026E</t>
  </si>
  <si>
    <t xml:space="preserve">L-083 · estimated · T3 · 2026E · Sacra</t>
  </si>
  <si>
    <t xml:space="preserve">2026E</t>
  </si>
  <si>
    <t xml:space="preserve">05</t>
  </si>
  <si>
    <t xml:space="preserve">INF_SHARE25</t>
  </si>
  <si>
    <t xml:space="preserve">G18: OpenAI inference as % of revenue, 2025 (derived; the Y1 anchor of the % path)</t>
  </si>
  <si>
    <t xml:space="preserve">L-083, L-063 · estimated · T3 (derived) · 2025 · equals 8,400 / 13,100</t>
  </si>
  <si>
    <t xml:space="preserve">equals 8,400 / 13,100</t>
  </si>
  <si>
    <t xml:space="preserve">L-083, L-063</t>
  </si>
  <si>
    <t xml:space="preserve">XPU_HALF</t>
  </si>
  <si>
    <t xml:space="preserve">G18: custom XPU 'half the cost of a GPU' (vendor claim)</t>
  </si>
  <si>
    <t xml:space="preserve">L-050 · confirmed · T1 (vendor) · 2026-09-02 · Broadcom call; FLAGGED vendor claim</t>
  </si>
  <si>
    <t xml:space="preserve">2026-09-02</t>
  </si>
  <si>
    <t xml:space="preserve">Broadcom call; FLAGGED vendor claim</t>
  </si>
  <si>
    <t xml:space="preserve">T1 (vendor)</t>
  </si>
  <si>
    <t xml:space="preserve">L-050</t>
  </si>
  <si>
    <t xml:space="preserve">F51_lo</t>
  </si>
  <si>
    <t xml:space="preserve">G18: Fable 5.1 cost per task reduction, low (vendor)</t>
  </si>
  <si>
    <t xml:space="preserve">L-085 · confirmed · T1 (vendor) · 2026-09-01 · vendor claim</t>
  </si>
  <si>
    <t xml:space="preserve">2026-09-01</t>
  </si>
  <si>
    <t xml:space="preserve">vendor claim</t>
  </si>
  <si>
    <t xml:space="preserve">L-085</t>
  </si>
  <si>
    <t xml:space="preserve">F51_hi</t>
  </si>
  <si>
    <t xml:space="preserve">G18: Fable 5.1 cost per task reduction, high (vendor)</t>
  </si>
  <si>
    <t xml:space="preserve">P_F51_in</t>
  </si>
  <si>
    <t xml:space="preserve">G19: list price, Fable 5.1 input</t>
  </si>
  <si>
    <t xml:space="preserve">L-084 · confirmed · T1 · 2026-09-09 · pricing page; revenue-side ceiling</t>
  </si>
  <si>
    <t xml:space="preserve">pricing page; revenue-side ceiling</t>
  </si>
  <si>
    <t xml:space="preserve">L-084</t>
  </si>
  <si>
    <t xml:space="preserve">P_F51_out</t>
  </si>
  <si>
    <t xml:space="preserve">G19: list price, Fable 5.1 output</t>
  </si>
  <si>
    <t xml:space="preserve">P_O5_in</t>
  </si>
  <si>
    <t xml:space="preserve">G19: list price, Opus 5 input</t>
  </si>
  <si>
    <t xml:space="preserve">P_O5_out</t>
  </si>
  <si>
    <t xml:space="preserve">G19: list price, Opus 5 output</t>
  </si>
  <si>
    <t xml:space="preserve">P_S5_in</t>
  </si>
  <si>
    <t xml:space="preserve">G19: list price, Sonnet 5 input</t>
  </si>
  <si>
    <t xml:space="preserve">P_S5_out</t>
  </si>
  <si>
    <t xml:space="preserve">G19: list price, Sonnet 5 output</t>
  </si>
  <si>
    <t xml:space="preserve">P_H45_in</t>
  </si>
  <si>
    <t xml:space="preserve">G19: list price, Haiku 4.5 input</t>
  </si>
  <si>
    <t xml:space="preserve">P_H45_out</t>
  </si>
  <si>
    <t xml:space="preserve">G19: list price, Haiku 4.5 output</t>
  </si>
  <si>
    <t xml:space="preserve">P_cache_lo</t>
  </si>
  <si>
    <t xml:space="preserve">G19: list price, cache read, low</t>
  </si>
  <si>
    <t xml:space="preserve">P_cache_hi</t>
  </si>
  <si>
    <t xml:space="preserve">G19: list price, cache read, high</t>
  </si>
  <si>
    <t xml:space="preserve">P_batch</t>
  </si>
  <si>
    <t xml:space="preserve">G19: list price, batch discount</t>
  </si>
  <si>
    <t xml:space="preserve">P_fast</t>
  </si>
  <si>
    <t xml:space="preserve">G19: list price, Fast Mode multiplier</t>
  </si>
  <si>
    <t xml:space="preserve">MOE_OUT</t>
  </si>
  <si>
    <t xml:space="preserve">G20: SGLang on GB200 NVL72, DeepSeek V3/R1, output tokens per second per GPU</t>
  </si>
  <si>
    <t xml:space="preserve">L-164 · confirmed · T2 · 2025-09-25 · FP8 attention + NVFP4 MoE; 2,000-token inputs</t>
  </si>
  <si>
    <t xml:space="preserve">tok/s/GPU</t>
  </si>
  <si>
    <t xml:space="preserve">2025-09-25</t>
  </si>
  <si>
    <t xml:space="preserve">FP8 attention + NVFP4 MoE; 2,000-token inputs</t>
  </si>
  <si>
    <t xml:space="preserve">L-164</t>
  </si>
  <si>
    <t xml:space="preserve">00, 05, 09</t>
  </si>
  <si>
    <t xml:space="preserve">MOE_IN</t>
  </si>
  <si>
    <t xml:space="preserve">G20: SGLang GB200 input (prefill) tokens per second per GPU</t>
  </si>
  <si>
    <t xml:space="preserve">L-164 · confirmed · T2 · 2025-09-25 · LMSYS</t>
  </si>
  <si>
    <t xml:space="preserve">LMSYS</t>
  </si>
  <si>
    <t xml:space="preserve">MOE_BF16</t>
  </si>
  <si>
    <t xml:space="preserve">G20: SGLang GB200 output at BF16/FP8</t>
  </si>
  <si>
    <t xml:space="preserve">MLPERF_OFF</t>
  </si>
  <si>
    <t xml:space="preserve">G20: MLPerf v5.1 GB300 NVL72 DeepSeek-R1 offline</t>
  </si>
  <si>
    <t xml:space="preserve">L-164 · confirmed · T2 · 2025-09-09 · NVIDIA blog</t>
  </si>
  <si>
    <t xml:space="preserve">2025-09-09</t>
  </si>
  <si>
    <t xml:space="preserve">NVIDIA blog</t>
  </si>
  <si>
    <t xml:space="preserve">MLPERF_SRV</t>
  </si>
  <si>
    <t xml:space="preserve">G20: MLPerf v5.1 GB300 NVL72 DeepSeek-R1 server</t>
  </si>
  <si>
    <t xml:space="preserve">DENSE_OFF</t>
  </si>
  <si>
    <t xml:space="preserve">G20: GB200 NVL72 Llama 3.1 405B offline</t>
  </si>
  <si>
    <t xml:space="preserve">L-164 · confirmed · T2 · 2025-09-09 · dense-frontier proxy</t>
  </si>
  <si>
    <t xml:space="preserve">dense-frontier proxy</t>
  </si>
  <si>
    <t xml:space="preserve">DENSE_SRV</t>
  </si>
  <si>
    <t xml:space="preserve">G20: GB200 NVL72 Llama 3.1 405B server</t>
  </si>
  <si>
    <t xml:space="preserve">DENSE_INT</t>
  </si>
  <si>
    <t xml:space="preserve">G20: GB200 NVL72 Llama 3.1 405B interactive</t>
  </si>
  <si>
    <t xml:space="preserve">LEAD_lo</t>
  </si>
  <si>
    <t xml:space="preserve">G21: top-decile leader package, low ($M per year over 4 yrs)</t>
  </si>
  <si>
    <t xml:space="preserve">L-094 · confirmed · T2 · 2025-06-27 · Meta: '$100M over four years not inconceivable'</t>
  </si>
  <si>
    <t xml:space="preserve">2025-06-27</t>
  </si>
  <si>
    <t xml:space="preserve">Meta: '$100M over four years not inconceivable'</t>
  </si>
  <si>
    <t xml:space="preserve">L-094</t>
  </si>
  <si>
    <t xml:space="preserve">LEAD_hi</t>
  </si>
  <si>
    <t xml:space="preserve">G21: top-decile leader package, high (up to 300 over 4 yrs)</t>
  </si>
  <si>
    <t xml:space="preserve">L-094 · confirmed · T2 · 2025-06-27 · Wired via TheFly: up to $300M over 4 years</t>
  </si>
  <si>
    <t xml:space="preserve">Wired via TheFly: up to $300M over 4 years</t>
  </si>
  <si>
    <t xml:space="preserve">SEN_lo</t>
  </si>
  <si>
    <t xml:space="preserve">G21: senior IC total comp, low (T4)</t>
  </si>
  <si>
    <t xml:space="preserve">L-094 notes · estimated · T4 · 2025 · T4 bands</t>
  </si>
  <si>
    <t xml:space="preserve">T4 bands</t>
  </si>
  <si>
    <t xml:space="preserve">L-094 notes</t>
  </si>
  <si>
    <t xml:space="preserve">SEN_hi</t>
  </si>
  <si>
    <t xml:space="preserve">G21: senior IC total comp, high (T4)</t>
  </si>
  <si>
    <t xml:space="preserve">MTS_a</t>
  </si>
  <si>
    <t xml:space="preserve">G21: Anthropic MTS base salary (H-1B; verbatim relay)</t>
  </si>
  <si>
    <t xml:space="preserve">L-165 · estimated · T3 · 2026-06-28 · base only; supersedes L-092</t>
  </si>
  <si>
    <t xml:space="preserve">2026-06-28</t>
  </si>
  <si>
    <t xml:space="preserve">base only; supersedes L-092</t>
  </si>
  <si>
    <t xml:space="preserve">L-165</t>
  </si>
  <si>
    <t xml:space="preserve">MTS_b</t>
  </si>
  <si>
    <t xml:space="preserve">G21: Anthropic MTS base salary (H-1B)</t>
  </si>
  <si>
    <t xml:space="preserve">L-165 · estimated · T3 · 2026-06-28 · base only</t>
  </si>
  <si>
    <t xml:space="preserve">base only</t>
  </si>
  <si>
    <t xml:space="preserve">ENG_lo</t>
  </si>
  <si>
    <t xml:space="preserve">G21: engineer total comp, low (T4)</t>
  </si>
  <si>
    <t xml:space="preserve">L-092 notes · estimated · T4 · 2026 · aggregators</t>
  </si>
  <si>
    <t xml:space="preserve">aggregators</t>
  </si>
  <si>
    <t xml:space="preserve">L-092 notes</t>
  </si>
  <si>
    <t xml:space="preserve">ENG_hi</t>
  </si>
  <si>
    <t xml:space="preserve">G21: engineer total comp, high (T4)</t>
  </si>
  <si>
    <t xml:space="preserve">RET_pp</t>
  </si>
  <si>
    <t xml:space="preserve">G22: retention bonus per person (~)</t>
  </si>
  <si>
    <t xml:space="preserve">L-093, L-166 · estimated / could-not-verify · T3 · 2025-08 · The Information relay</t>
  </si>
  <si>
    <t xml:space="preserve">2025-08</t>
  </si>
  <si>
    <t xml:space="preserve">The Information relay</t>
  </si>
  <si>
    <t xml:space="preserve">estimated / could-not-verify</t>
  </si>
  <si>
    <t xml:space="preserve">L-093, L-166</t>
  </si>
  <si>
    <t xml:space="preserve">RET_n</t>
  </si>
  <si>
    <t xml:space="preserve">G22: retention bonus recipients (~)</t>
  </si>
  <si>
    <t xml:space="preserve">L-093, L-166 · estimated / could-not-verify · T3 · 2025-08 · relay</t>
  </si>
  <si>
    <t xml:space="preserve">RET_yrs</t>
  </si>
  <si>
    <t xml:space="preserve">G22: retention payout period</t>
  </si>
  <si>
    <t xml:space="preserve">L-093, L-166 · estimated / could-not-verify · T3 · 2025-08 · quarterly over two years</t>
  </si>
  <si>
    <t xml:space="preserve">quarterly over two years</t>
  </si>
  <si>
    <t xml:space="preserve">SRC_lo</t>
  </si>
  <si>
    <t xml:space="preserve">G23: marquee text source, low (per source-year)</t>
  </si>
  <si>
    <t xml:space="preserve">L-113 · confirmed · T1 · 2024-02-22 · Reddit S-1 via TechCrunch; ~20 publisher deals at OpenAI</t>
  </si>
  <si>
    <t xml:space="preserve">2024-02-22</t>
  </si>
  <si>
    <t xml:space="preserve">Reddit S-1 via TechCrunch; ~20 publisher deals at OpenAI</t>
  </si>
  <si>
    <t xml:space="preserve">L-113</t>
  </si>
  <si>
    <t xml:space="preserve">SRC_hi</t>
  </si>
  <si>
    <t xml:space="preserve">G23: marquee text source, high</t>
  </si>
  <si>
    <t xml:space="preserve">L-113 · confirmed · T1 · 2024-02-22 · as above</t>
  </si>
  <si>
    <t xml:space="preserve">REDDIT</t>
  </si>
  <si>
    <t xml:space="preserve">G23: Reddit aggregate contract value</t>
  </si>
  <si>
    <t xml:space="preserve">L-113 · confirmed · T1 · 2024-01 · 2-3 yr terms</t>
  </si>
  <si>
    <t xml:space="preserve">2024-01</t>
  </si>
  <si>
    <t xml:space="preserve">2-3 yr terms</t>
  </si>
  <si>
    <t xml:space="preserve">NEWSCORP</t>
  </si>
  <si>
    <t xml:space="preserve">G23: News Corp-OpenAI ('up to' over five years)</t>
  </si>
  <si>
    <t xml:space="preserve">L-113 · estimated · T3 · 2024-05 · Variety</t>
  </si>
  <si>
    <t xml:space="preserve">2024-05</t>
  </si>
  <si>
    <t xml:space="preserve">Variety</t>
  </si>
  <si>
    <t xml:space="preserve">LAB_lo</t>
  </si>
  <si>
    <t xml:space="preserve">G24: expert data / labeling per lab at scale, low</t>
  </si>
  <si>
    <t xml:space="preserve">L-114 · estimated · T4 · 2026 · Mercor 2,000 annualized; Scale ~1,000; Surge ~1,000</t>
  </si>
  <si>
    <t xml:space="preserve">Mercor 2,000 annualized; Scale ~1,000; Surge ~1,000</t>
  </si>
  <si>
    <t xml:space="preserve">L-114</t>
  </si>
  <si>
    <t xml:space="preserve">LAB_hi</t>
  </si>
  <si>
    <t xml:space="preserve">G24: expert data / labeling per lab at scale, high</t>
  </si>
  <si>
    <t xml:space="preserve">L-114 · estimated · T4 · 2026 · as above</t>
  </si>
  <si>
    <t xml:space="preserve">SAFE_lo</t>
  </si>
  <si>
    <t xml:space="preserve">G25: safety / eval spend, low (could-not-verify)</t>
  </si>
  <si>
    <t xml:space="preserve">L-117 · could-not-verify · T4 · 2026 · FLAGGED</t>
  </si>
  <si>
    <t xml:space="preserve">FLAGGED</t>
  </si>
  <si>
    <t xml:space="preserve">L-117</t>
  </si>
  <si>
    <t xml:space="preserve">SAFE_hi</t>
  </si>
  <si>
    <t xml:space="preserve">G25: safety / eval spend, high (could-not-verify)</t>
  </si>
  <si>
    <t xml:space="preserve">SAFE_sh_lo</t>
  </si>
  <si>
    <t xml:space="preserve">G25: safety as share of research headcount, low (AJ)</t>
  </si>
  <si>
    <t xml:space="preserve">AJ (L-117 as colour) · estimated · AJ · 2026 · AJ</t>
  </si>
  <si>
    <t xml:space="preserve">AJ (L-117 as colour)</t>
  </si>
  <si>
    <t xml:space="preserve">SAFE_sh_hi</t>
  </si>
  <si>
    <t xml:space="preserve">G25: safety as share of research headcount, high (AJ)</t>
  </si>
  <si>
    <t xml:space="preserve">AJ · estimated · AJ · 2026 · AJ</t>
  </si>
  <si>
    <t xml:space="preserve">COPY_settle</t>
  </si>
  <si>
    <t xml:space="preserve">G26: Anthropic copyright settlement (paid)</t>
  </si>
  <si>
    <t xml:space="preserve">L-086 · confirmed · T2 · 2026-07-20 · Bartz</t>
  </si>
  <si>
    <t xml:space="preserve">Bartz</t>
  </si>
  <si>
    <t xml:space="preserve">L-086</t>
  </si>
  <si>
    <t xml:space="preserve">MUSIC</t>
  </si>
  <si>
    <t xml:space="preserve">G26: music-publisher demands ('&gt;3,000')</t>
  </si>
  <si>
    <t xml:space="preserve">L-086 · confirmed · T2 · 2026-01-29 · unreserved</t>
  </si>
  <si>
    <t xml:space="preserve">2026-01-29</t>
  </si>
  <si>
    <t xml:space="preserve">unreserved</t>
  </si>
  <si>
    <t xml:space="preserve">RES_lo</t>
  </si>
  <si>
    <t xml:space="preserve">G26: entrant legal reserve over 5 yrs, low (AJ)</t>
  </si>
  <si>
    <t xml:space="preserve">AJ (L-086, L-088 as colour) · estimated · AJ · 2026 · AJ</t>
  </si>
  <si>
    <t xml:space="preserve">AJ (L-086, L-088 as colour)</t>
  </si>
  <si>
    <t xml:space="preserve">RES_hi</t>
  </si>
  <si>
    <t xml:space="preserve">G26: entrant legal reserve over 5 yrs, high (AJ)</t>
  </si>
  <si>
    <t xml:space="preserve">COMPL_lo</t>
  </si>
  <si>
    <t xml:space="preserve">G26: compliance / policy per year, low (AJ)</t>
  </si>
  <si>
    <t xml:space="preserve">COMPL_hi</t>
  </si>
  <si>
    <t xml:space="preserve">G26: compliance / policy per year, high (AJ)</t>
  </si>
  <si>
    <t xml:space="preserve">MIX_fin</t>
  </si>
  <si>
    <t xml:space="preserve">G27: incumbent workforce mix (Revelio, T4), Finance / Ops</t>
  </si>
  <si>
    <t xml:space="preserve">L-118 · estimated · T4 · 2026 · Anthropic workforce mix</t>
  </si>
  <si>
    <t xml:space="preserve">Anthropic workforce mix</t>
  </si>
  <si>
    <t xml:space="preserve">L-118</t>
  </si>
  <si>
    <t xml:space="preserve">00 (colour)</t>
  </si>
  <si>
    <t xml:space="preserve">MIX_sm</t>
  </si>
  <si>
    <t xml:space="preserve">G27: incumbent workforce mix (Revelio, T4), Sales and Marketing</t>
  </si>
  <si>
    <t xml:space="preserve">MIX_eng</t>
  </si>
  <si>
    <t xml:space="preserve">G27: incumbent workforce mix (Revelio, T4), Engineering</t>
  </si>
  <si>
    <t xml:space="preserve">GTM_lean</t>
  </si>
  <si>
    <t xml:space="preserve">G27: Lean GTM/G&amp;A share of headcount cost (AJ)</t>
  </si>
  <si>
    <t xml:space="preserve">AJ (L-118 as colour) · estimated · AJ · 2026 · AJ</t>
  </si>
  <si>
    <t xml:space="preserve">AJ (L-118 as colour)</t>
  </si>
  <si>
    <t xml:space="preserve">GTM_lo</t>
  </si>
  <si>
    <t xml:space="preserve">G27: scenarios 2-3 GTM/G&amp;A share, low (AJ)</t>
  </si>
  <si>
    <t xml:space="preserve">GTM_hi</t>
  </si>
  <si>
    <t xml:space="preserve">G27: scenarios 2-3 GTM/G&amp;A share, high (AJ)</t>
  </si>
  <si>
    <t xml:space="preserve">BCOM26</t>
  </si>
  <si>
    <t xml:space="preserve">G28: Broadcom AI revenue FY2026 (~)</t>
  </si>
  <si>
    <t xml:space="preserve">L-144 · confirmed · T1 · 2026-09-02 · six XPU customers</t>
  </si>
  <si>
    <t xml:space="preserve">six XPU customers</t>
  </si>
  <si>
    <t xml:space="preserve">L-144</t>
  </si>
  <si>
    <t xml:space="preserve">09</t>
  </si>
  <si>
    <t xml:space="preserve">BCOM27</t>
  </si>
  <si>
    <t xml:space="preserve">G28: Broadcom AI revenue FY2027 (supply secured)</t>
  </si>
  <si>
    <t xml:space="preserve">L-144 · confirmed · T1 · 2026-09-02 · vendor guidance</t>
  </si>
  <si>
    <t xml:space="preserve">vendor guidance</t>
  </si>
  <si>
    <t xml:space="preserve">BCOM28</t>
  </si>
  <si>
    <t xml:space="preserve">G28: Broadcom AI revenue FY2028 (line of sight)</t>
  </si>
  <si>
    <t xml:space="preserve">ENTRANT_ASIC_YEAR</t>
  </si>
  <si>
    <t xml:space="preserve">G28: entrant custom-silicon access (AJ): none before</t>
  </si>
  <si>
    <t xml:space="preserve">AJ (L-144) · estimated · AJ · 2026 · supply booked through 2028 by incumbents</t>
  </si>
  <si>
    <t xml:space="preserve">supply booked through 2028 by incumbents</t>
  </si>
  <si>
    <t xml:space="preserve">AJ (L-144)</t>
  </si>
  <si>
    <t xml:space="preserve">ASIC_lo</t>
  </si>
  <si>
    <t xml:space="preserve">G29: custom ASIC program (NRE and team) per year, low (AJ)</t>
  </si>
  <si>
    <t xml:space="preserve">AJ (no row) · estimated · AJ · 2026 · 3-4 years to first GA</t>
  </si>
  <si>
    <t xml:space="preserve">3-4 years to first GA</t>
  </si>
  <si>
    <t xml:space="preserve">ASIC_hi</t>
  </si>
  <si>
    <t xml:space="preserve">G29: custom ASIC program per year, high (AJ)</t>
  </si>
  <si>
    <t xml:space="preserve">AJ (no row) · estimated · AJ · 2026 · as above</t>
  </si>
  <si>
    <t xml:space="preserve">ASIC_risk</t>
  </si>
  <si>
    <t xml:space="preserve">G29: first-silicon risk allowance (AJ)</t>
  </si>
  <si>
    <t xml:space="preserve">G30 REFERENCE CLASS (section 7.5): what entry actually cost</t>
  </si>
  <si>
    <t xml:space="preserve">XAI_deficit</t>
  </si>
  <si>
    <t xml:space="preserve">xAI (inside SpaceX): accumulated deficit at 2026-03-31 (consolidated)</t>
  </si>
  <si>
    <t xml:space="preserve">L-096 · confirmed · T1 · 2026-03-31 · SpaceX S-1</t>
  </si>
  <si>
    <t xml:space="preserve">2026-03-31</t>
  </si>
  <si>
    <t xml:space="preserve">SpaceX S-1</t>
  </si>
  <si>
    <t xml:space="preserve">08, 09</t>
  </si>
  <si>
    <t xml:space="preserve">XAI_debt25</t>
  </si>
  <si>
    <t xml:space="preserve">xAI: AI-segment 2025 debt proceeds</t>
  </si>
  <si>
    <t xml:space="preserve">L-096 · confirmed · T1 · FY2025 · SpaceX S-1</t>
  </si>
  <si>
    <t xml:space="preserve">XAI_rev25</t>
  </si>
  <si>
    <t xml:space="preserve">xAI: AI-segment 2025 revenue</t>
  </si>
  <si>
    <t xml:space="preserve">08</t>
  </si>
  <si>
    <t xml:space="preserve">XAI_oploss25</t>
  </si>
  <si>
    <t xml:space="preserve">xAI: AI-segment 2025 loss from operations (magnitude)</t>
  </si>
  <si>
    <t xml:space="preserve">XAI_q1rev</t>
  </si>
  <si>
    <t xml:space="preserve">xAI: Q1-2026 revenue</t>
  </si>
  <si>
    <t xml:space="preserve">L-096 · confirmed · T1 · Q1-2026 · SpaceX S-1</t>
  </si>
  <si>
    <t xml:space="preserve">Q1-2026</t>
  </si>
  <si>
    <t xml:space="preserve">XAI_q1loss</t>
  </si>
  <si>
    <t xml:space="preserve">xAI: Q1-2026 loss from operations (magnitude)</t>
  </si>
  <si>
    <t xml:space="preserve">XAI_q2rev</t>
  </si>
  <si>
    <t xml:space="preserve">xAI: Q2-2026 AI-segment revenue (+247%)</t>
  </si>
  <si>
    <t xml:space="preserve">L-047 · confirmed · T2 · Q2-2026 · SpaceX Q2 results</t>
  </si>
  <si>
    <t xml:space="preserve">Q2-2026</t>
  </si>
  <si>
    <t xml:space="preserve">SpaceX Q2 results</t>
  </si>
  <si>
    <t xml:space="preserve">L-047</t>
  </si>
  <si>
    <t xml:space="preserve">XAI_q2loss</t>
  </si>
  <si>
    <t xml:space="preserve">xAI: Q2-2026 AI-segment operating loss (magnitude)</t>
  </si>
  <si>
    <t xml:space="preserve">XAI_capexq2</t>
  </si>
  <si>
    <t xml:space="preserve">xAI: SpaceX consolidated Q2-2026 capex</t>
  </si>
  <si>
    <t xml:space="preserve">XAI_acq</t>
  </si>
  <si>
    <t xml:space="preserve">xAI: acquired by SpaceX at (Feb-2026)</t>
  </si>
  <si>
    <t xml:space="preserve">L-096 · confirmed · T2 · 2026-02-03 · PB SpaceXAI profile</t>
  </si>
  <si>
    <t xml:space="preserve">2026-02-03</t>
  </si>
  <si>
    <t xml:space="preserve">PB SpaceXAI profile</t>
  </si>
  <si>
    <t xml:space="preserve">SSI_pb</t>
  </si>
  <si>
    <t xml:space="preserve">SSI: total raised (PB)</t>
  </si>
  <si>
    <t xml:space="preserve">L-097 · confirmed · T2 · 2026-07-28 · PB; C-08</t>
  </si>
  <si>
    <t xml:space="preserve">PB; C-08</t>
  </si>
  <si>
    <t xml:space="preserve">L-097</t>
  </si>
  <si>
    <t xml:space="preserve">00 (SW_SSI), 08</t>
  </si>
  <si>
    <t xml:space="preserve">SSI_press</t>
  </si>
  <si>
    <t xml:space="preserve">SSI: total raised (press tallies)</t>
  </si>
  <si>
    <t xml:space="preserve">L-097, C-08 · estimated · T2/T4 · 2026-07-28 · press; C-08</t>
  </si>
  <si>
    <t xml:space="preserve">press; C-08</t>
  </si>
  <si>
    <t xml:space="preserve">T2/T4</t>
  </si>
  <si>
    <t xml:space="preserve">L-097, C-08</t>
  </si>
  <si>
    <t xml:space="preserve">SSI_val</t>
  </si>
  <si>
    <t xml:space="preserve">SSI: valuation</t>
  </si>
  <si>
    <t xml:space="preserve">L-097 · confirmed · T2 · 2025-04-11 · PB LKV</t>
  </si>
  <si>
    <t xml:space="preserve">2025-04-11</t>
  </si>
  <si>
    <t xml:space="preserve">PB LKV</t>
  </si>
  <si>
    <t xml:space="preserve">SSI_hc</t>
  </si>
  <si>
    <t xml:space="preserve">SSI: headcount</t>
  </si>
  <si>
    <t xml:space="preserve">L-097 · confirmed · T2 · 2026-07-29 · PB</t>
  </si>
  <si>
    <t xml:space="preserve">2026-07-29</t>
  </si>
  <si>
    <t xml:space="preserve">PB</t>
  </si>
  <si>
    <t xml:space="preserve">TML_raised</t>
  </si>
  <si>
    <t xml:space="preserve">Thinking Machines Lab: seed raised</t>
  </si>
  <si>
    <t xml:space="preserve">L-098 · confirmed · T2 · 2025-06-20 · PB</t>
  </si>
  <si>
    <t xml:space="preserve">2025-06-20</t>
  </si>
  <si>
    <t xml:space="preserve">L-098</t>
  </si>
  <si>
    <t xml:space="preserve">TML_post</t>
  </si>
  <si>
    <t xml:space="preserve">Thinking Machines Lab: seed post-money (PB; press 12,000, C-09)</t>
  </si>
  <si>
    <t xml:space="preserve">TML_pre_talks</t>
  </si>
  <si>
    <t xml:space="preserve">Thinking Machines Lab: pre-money sought (in talks)</t>
  </si>
  <si>
    <t xml:space="preserve">L-098 · estimated · T3 · 2026-09-03 · The Information</t>
  </si>
  <si>
    <t xml:space="preserve">The Information</t>
  </si>
  <si>
    <t xml:space="preserve">TML_hc</t>
  </si>
  <si>
    <t xml:space="preserve">Thinking Machines Lab: headcount (~)</t>
  </si>
  <si>
    <t xml:space="preserve">L-098 · confirmed · T2 · 2026-07-16 · PB</t>
  </si>
  <si>
    <t xml:space="preserve">2026-07-16</t>
  </si>
  <si>
    <t xml:space="preserve">TML_pbrev</t>
  </si>
  <si>
    <t xml:space="preserve">Thinking Machines Lab: PB revenue field FY2026 (projection)</t>
  </si>
  <si>
    <t xml:space="preserve">L-098 · estimated · T2 · 2026 · PB projection; 'at least a few hundred million' annualized (The Information)</t>
  </si>
  <si>
    <t xml:space="preserve">PB projection; 'at least a few hundred million' annualized (The Information)</t>
  </si>
  <si>
    <t xml:space="preserve">REF_raised</t>
  </si>
  <si>
    <t xml:space="preserve">Reflection AI: total raised</t>
  </si>
  <si>
    <t xml:space="preserve">L-099 · confirmed · T2 · 2026-09-07 · PB</t>
  </si>
  <si>
    <t xml:space="preserve">2026-09-07</t>
  </si>
  <si>
    <t xml:space="preserve">L-099</t>
  </si>
  <si>
    <t xml:space="preserve">REF_post</t>
  </si>
  <si>
    <t xml:space="preserve">Reflection AI: Series B post-money</t>
  </si>
  <si>
    <t xml:space="preserve">L-099 · confirmed · T2 · 2026 · PB</t>
  </si>
  <si>
    <t xml:space="preserve">REF_pre_c</t>
  </si>
  <si>
    <t xml:space="preserve">Reflection AI: Series C pre-money (in progress)</t>
  </si>
  <si>
    <t xml:space="preserve">L-099 · confirmed · T2 · 2026-05-12 · PB</t>
  </si>
  <si>
    <t xml:space="preserve">2026-05-12</t>
  </si>
  <si>
    <t xml:space="preserve">REF_hc</t>
  </si>
  <si>
    <t xml:space="preserve">Reflection AI: headcount (~)</t>
  </si>
  <si>
    <t xml:space="preserve">MIS_raised</t>
  </si>
  <si>
    <t xml:space="preserve">Mistral AI: total raised incl. 830 debt</t>
  </si>
  <si>
    <t xml:space="preserve">L-100 · confirmed · T2 · 2026-09-08 · PB</t>
  </si>
  <si>
    <t xml:space="preserve">2026-09-08</t>
  </si>
  <si>
    <t xml:space="preserve">L-100</t>
  </si>
  <si>
    <t xml:space="preserve">MIS_debt</t>
  </si>
  <si>
    <t xml:space="preserve">Mistral AI: of which debt</t>
  </si>
  <si>
    <t xml:space="preserve">L-100 · confirmed · T2 · 2026-03-30 · PB</t>
  </si>
  <si>
    <t xml:space="preserve">2026-03-30</t>
  </si>
  <si>
    <t xml:space="preserve">MIS_val</t>
  </si>
  <si>
    <t xml:space="preserve">Mistral AI: valuation (~EUR 21B post)</t>
  </si>
  <si>
    <t xml:space="preserve">L-100 · confirmed · T2 · 2026-09-08 · PB LKV</t>
  </si>
  <si>
    <t xml:space="preserve">MIS_hc</t>
  </si>
  <si>
    <t xml:space="preserve">Mistral AI: headcount (~)</t>
  </si>
  <si>
    <t xml:space="preserve">L-100 · confirmed · T2 · 2026 · PB</t>
  </si>
  <si>
    <t xml:space="preserve">MIS_pbrev</t>
  </si>
  <si>
    <t xml:space="preserve">Mistral AI: PB revenue field FY2026 (projection)</t>
  </si>
  <si>
    <t xml:space="preserve">L-100 · estimated · T2 · 2026 · PB projection</t>
  </si>
  <si>
    <t xml:space="preserve">PB projection</t>
  </si>
  <si>
    <t xml:space="preserve">PER_raised</t>
  </si>
  <si>
    <t xml:space="preserve">Periodic Labs: seed</t>
  </si>
  <si>
    <t xml:space="preserve">L-101 · confirmed · T2 · 2025-09-03 · PB</t>
  </si>
  <si>
    <t xml:space="preserve">2025-09-03</t>
  </si>
  <si>
    <t xml:space="preserve">L-101</t>
  </si>
  <si>
    <t xml:space="preserve">PER_post</t>
  </si>
  <si>
    <t xml:space="preserve">Periodic Labs: seed post-money (est.)</t>
  </si>
  <si>
    <t xml:space="preserve">PER_hc</t>
  </si>
  <si>
    <t xml:space="preserve">Periodic Labs: headcount</t>
  </si>
  <si>
    <t xml:space="preserve">L-101 · confirmed · T2 · 2026-03-25 · PB</t>
  </si>
  <si>
    <t xml:space="preserve">2026-03-25</t>
  </si>
  <si>
    <t xml:space="preserve">HUM_raised</t>
  </si>
  <si>
    <t xml:space="preserve">Humans&amp;: seed</t>
  </si>
  <si>
    <t xml:space="preserve">L-102 · confirmed · T2 · 2026-01-20 · PB</t>
  </si>
  <si>
    <t xml:space="preserve">2026-01-20</t>
  </si>
  <si>
    <t xml:space="preserve">L-102</t>
  </si>
  <si>
    <t xml:space="preserve">HUM_post</t>
  </si>
  <si>
    <t xml:space="preserve">Humans&amp;: seed post-money</t>
  </si>
  <si>
    <t xml:space="preserve">HUM_hc</t>
  </si>
  <si>
    <t xml:space="preserve">Humans&amp;: headcount (20-30; midpoint)</t>
  </si>
  <si>
    <t xml:space="preserve">L-102 · confirmed · T2 · 2026 · PB / TechCrunch</t>
  </si>
  <si>
    <t xml:space="preserve">PB / TechCrunch</t>
  </si>
  <si>
    <t xml:space="preserve">META_capex_lo</t>
  </si>
  <si>
    <t xml:space="preserve">Meta: 2026 capex guidance, low</t>
  </si>
  <si>
    <t xml:space="preserve">L-095 · confirmed · T2 · 2026-04-29 · Fortune</t>
  </si>
  <si>
    <t xml:space="preserve">2026-04-29</t>
  </si>
  <si>
    <t xml:space="preserve">Fortune</t>
  </si>
  <si>
    <t xml:space="preserve">L-095</t>
  </si>
  <si>
    <t xml:space="preserve">META_capex_hi</t>
  </si>
  <si>
    <t xml:space="preserve">Meta: 2026 capex guidance, high</t>
  </si>
  <si>
    <t xml:space="preserve">META_scale</t>
  </si>
  <si>
    <t xml:space="preserve">Meta: Scale AI stake (49%)</t>
  </si>
  <si>
    <t xml:space="preserve">L-095 · confirmed · T2 · 2025-06 · CNBC via Fortune</t>
  </si>
  <si>
    <t xml:space="preserve">2025-06</t>
  </si>
  <si>
    <t xml:space="preserve">CNBC via Fortune</t>
  </si>
  <si>
    <t xml:space="preserve">META_pkg</t>
  </si>
  <si>
    <t xml:space="preserve">Meta: leader package over four years ('not inconceivable')</t>
  </si>
  <si>
    <t xml:space="preserve">L-094 · confirmed · T2 · 2025-06-27 · TechCrunch</t>
  </si>
  <si>
    <t xml:space="preserve">TechCrunch</t>
  </si>
  <si>
    <t xml:space="preserve">META_amd_GW</t>
  </si>
  <si>
    <t xml:space="preserve">Meta: AMD GPU agreement</t>
  </si>
  <si>
    <t xml:space="preserve">L-060 · confirmed · T1 · 2026-02 · AMD 10-Q</t>
  </si>
  <si>
    <t xml:space="preserve">GW</t>
  </si>
  <si>
    <t xml:space="preserve">2026-02</t>
  </si>
  <si>
    <t xml:space="preserve">AMD 10-Q</t>
  </si>
  <si>
    <t xml:space="preserve">L-060</t>
  </si>
  <si>
    <t xml:space="preserve">ANT_equity</t>
  </si>
  <si>
    <t xml:space="preserve">Anthropic (incumbent, for scale): equity-only raised</t>
  </si>
  <si>
    <t xml:space="preserve">L-007 · estimated · T2 · 2026-05-28 · sum of PB equity rounds</t>
  </si>
  <si>
    <t xml:space="preserve">2026-05-28</t>
  </si>
  <si>
    <t xml:space="preserve">sum of PB equity rounds</t>
  </si>
  <si>
    <t xml:space="preserve">L-007</t>
  </si>
  <si>
    <t xml:space="preserve">ANT_contracts</t>
  </si>
  <si>
    <t xml:space="preserve">Anthropic: documented compute contracts</t>
  </si>
  <si>
    <t xml:space="preserve">cost-stack section 4a · derived · T1-T3 · 2026-09-09 · Workbook A 09_Obligations B18</t>
  </si>
  <si>
    <t xml:space="preserve">Workbook A 09_Obligations B18</t>
  </si>
  <si>
    <t xml:space="preserve">T1-T3</t>
  </si>
  <si>
    <t xml:space="preserve">cost-stack section 4a</t>
  </si>
  <si>
    <t xml:space="preserve">ANT_reported</t>
  </si>
  <si>
    <t xml:space="preserve">Anthropic: reported-$ incl. the unverified Google leg [VERIFY]</t>
  </si>
  <si>
    <t xml:space="preserve">L-155 + section 4a · estimated · T3 [VERIFY] · 2026-09-09 · Workbook A 09_Obligations B20</t>
  </si>
  <si>
    <t xml:space="preserve">Workbook A 09_Obligations B20</t>
  </si>
  <si>
    <t xml:space="preserve">T3 [VERIFY]</t>
  </si>
  <si>
    <t xml:space="preserve">L-155 + section 4a</t>
  </si>
  <si>
    <t xml:space="preserve">ANT_rr</t>
  </si>
  <si>
    <t xml:space="preserve">Anthropic: run-rate (GROSS)</t>
  </si>
  <si>
    <t xml:space="preserve">L-032 · confirmed · T2 · 2026-07-31 · GROSS run-rate</t>
  </si>
  <si>
    <t xml:space="preserve">2026-07-31</t>
  </si>
  <si>
    <t xml:space="preserve">GROSS run-rate</t>
  </si>
  <si>
    <t xml:space="preserve">L-032</t>
  </si>
  <si>
    <t xml:space="preserve">ANT_q1</t>
  </si>
  <si>
    <t xml:space="preserve">Anthropic: Q1-2026 revenue</t>
  </si>
  <si>
    <t xml:space="preserve">L-151 · confirmed · T2 · Q1-2026 · recognized</t>
  </si>
  <si>
    <t xml:space="preserve">recognized</t>
  </si>
  <si>
    <t xml:space="preserve">L-151</t>
  </si>
  <si>
    <t xml:space="preserve">ANT_q2</t>
  </si>
  <si>
    <t xml:space="preserve">Anthropic: Q2-2026 revenue (preliminary)</t>
  </si>
  <si>
    <t xml:space="preserve">L-033 · confirmed · T2 · Q2-2026 · recognized, preliminary</t>
  </si>
  <si>
    <t xml:space="preserve">recognized, preliminary</t>
  </si>
  <si>
    <t xml:space="preserve">L-033</t>
  </si>
  <si>
    <t xml:space="preserve">ANT_adj</t>
  </si>
  <si>
    <t xml:space="preserve">Anthropic: Q2-2026 ADJUSTED operating income (non-GAAP; projection)</t>
  </si>
  <si>
    <t xml:space="preserve">L-034, L-151, L-152 · confirmed (sign) / estimated · T2 / T3 · Q2-2026 · non-GAAP adjusted; definition unpublished</t>
  </si>
  <si>
    <t xml:space="preserve">non-GAAP adjusted; definition unpublished</t>
  </si>
  <si>
    <t xml:space="preserve">confirmed (sign) / estimated</t>
  </si>
  <si>
    <t xml:space="preserve">T2 / T3</t>
  </si>
  <si>
    <t xml:space="preserve">L-034, L-151, L-152</t>
  </si>
  <si>
    <t xml:space="preserve">ANT_hc</t>
  </si>
  <si>
    <t xml:space="preserve">Anthropic: headcount (PB)</t>
  </si>
  <si>
    <t xml:space="preserve">L-008 · confirmed · T2 · 2026-04-21 · PB</t>
  </si>
  <si>
    <t xml:space="preserve">2026-04-21</t>
  </si>
  <si>
    <t xml:space="preserve">L-008</t>
  </si>
  <si>
    <t xml:space="preserve">ANT_val</t>
  </si>
  <si>
    <t xml:space="preserve">Anthropic: post-money mark</t>
  </si>
  <si>
    <t xml:space="preserve">L-005 · confirmed · T2 · 2026-05-28 · Series H post</t>
  </si>
  <si>
    <t xml:space="preserve">Series H post</t>
  </si>
  <si>
    <t xml:space="preserve">L-005</t>
  </si>
  <si>
    <t xml:space="preserve">ANT_burn_lo</t>
  </si>
  <si>
    <t xml:space="preserve">Anthropic: burn to the first positive adjusted result, low (derived, flagged)</t>
  </si>
  <si>
    <t xml:space="preserve">derived (cost-stack section 2; AM notes) · estimated · T4 (derived) · 2026-09-09 · ~12,000-20,000 burned; flagged</t>
  </si>
  <si>
    <t xml:space="preserve">~12,000-20,000 burned; flagged</t>
  </si>
  <si>
    <t xml:space="preserve">T4 (derived)</t>
  </si>
  <si>
    <t xml:space="preserve">derived (cost-stack section 2; AM notes)</t>
  </si>
  <si>
    <t xml:space="preserve">ANT_burn_hi</t>
  </si>
  <si>
    <t xml:space="preserve">Anthropic: burn to the first positive adjusted result, high (derived, flagged)</t>
  </si>
  <si>
    <t xml:space="preserve">derived · estimated · T4 (derived) · 2026-09-09 · flagged</t>
  </si>
  <si>
    <t xml:space="preserve">flagged</t>
  </si>
  <si>
    <t xml:space="preserve">OAI_equity</t>
  </si>
  <si>
    <t xml:space="preserve">OpenAI (incumbent, for scale): equity-only raised</t>
  </si>
  <si>
    <t xml:space="preserve">L-022 · estimated · T2 · 2026-03-31 · sum of PB equity rounds</t>
  </si>
  <si>
    <t xml:space="preserve">L-022</t>
  </si>
  <si>
    <t xml:space="preserve">OAI_contracts</t>
  </si>
  <si>
    <t xml:space="preserve">OpenAI: documented compute contracts</t>
  </si>
  <si>
    <t xml:space="preserve">cost-stack section 4b · derived · T1-T2 · 2026-09-09 · Workbook A 09_Obligations B38</t>
  </si>
  <si>
    <t xml:space="preserve">Workbook A 09_Obligations B38</t>
  </si>
  <si>
    <t xml:space="preserve">T1-T2</t>
  </si>
  <si>
    <t xml:space="preserve">cost-stack section 4b</t>
  </si>
  <si>
    <t xml:space="preserve">OAI_rr</t>
  </si>
  <si>
    <t xml:space="preserve">OpenAI: run-rate ('&gt;40,000')</t>
  </si>
  <si>
    <t xml:space="preserve">L-065 · confirmed · T2 · 2026-07 · basis unstated</t>
  </si>
  <si>
    <t xml:space="preserve">2026-07</t>
  </si>
  <si>
    <t xml:space="preserve">basis unstated</t>
  </si>
  <si>
    <t xml:space="preserve">L-065</t>
  </si>
  <si>
    <t xml:space="preserve">OAI_h1rev</t>
  </si>
  <si>
    <t xml:space="preserve">OpenAI: H1-2026 revenue</t>
  </si>
  <si>
    <t xml:space="preserve">L-066 · confirmed · T2 · H1-2026 · 5,700 + 6,700</t>
  </si>
  <si>
    <t xml:space="preserve">H1-2026</t>
  </si>
  <si>
    <t xml:space="preserve">5,700 + 6,700</t>
  </si>
  <si>
    <t xml:space="preserve">L-066</t>
  </si>
  <si>
    <t xml:space="preserve">OAI_h1loss</t>
  </si>
  <si>
    <t xml:space="preserve">OpenAI: H1-2026 operating loss incl. SBC (magnitude)</t>
  </si>
  <si>
    <t xml:space="preserve">L-066 · confirmed · T2 · H1-2026 · 9,300 + 12,300</t>
  </si>
  <si>
    <t xml:space="preserve">9,300 + 12,300</t>
  </si>
  <si>
    <t xml:space="preserve">OAI_hc</t>
  </si>
  <si>
    <t xml:space="preserve">OpenAI: headcount (PB)</t>
  </si>
  <si>
    <t xml:space="preserve">L-027 · confirmed · T2 · 2026-03-21 · PB; plan 8,000 end-2026 (L-090)</t>
  </si>
  <si>
    <t xml:space="preserve">2026-03-21</t>
  </si>
  <si>
    <t xml:space="preserve">PB; plan 8,000 end-2026 (L-090)</t>
  </si>
  <si>
    <t xml:space="preserve">L-027</t>
  </si>
  <si>
    <t xml:space="preserve">OAI_hc_plan</t>
  </si>
  <si>
    <t xml:space="preserve">OpenAI: headcount plan end-2026</t>
  </si>
  <si>
    <t xml:space="preserve">L-090 · estimated · T3 · 2026-03-22 · Semafor</t>
  </si>
  <si>
    <t xml:space="preserve">2026-03-22</t>
  </si>
  <si>
    <t xml:space="preserve">Semafor</t>
  </si>
  <si>
    <t xml:space="preserve">L-090</t>
  </si>
  <si>
    <t xml:space="preserve">OAI_val</t>
  </si>
  <si>
    <t xml:space="preserve">OpenAI: post-money mark</t>
  </si>
  <si>
    <t xml:space="preserve">L-019 · confirmed · T2 · 2026-03-31 · Mar-2026 round</t>
  </si>
  <si>
    <t xml:space="preserve">Mar-2026 round</t>
  </si>
  <si>
    <t xml:space="preserve">L-019</t>
  </si>
  <si>
    <t xml:space="preserve">End of 01_Data (B).</t>
  </si>
  <si>
    <t xml:space="preserve">02_Compute: chips by SKU and count (leased vs owned), buy vs lease, financing (SW_GF_BACKSTOP), depreciation, the economic capacity cost used by 04_Training. One block per scenario; live block = SW_GF.</t>
  </si>
  <si>
    <t xml:space="preserve">SCENARIO 1 Lean fast-follower: compute fleet and financing</t>
  </si>
  <si>
    <t xml:space="preserve">Line</t>
  </si>
  <si>
    <t xml:space="preserve">Source / driver</t>
  </si>
  <si>
    <t xml:space="preserve">GPUs leased</t>
  </si>
  <si>
    <t xml:space="preserve">GPUS_LEASED</t>
  </si>
  <si>
    <t xml:space="preserve">GPUs owned (cumulative)</t>
  </si>
  <si>
    <t xml:space="preserve">GPUS_OWNED</t>
  </si>
  <si>
    <t xml:space="preserve">GPU purchases in the year</t>
  </si>
  <si>
    <t xml:space="preserve">Price per GPU (G01)</t>
  </si>
  <si>
    <t xml:space="preserve">GPU_PRICE</t>
  </si>
  <si>
    <t xml:space="preserve">Purchased chips ($M)</t>
  </si>
  <si>
    <t xml:space="preserve">equals purchases x price / 1e6</t>
  </si>
  <si>
    <t xml:space="preserve">Network fabric capex (G12 % of GPU BOM)</t>
  </si>
  <si>
    <t xml:space="preserve">NET_PCT</t>
  </si>
  <si>
    <t xml:space="preserve">Storage capex (G13 % of cluster capex; could-not-verify)</t>
  </si>
  <si>
    <t xml:space="preserve">STO_PCT (flagged)</t>
  </si>
  <si>
    <t xml:space="preserve">Contracted lease rate (G03)</t>
  </si>
  <si>
    <t xml:space="preserve">LEASE_RATE</t>
  </si>
  <si>
    <t xml:space="preserve">Cluster utilization (G07)</t>
  </si>
  <si>
    <t xml:space="preserve">UTIL_CLUSTER</t>
  </si>
  <si>
    <t xml:space="preserve">Compute lease cost ($M) = leased x rate x 8,760 x utilization / 1e6</t>
  </si>
  <si>
    <t xml:space="preserve">Depreciation of owned GPUs (3-yr straight line, economic cost; not a cash line)</t>
  </si>
  <si>
    <t xml:space="preserve">DEPR_YEARS</t>
  </si>
  <si>
    <t xml:space="preserve">ASIC cost factor on owned-cluster cost (VI Y5: 1 - 30% x (1 - 0.5); vendor claim flagged)</t>
  </si>
  <si>
    <t xml:space="preserve">factor</t>
  </si>
  <si>
    <t xml:space="preserve">ASIC_SHARE, ASIC_HALF</t>
  </si>
  <si>
    <t xml:space="preserve">Debt drawn = (chips + network + storage) x debt share</t>
  </si>
  <si>
    <t xml:space="preserve">DEBT_SHARE</t>
  </si>
  <si>
    <t xml:space="preserve">Principal repayment (straight-line over 4 yrs from the year after drawdown)</t>
  </si>
  <si>
    <t xml:space="preserve">PRIN_YEARS</t>
  </si>
  <si>
    <t xml:space="preserve">Debt outstanding (end of year)</t>
  </si>
  <si>
    <t xml:space="preserve">Cost of debt (SW_GF_BACKSTOP)</t>
  </si>
  <si>
    <t xml:space="preserve">COST_DEBT</t>
  </si>
  <si>
    <t xml:space="preserve">Interest on the opening balance</t>
  </si>
  <si>
    <t xml:space="preserve">Owned facility MW = owned GPUs / 1,000 x MW per 1,000 (G05)</t>
  </si>
  <si>
    <t xml:space="preserve">MW_PER_1000</t>
  </si>
  <si>
    <t xml:space="preserve">Economic capacity cost = lease + depreciation x ASIC factor + colocation + power (03_Facility)</t>
  </si>
  <si>
    <t xml:space="preserve">feeds 04_Training</t>
  </si>
  <si>
    <t xml:space="preserve">SCENARIO 2 Full frontier: compute fleet and financing</t>
  </si>
  <si>
    <t xml:space="preserve">SCENARIO 3 Vertically integrated with custom silicon: compute fleet and financing</t>
  </si>
  <si>
    <t xml:space="preserve">Owned-vs-leased: Full buys half its fleet from Y2 at the GB300 rack price; VI buys 80% at the GB200 rack price and builds; Lean leases everything (no debt).</t>
  </si>
  <si>
    <t xml:space="preserve">03_Facility: power (MW, $/MWh by SW_GF_REGION, utilization), colocation vs greenfield build (VI), lease-vs-own reference lines. One block per scenario.</t>
  </si>
  <si>
    <t xml:space="preserve">SCENARIO 1 Lean fast-follower: facility, power, build</t>
  </si>
  <si>
    <t xml:space="preserve">Owned facility MW (02_Compute)</t>
  </si>
  <si>
    <t xml:space="preserve">02_Compute</t>
  </si>
  <si>
    <t xml:space="preserve">Electricity price by region (SW_GF_REGION; EIA T1; Norway AJ)</t>
  </si>
  <si>
    <t xml:space="preserve">G06 (L-108)</t>
  </si>
  <si>
    <t xml:space="preserve">POWER_UTIL</t>
  </si>
  <si>
    <t xml:space="preserve">Power cost = MW x 8,760 x utilization x $/MWh / 1e6</t>
  </si>
  <si>
    <t xml:space="preserve">spec section 7.3</t>
  </si>
  <si>
    <t xml:space="preserve">Colocation powered shell for owned MW not yet in an own-built hall = MAX(0, owned MW - built MW) x rate (G10)</t>
  </si>
  <si>
    <t xml:space="preserve">COLO_RATE (Beacon Point 1.86)</t>
  </si>
  <si>
    <t xml:space="preserve">Greenfield build spend = MW target x build cost x phasing (VI)</t>
  </si>
  <si>
    <t xml:space="preserve">BUILD_COST, BUILD_PH</t>
  </si>
  <si>
    <t xml:space="preserve">Build phasing</t>
  </si>
  <si>
    <t xml:space="preserve">BUILD_PH</t>
  </si>
  <si>
    <t xml:space="preserve">Built MW (cumulative)</t>
  </si>
  <si>
    <t xml:space="preserve">Reference: full-stack lease equivalent of the owned MW (Volta 12.5 to Nscale 16.3 per MW-yr; midpoint)</t>
  </si>
  <si>
    <t xml:space="preserve">G11 (L-134)</t>
  </si>
  <si>
    <t xml:space="preserve">Reference: powered-shell-only equivalent of the owned MW</t>
  </si>
  <si>
    <t xml:space="preserve">G10</t>
  </si>
  <si>
    <t xml:space="preserve">SCENARIO 2 Full frontier: facility, power, build</t>
  </si>
  <si>
    <t xml:space="preserve">SCENARIO 3 Vertically integrated with custom silicon: facility, power, build</t>
  </si>
  <si>
    <t xml:space="preserve">Lead time (G09, AJ): 24-36 months greenfield, 9-18 months colocation fit-out: the VI build phases 10 / 50 / 25 / 15% over Y1-Y4 so the first 500 MW lands by end-Y2 and 1 GW by Y4.</t>
  </si>
  <si>
    <t xml:space="preserve">04_Training: runs by generation (G14 path), training demand vs cluster capacity, the development premium (experiments and failed runs bought beyond the cluster), the final-run-equivalent and the first frontier-class model milestone. One block per scenario.</t>
  </si>
  <si>
    <t xml:space="preserve">SCENARIO 1 Lean fast-follower: training runs and the frontier milestone</t>
  </si>
  <si>
    <t xml:space="preserve">Frontier final-run cost path (G14: Grok 4 ~500 in Y1, x 2.4 per year)</t>
  </si>
  <si>
    <t xml:space="preserve">G14 (L-115, T3)</t>
  </si>
  <si>
    <t xml:space="preserve">Frontier-class threshold for the milestone (Lean: prior-generation class 170, AJ; Full: current-year G14; VI: G14 lagged by TH_LAG)</t>
  </si>
  <si>
    <t xml:space="preserve">LEAN_THRESH / G14 / TH_LAG</t>
  </si>
  <si>
    <t xml:space="preserve">Training demand = runs x threshold x (G16 + G17) (Lean; capped by cluster size below)</t>
  </si>
  <si>
    <t xml:space="preserve">RUNS, G16, G17</t>
  </si>
  <si>
    <t xml:space="preserve">Inference serving cost (05_Inference)</t>
  </si>
  <si>
    <t xml:space="preserve">05_Inference</t>
  </si>
  <si>
    <t xml:space="preserve">Economic capacity cost of the cluster (02_Compute)</t>
  </si>
  <si>
    <t xml:space="preserve">Training compute served inside the cluster = MIN(demand, MAX(0, capacity - inference))</t>
  </si>
  <si>
    <t xml:space="preserve">Training development premium bought beyond the cluster (Lean: none, capped by cluster size)</t>
  </si>
  <si>
    <t xml:space="preserve">Final-run-equivalent compute = (in-cluster + premium) / (G16 + G17)</t>
  </si>
  <si>
    <t xml:space="preserve">G16, G17</t>
  </si>
  <si>
    <t xml:space="preserve">Cluster available (leased capacity from Y1)</t>
  </si>
  <si>
    <t xml:space="preserve">1/0</t>
  </si>
  <si>
    <t xml:space="preserve">Frontier-class run completed this year (final-run-equivalent &gt;= threshold and cluster available)</t>
  </si>
  <si>
    <t xml:space="preserve">First frontier-class model: year index (MATCH on the row above)</t>
  </si>
  <si>
    <t xml:space="preserve">expected: Lean Y2; Full Y2; VI Y3 (spec section 7.4)</t>
  </si>
  <si>
    <t xml:space="preserve">Runs per year (Lean) / budget path (Full, VI), for reference</t>
  </si>
  <si>
    <t xml:space="preserve">SCENARIO 2 Full frontier: training runs and the frontier milestone</t>
  </si>
  <si>
    <t xml:space="preserve">Training demand = annual training budget (Full / VI)</t>
  </si>
  <si>
    <t xml:space="preserve">BUDGET (G15 ceiling)</t>
  </si>
  <si>
    <t xml:space="preserve">Training development premium bought beyond the cluster = MAX(0, demand + inference - capacity)</t>
  </si>
  <si>
    <t xml:space="preserve">SCENARIO 3 Vertically integrated with custom silicon: training runs and the frontier milestone</t>
  </si>
  <si>
    <t xml:space="preserve">Owned cluster operational (VI: purchased the year before; the cluster lands Y2-Y3)</t>
  </si>
  <si>
    <t xml:space="preserve">Per-run reference (G14, L-115): GPT-4 ~78; Gemini Ultra ~191; Llama 3.1-405B ~170; Grok 4 ~500; GPT-4.5 ~200 pre-train + ~2 post-train; growth 2.4x/yr; &gt;1,000 by 2027. Cost shares: hardware 47-67%, R&amp;D staff 29-49%, energy 2-6%.</t>
  </si>
  <si>
    <t xml:space="preserve">05_Inference: net revenue ramp, billed tokens, serving cost as % of revenue (the driver at Base) and the G20 unit-cost cross-check (L-164 throughput x GPU-hour rate x utilization; never a disclosed COGS). One block per scenario; G20 table at the top.</t>
  </si>
  <si>
    <t xml:space="preserve">G20 SERVING COST PER MILLION OUTPUT TOKENS (estimate): rate / (tokens per second per GPU x 3,600 x utilization / 1e6)</t>
  </si>
  <si>
    <t xml:space="preserve">Model class / benchmark</t>
  </si>
  <si>
    <t xml:space="preserve">M tokens per GPU-hr</t>
  </si>
  <si>
    <t xml:space="preserve">$/MTok on-demand 10.50 (100%)</t>
  </si>
  <si>
    <t xml:space="preserve">$/MTok contracted 2.40 (100%)</t>
  </si>
  <si>
    <t xml:space="preserve">$/MTok contracted 4.00 (100%)</t>
  </si>
  <si>
    <t xml:space="preserve">$/MTok on-demand at 60% util</t>
  </si>
  <si>
    <t xml:space="preserve">$/MTok contracted 2.40 at 60%</t>
  </si>
  <si>
    <t xml:space="preserve">Check</t>
  </si>
  <si>
    <t xml:space="preserve">Source</t>
  </si>
  <si>
    <t xml:space="preserve">MoE-efficient: SGLang GB200 NVL72 DeepSeek V3/R1 output</t>
  </si>
  <si>
    <t xml:space="preserve">L-164 · confirmed · T2; rates L-104 T1 / L-105 T3</t>
  </si>
  <si>
    <t xml:space="preserve">MoE server-mode: MLPerf v5.1 GB300 NVL72 DeepSeek-R1</t>
  </si>
  <si>
    <t xml:space="preserve">Dense-frontier: GB200 NVL72 Llama 3.1 405B offline</t>
  </si>
  <si>
    <t xml:space="preserve">Dense-frontier: GB200 NVL72 Llama 3.1 405B interactive</t>
  </si>
  <si>
    <t xml:space="preserve">Frontier proprietary models are not benchmarked; the dense-405B case is the closer proxy for them (flag). Print any $/MTok as an ESTIMATE with the throughput, the rate and the utilization in the sentence.</t>
  </si>
  <si>
    <t xml:space="preserve">SCENARIO 1 Lean fast-follower: inference revenue and serving cost</t>
  </si>
  <si>
    <t xml:space="preserve">Net revenue (AJ ramp)</t>
  </si>
  <si>
    <t xml:space="preserve">REV</t>
  </si>
  <si>
    <t xml:space="preserve">Blended list price (G19)</t>
  </si>
  <si>
    <t xml:space="preserve">LIST_BLEND</t>
  </si>
  <si>
    <t xml:space="preserve">Discount off list</t>
  </si>
  <si>
    <t xml:space="preserve">DISC</t>
  </si>
  <si>
    <t xml:space="preserve">Net price per MTok</t>
  </si>
  <si>
    <t xml:space="preserve">Billed tokens (billions) = revenue x 1e6 / net price / 1,000</t>
  </si>
  <si>
    <t xml:space="preserve">B tokens</t>
  </si>
  <si>
    <t xml:space="preserve">Inference serving cost as % of revenue (AJ path; Y1 = OpenAI 2025 64%)</t>
  </si>
  <si>
    <t xml:space="preserve">INFPCT</t>
  </si>
  <si>
    <t xml:space="preserve">Inference serving cost = revenue x % (VI Y5 x ASIC factor)</t>
  </si>
  <si>
    <t xml:space="preserve">G20 throughput for the model class in use (SW_GF_MODELCLASS)</t>
  </si>
  <si>
    <t xml:space="preserve">G20 unit cost at the scenario contracted rate and inference utilization ($ per MTok)</t>
  </si>
  <si>
    <t xml:space="preserve">G20 x G03 x G07</t>
  </si>
  <si>
    <t xml:space="preserve">Cross-check: serving cost implied by G20 = billed tokens x unit cost</t>
  </si>
  <si>
    <t xml:space="preserve">Cross-check: implied serving gross margin = 1 - unit cost / net price</t>
  </si>
  <si>
    <t xml:space="preserve">Revenue at or above the $1B threshold (1/0)</t>
  </si>
  <si>
    <t xml:space="preserve">REV1B</t>
  </si>
  <si>
    <t xml:space="preserve">First $1B net revenue: year index</t>
  </si>
  <si>
    <t xml:space="preserve">AJ probability of achieving it (reference: TML, Mistral, SSI)</t>
  </si>
  <si>
    <t xml:space="preserve">SCENARIO 2 Full frontier: inference revenue and serving cost</t>
  </si>
  <si>
    <t xml:space="preserve">SCENARIO 3 Vertically integrated with custom silicon: inference revenue and serving cost</t>
  </si>
  <si>
    <t xml:space="preserve">06_People_Other: R&amp;E headcount by band with comp (G21), retention (G22), data licensing and labeling (G23-G24), safety (G25), legal (G26), GTM and G&amp;A (G27), the ASIC program (G29). One block per scenario.</t>
  </si>
  <si>
    <t xml:space="preserve">SCENARIO 1 Lean fast-follower: people and other opex</t>
  </si>
  <si>
    <t xml:space="preserve">Headcount</t>
  </si>
  <si>
    <t xml:space="preserve">HC</t>
  </si>
  <si>
    <t xml:space="preserve">Blended comp per head = leader share x leader comp + senior share x senior comp + engineer share x engineer comp</t>
  </si>
  <si>
    <t xml:space="preserve">G21 bands</t>
  </si>
  <si>
    <t xml:space="preserve">People cost = headcount x blended comp (VI: excluding the silicon team inside G29)</t>
  </si>
  <si>
    <t xml:space="preserve">Retention pool (G22)</t>
  </si>
  <si>
    <t xml:space="preserve">RET</t>
  </si>
  <si>
    <t xml:space="preserve">Data licensing (G23)</t>
  </si>
  <si>
    <t xml:space="preserve">DATA_LIC</t>
  </si>
  <si>
    <t xml:space="preserve">Expert data / labeling (G24)</t>
  </si>
  <si>
    <t xml:space="preserve">LABEL</t>
  </si>
  <si>
    <t xml:space="preserve">Safety / eval = people cost x share (G25)</t>
  </si>
  <si>
    <t xml:space="preserve">SAFE_PCT</t>
  </si>
  <si>
    <t xml:space="preserve">Legal reserve + compliance (G26)</t>
  </si>
  <si>
    <t xml:space="preserve">LEGAL_RES, LEGAL_COMP</t>
  </si>
  <si>
    <t xml:space="preserve">GTM and G&amp;A = people cost x share (G27)</t>
  </si>
  <si>
    <t xml:space="preserve">GTM_PCT</t>
  </si>
  <si>
    <t xml:space="preserve">Custom ASIC program (G29; VI Y1-Y4) = annual x (1 + risk allowance)</t>
  </si>
  <si>
    <t xml:space="preserve">ASIC_ANNUAL, ASIC_RISK, ASIC_YEARS</t>
  </si>
  <si>
    <t xml:space="preserve">People and other, total</t>
  </si>
  <si>
    <t xml:space="preserve">sum</t>
  </si>
  <si>
    <t xml:space="preserve">SCENARIO 2 Full frontier: people and other opex</t>
  </si>
  <si>
    <t xml:space="preserve">SCENARIO 3 Vertically integrated with custom silicon: people and other opex</t>
  </si>
  <si>
    <t xml:space="preserve">Leader share shrinks with scale (10% at 100 heads; 3% at 3,000; 2% at 4,000): the spec's '10% leaders at 5-25M' cannot hold at incumbent scale (OpenAI 4,500-8,000 heads at 0.6-1.0M average, Workbook A 03_Costs).</t>
  </si>
  <si>
    <t xml:space="preserve">07_Cash: time-phased five-year cash out by line, revenue, net cash out, debt drawn and serviced, equity-only and equity-plus-debt cumulative capital, milestone triggers (Exhibit E18; A5:H82: Lean A5:H30, Full A31:H56, VI A57:H82).</t>
  </si>
  <si>
    <t xml:space="preserve">SCENARIO 1 Lean fast-follower: annual cash out ($M)</t>
  </si>
  <si>
    <t xml:space="preserve">Source tab</t>
  </si>
  <si>
    <t xml:space="preserve">Compute lease</t>
  </si>
  <si>
    <t xml:space="preserve">Purchased chips</t>
  </si>
  <si>
    <t xml:space="preserve">Network</t>
  </si>
  <si>
    <t xml:space="preserve">Storage (could-not-verify)</t>
  </si>
  <si>
    <t xml:space="preserve">DC build (greenfield)</t>
  </si>
  <si>
    <t xml:space="preserve">03_Facility</t>
  </si>
  <si>
    <t xml:space="preserve">Colocation powered shell</t>
  </si>
  <si>
    <t xml:space="preserve">Power</t>
  </si>
  <si>
    <t xml:space="preserve">Training development premium</t>
  </si>
  <si>
    <t xml:space="preserve">04_Training</t>
  </si>
  <si>
    <t xml:space="preserve">Inference serving cost</t>
  </si>
  <si>
    <t xml:space="preserve">People</t>
  </si>
  <si>
    <t xml:space="preserve">06_People_Other</t>
  </si>
  <si>
    <t xml:space="preserve">Retention</t>
  </si>
  <si>
    <t xml:space="preserve">Data licensing + labeling</t>
  </si>
  <si>
    <t xml:space="preserve">Safety / eval</t>
  </si>
  <si>
    <t xml:space="preserve">Legal / regulatory</t>
  </si>
  <si>
    <t xml:space="preserve">GTM and G&amp;A</t>
  </si>
  <si>
    <t xml:space="preserve">ASIC program</t>
  </si>
  <si>
    <t xml:space="preserve">Total cash out (gross)</t>
  </si>
  <si>
    <t xml:space="preserve">less revenue (05_Inference)</t>
  </si>
  <si>
    <t xml:space="preserve">Net cash out (equity + debt funded)</t>
  </si>
  <si>
    <t xml:space="preserve">Debt drawn (02_Compute)</t>
  </si>
  <si>
    <t xml:space="preserve">Debt service (interest + principal)</t>
  </si>
  <si>
    <t xml:space="preserve">Equity cash out = net cash out - debt drawn + debt service</t>
  </si>
  <si>
    <t xml:space="preserve">Cumulative equity capital</t>
  </si>
  <si>
    <t xml:space="preserve">running sum</t>
  </si>
  <si>
    <t xml:space="preserve">Debt principal outstanding (02_Compute)</t>
  </si>
  <si>
    <t xml:space="preserve">SCENARIO 2 Full frontier: annual cash out ($M)</t>
  </si>
  <si>
    <t xml:space="preserve">SCENARIO 3 Vertically integrated with custom silicon: annual cash out ($M)</t>
  </si>
  <si>
    <t xml:space="preserve">Cumulative capital, equity plus debt (the entry fee)</t>
  </si>
  <si>
    <t xml:space="preserve">Cash-flow breakeven this year (net cash out &lt;= 0)</t>
  </si>
  <si>
    <t xml:space="preserve">08_Reference: what entry actually cost (spec section 7.5): xAI, SSI (SW_SSI), Thinking Machines, Reflection, Mistral, Periodic, Humans&amp;, Meta, and the two incumbents for scale (Exhibit E18; A5:J20).</t>
  </si>
  <si>
    <t xml:space="preserve">Entrant</t>
  </si>
  <si>
    <t xml:space="preserve">Capital raised / spent ($M)</t>
  </si>
  <si>
    <t xml:space="preserve">Revenue</t>
  </si>
  <si>
    <t xml:space="preserve">Valuation ($M)</t>
  </si>
  <si>
    <t xml:space="preserve">Resembles scenario</t>
  </si>
  <si>
    <t xml:space="preserve">Rows · tier</t>
  </si>
  <si>
    <t xml:space="preserve">xAI (inside SpaceX)</t>
  </si>
  <si>
    <t xml:space="preserve">n/a</t>
  </si>
  <si>
    <t xml:space="preserve">3 (owned Colossus, ~200,000 GPUs, 300 MW phase 2)</t>
  </si>
  <si>
    <t xml:space="preserve">L-096 · T1; L-047 · T2</t>
  </si>
  <si>
    <t xml:space="preserve">SSI</t>
  </si>
  <si>
    <t xml:space="preserve">zero</t>
  </si>
  <si>
    <t xml:space="preserve">1 (research-only)</t>
  </si>
  <si>
    <t xml:space="preserve">L-097 · T2; C-08</t>
  </si>
  <si>
    <t xml:space="preserve">7,000 (PB) / 8,000 (press) via SW_SSI; incl. Nvidia 5,000 (Jul-2026)</t>
  </si>
  <si>
    <t xml:space="preserve">Thinking Machines Lab</t>
  </si>
  <si>
    <t xml:space="preserve">1</t>
  </si>
  <si>
    <t xml:space="preserve">L-098 · T2</t>
  </si>
  <si>
    <t xml:space="preserve">Reflection AI</t>
  </si>
  <si>
    <t xml:space="preserve">L-099 · T2</t>
  </si>
  <si>
    <t xml:space="preserve">Mistral AI</t>
  </si>
  <si>
    <t xml:space="preserve">1 -&gt; 2 (first French datacenter)</t>
  </si>
  <si>
    <t xml:space="preserve">L-100 · T2</t>
  </si>
  <si>
    <t xml:space="preserve">Periodic Labs</t>
  </si>
  <si>
    <t xml:space="preserve">L-101 · T2</t>
  </si>
  <si>
    <t xml:space="preserve">talks at ~7,000</t>
  </si>
  <si>
    <t xml:space="preserve">Humans&amp;</t>
  </si>
  <si>
    <t xml:space="preserve">L-102 · T2</t>
  </si>
  <si>
    <t xml:space="preserve">seed at 4,000 pre</t>
  </si>
  <si>
    <t xml:space="preserve">Meta Superintelligence Labs</t>
  </si>
  <si>
    <t xml:space="preserve">n/a (inside Meta)</t>
  </si>
  <si>
    <t xml:space="preserve">3 (hyperscaler-funded)</t>
  </si>
  <si>
    <t xml:space="preserve">L-095 · T2; L-094 · T2; L-060 · T1</t>
  </si>
  <si>
    <t xml:space="preserve">Anthropic (incumbent, for scale)</t>
  </si>
  <si>
    <t xml:space="preserve">beyond 2</t>
  </si>
  <si>
    <t xml:space="preserve">L-007, L-032, L-151, L-033, L-034, L-152, L-155, L-008, L-005</t>
  </si>
  <si>
    <t xml:space="preserve">OpenAI (incumbent, for scale)</t>
  </si>
  <si>
    <t xml:space="preserve">beyond 3 (leases, custom silicon)</t>
  </si>
  <si>
    <t xml:space="preserve">L-022, L-065, L-066, L-027, L-019</t>
  </si>
  <si>
    <t xml:space="preserve">Reference bands (00_Assumptions): Lean must land in the 2,000-8,000 band (TML / Reflection / SSI / Mistral); Full frontier below Anthropic's 124,254 raised and near xAI's 41,311 accumulated deficit by Y4-Y5; Vertically integrated at or above xAI's deficit plus its 2025 AI-segment debt (~57,366) by Y5.</t>
  </si>
  <si>
    <t xml:space="preserve">Lean band (low / high)</t>
  </si>
  <si>
    <t xml:space="preserve">Full band (near xAI: low / high) and the Anthropic cap</t>
  </si>
  <si>
    <t xml:space="preserve">VI floor (xAI deficit + 2025 debt)</t>
  </si>
  <si>
    <t xml:space="preserve">Supply constraint (G28, L-144 T1): custom-silicon supply booked through 2028 by six incumbents; an entrant buys merchant GPUs at merchant prices or waits (AJ: no custom supply before 2029).</t>
  </si>
  <si>
    <t xml:space="preserve">09_Output (Exhibit E18): the three scenarios side by side: Y1 / Y2 cash out, cumulative capital to each milestone, expected bands (spec section 7.4) with the +/- 20% check, the reference-class check (PASS or 'OUTSIDE REFERENCE CLASS: explain'), lease-vs-own, G20 serving cost. Live scenario (SW_GF) in column F.</t>
  </si>
  <si>
    <t xml:space="preserve">1 Lean fast-follower</t>
  </si>
  <si>
    <t xml:space="preserve">2 Full frontier</t>
  </si>
  <si>
    <t xml:space="preserve">3 Vertically integrated</t>
  </si>
  <si>
    <t xml:space="preserve">Y1 cash out (gross)</t>
  </si>
  <si>
    <t xml:space="preserve">Y2 cash out (gross)</t>
  </si>
  <si>
    <t xml:space="preserve">First frontier-class model (year index; 04_Training)</t>
  </si>
  <si>
    <t xml:space="preserve">expected Lean Y2 / Full Y2 / VI Y3</t>
  </si>
  <si>
    <t xml:space="preserve">Cumulative capital (equity + debt) to the first frontier-class model</t>
  </si>
  <si>
    <t xml:space="preserve">First $1B net revenue (year index; 05_Inference) with the AJ probability in the note</t>
  </si>
  <si>
    <t xml:space="preserve">expected Lean Y4 / Full Y3 / VI Y4</t>
  </si>
  <si>
    <t xml:space="preserve">Cash-flow breakeven (first year net cash out &lt;= 0; 07_Cash)</t>
  </si>
  <si>
    <t xml:space="preserve">expected Lean Y5 or never / Full beyond Y5 / VI beyond Y5</t>
  </si>
  <si>
    <t xml:space="preserve">Cumulative capital to breakeven</t>
  </si>
  <si>
    <t xml:space="preserve">Cumulative capital (equity + debt) at Y5</t>
  </si>
  <si>
    <t xml:space="preserve">Cumulative equity-only capital at Y5 (Ruling 1 spirit)</t>
  </si>
  <si>
    <t xml:space="preserve">Y5 net cash out (negative = cash generative)</t>
  </si>
  <si>
    <t xml:space="preserve">Y5 revenue</t>
  </si>
  <si>
    <t xml:space="preserve">EXPECTED MAGNITUDES AT BASE (spec section 7.4) AND THE +/- 20% CHECK</t>
  </si>
  <si>
    <t xml:space="preserve">1 Lean: actual / expected / check</t>
  </si>
  <si>
    <t xml:space="preserve">2 Full: actual / expected / check</t>
  </si>
  <si>
    <t xml:space="preserve">3 VI: actual / expected / check</t>
  </si>
  <si>
    <t xml:space="preserve">Rule</t>
  </si>
  <si>
    <t xml:space="preserve">within [0.8 x low, 1.2 x high] of the spec band</t>
  </si>
  <si>
    <t xml:space="preserve">Y2 cash out</t>
  </si>
  <si>
    <t xml:space="preserve">n/a (no expected band stated)</t>
  </si>
  <si>
    <t xml:space="preserve">Cumulative to the first frontier-class model</t>
  </si>
  <si>
    <t xml:space="preserve">Cumulative to the first $1B net revenue</t>
  </si>
  <si>
    <t xml:space="preserve">Cumulative to breakeven (or not reached)</t>
  </si>
  <si>
    <t xml:space="preserve">REFERENCE-CLASS CHECK (spec section 7.5 rule): PASS or 'OUTSIDE REFERENCE CLASS: explain'</t>
  </si>
  <si>
    <t xml:space="preserve">1 Lean: cumulative capital to the first frontier-class model must sit in the SSI / TML / Reflection / Mistral band (2,000-8,000 to a model with little revenue)</t>
  </si>
  <si>
    <t xml:space="preserve">2 Full frontier: cumulative capital by Y4-Y5 must be below Anthropic's equity to its first positive adjusted result (124,254 raised; ~12,000-20,000 burned, flagged) and near xAI's accumulated deficit (41,311; near = 0.5x-2x)</t>
  </si>
  <si>
    <t xml:space="preserve">3 Vertically integrated: cumulative capital by Y5 must be at or above xAI's deficit plus its 2025 AI-segment debt (~57,366)</t>
  </si>
  <si>
    <t xml:space="preserve">LEASE VS OWN 1 GW-IT AT BASE (spec section 7.4): own ~36,400 up front + 400-620 per year power; full-stack lease 12,500-16,300 per year; powered shell 1,760-2,400 per year; crossover ~2.5-3 years</t>
  </si>
  <si>
    <t xml:space="preserve">Expected</t>
  </si>
  <si>
    <t xml:space="preserve">Build 1 GW at 17.6 per MW</t>
  </si>
  <si>
    <t xml:space="preserve">G08 (L-109)</t>
  </si>
  <si>
    <t xml:space="preserve">Chips: GPUs for 1 GW-IT (1,000 MW / 2.1 MW per 1,000) x GB200 price</t>
  </si>
  <si>
    <t xml:space="preserve">G05, G01</t>
  </si>
  <si>
    <t xml:space="preserve">Network (8% of GPU BOM)</t>
  </si>
  <si>
    <t xml:space="preserve">G12</t>
  </si>
  <si>
    <t xml:space="preserve">Storage (3%; could-not-verify)</t>
  </si>
  <si>
    <t xml:space="preserve">G13</t>
  </si>
  <si>
    <t xml:space="preserve">Owning 1 GW-IT up front (sum)</t>
  </si>
  <si>
    <t xml:space="preserve">spec 36,400</t>
  </si>
  <si>
    <t xml:space="preserve">Power per year at 70% utilization (Texas) / at 100% in F</t>
  </si>
  <si>
    <t xml:space="preserve">Full-stack lease of 1 GW per year, low (Volta) / high (Nscale) in F</t>
  </si>
  <si>
    <t xml:space="preserve">Powered shell only per year, low (Core Scientific) / high (Riot) in F</t>
  </si>
  <si>
    <t xml:space="preserve">G10 (L-148, L-136)</t>
  </si>
  <si>
    <t xml:space="preserve">Crossover lease-vs-own (years of full-stack lease that equal the up-front own cost), at the low / high lease rate in F</t>
  </si>
  <si>
    <t xml:space="preserve">before residual-value risk (H100 used at 33-63% of new, G01)</t>
  </si>
  <si>
    <t xml:space="preserve">G20 serving-cost table: 05_Inference A3:J9 (MoE on-demand ~0.22; contracted 0.05-0.08; dense on-demand ~13-21; contracted 3.0-8.1; x 1.67 at 60% utilization). Live scenario:</t>
  </si>
  <si>
    <t xml:space="preserve">Switches in use: SW_GF_BACKSTOP / SW_GF_REGION / SW_GF_MODELCLASS / SW_SSI</t>
  </si>
  <si>
    <t xml:space="preserve">Verdict fences (one sentence per scenario, from the checks above): Lean is a research shop that never reaches the current frontier and needs a step-up round to serve revenue; Full frontier reaches the frontier in Y2 on leased and half-purchased clusters and burns at incumbent scale by Y5; Vertically integrated pays the 1 GW build and the ASIC program before its cluster is operational and lands above xAI's deficit-plus-debt by Y5.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</si>
</sst>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\$#,##0;&quot;($&quot;#,##0\);\-"/>
    <numFmt numFmtId="167" formatCode="#,##0;\(#,##0\);\-"/>
    <numFmt numFmtId="168" formatCode="#,##0.00;\(#,##0.00\);\-"/>
    <numFmt numFmtId="169" formatCode="0.0%"/>
    <numFmt numFmtId="170" formatCode="#,##0.0;\(#,##0.0\);\-"/>
    <numFmt numFmtId="171" formatCode="0.00%"/>
    <numFmt numFmtId="172" formatCode="0.00\x"/>
    <numFmt numFmtId="173" formatCode="\$#,##0.0;&quot;($&quot;#,##0.0\);\-"/>
    <numFmt numFmtId="174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D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2"/>
    <col collapsed="false" customWidth="true" hidden="false" outlineLevel="0" max="3" min="3" style="1" width="52"/>
    <col collapsed="false" customWidth="true" hidden="false" outlineLevel="0" max="7" min="4" style="1" width="13"/>
    <col collapsed="false" customWidth="true" hidden="false" outlineLevel="0" max="9" min="8" style="1" width="12"/>
    <col collapsed="false" customWidth="true" hidden="false" outlineLevel="0" max="10" min="10" style="1" width="50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D2" s="4" t="n">
        <v>1</v>
      </c>
      <c r="E2" s="5" t="n">
        <f aca="false">D2+1</f>
        <v>2</v>
      </c>
      <c r="F2" s="5" t="n">
        <f aca="false">E2+1</f>
        <v>3</v>
      </c>
      <c r="G2" s="5" t="n">
        <f aca="false">F2+1</f>
        <v>4</v>
      </c>
      <c r="H2" s="5" t="n">
        <f aca="false">G2+1</f>
        <v>5</v>
      </c>
    </row>
    <row r="3" customFormat="false" ht="15" hidden="false" customHeight="false" outlineLevel="0" collapsed="false">
      <c r="A3" s="3" t="s">
        <v>2</v>
      </c>
      <c r="D3" s="6" t="str">
        <f aca="false">"Y"&amp;D2</f>
        <v>Y1</v>
      </c>
      <c r="E3" s="6" t="str">
        <f aca="false">"Y"&amp;E2</f>
        <v>Y2</v>
      </c>
      <c r="F3" s="6" t="str">
        <f aca="false">"Y"&amp;F2</f>
        <v>Y3</v>
      </c>
      <c r="G3" s="6" t="str">
        <f aca="false">"Y"&amp;G2</f>
        <v>Y4</v>
      </c>
      <c r="H3" s="6" t="str">
        <f aca="false">"Y"&amp;H2</f>
        <v>Y5</v>
      </c>
    </row>
    <row r="4" customFormat="false" ht="15" hidden="false" customHeight="false" outlineLevel="0" collapsed="false">
      <c r="A4" s="3" t="s">
        <v>3</v>
      </c>
      <c r="C4" s="4" t="n">
        <v>2</v>
      </c>
      <c r="D4" s="7" t="str">
        <f aca="false">CHOOSE(SW_GF,"1 Lean fast-follower","2 Full frontier","3 Vertically integrated with custom silicon")</f>
        <v>2 Full frontier</v>
      </c>
    </row>
    <row r="5" customFormat="false" ht="15" hidden="false" customHeight="false" outlineLevel="0" collapsed="false">
      <c r="A5" s="3" t="s">
        <v>4</v>
      </c>
      <c r="C5" s="3" t="str">
        <f aca="false">CHOOSE(D5,"No","Yes")</f>
        <v>No</v>
      </c>
      <c r="D5" s="4" t="n">
        <v>1</v>
      </c>
      <c r="E5" s="2" t="s">
        <v>5</v>
      </c>
    </row>
    <row r="6" customFormat="false" ht="15" hidden="false" customHeight="false" outlineLevel="0" collapsed="false">
      <c r="A6" s="3" t="s">
        <v>6</v>
      </c>
      <c r="C6" s="3" t="str">
        <f aca="false">CHOOSE(D6,"Texas","Virginia","Ohio","Norway")</f>
        <v>Texas</v>
      </c>
      <c r="D6" s="4" t="n">
        <v>1</v>
      </c>
      <c r="E6" s="2" t="s">
        <v>7</v>
      </c>
    </row>
    <row r="7" customFormat="false" ht="15" hidden="false" customHeight="false" outlineLevel="0" collapsed="false">
      <c r="A7" s="3" t="s">
        <v>8</v>
      </c>
      <c r="C7" s="7" t="str">
        <f aca="false">IF(D7=1,CHOOSE(SW_GF,"MoE-efficient","dense-frontier","dense-frontier"),CHOOSE(D7-1,"MoE-efficient","dense-frontier"))</f>
        <v>dense-frontier</v>
      </c>
      <c r="D7" s="4" t="n">
        <v>1</v>
      </c>
      <c r="E7" s="2" t="s">
        <v>9</v>
      </c>
    </row>
    <row r="8" customFormat="false" ht="15" hidden="false" customHeight="false" outlineLevel="0" collapsed="false">
      <c r="A8" s="3" t="s">
        <v>10</v>
      </c>
      <c r="C8" s="8" t="n">
        <f aca="false">CHOOSE(D8,01_Data!$D$197,01_Data!$D$198)</f>
        <v>7000</v>
      </c>
      <c r="D8" s="4" t="n">
        <v>1</v>
      </c>
    </row>
    <row r="10" customFormat="false" ht="15" hidden="false" customHeight="false" outlineLevel="0" collapsed="false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  <c r="J10" s="9" t="s">
        <v>20</v>
      </c>
    </row>
    <row r="11" customFormat="false" ht="15" hidden="false" customHeight="false" outlineLevel="0" collapsed="false">
      <c r="A11" s="10" t="s">
        <v>21</v>
      </c>
      <c r="B11" s="2" t="s">
        <v>22</v>
      </c>
      <c r="C11" s="2" t="s">
        <v>23</v>
      </c>
      <c r="D11" s="11" t="n">
        <v>0</v>
      </c>
      <c r="E11" s="12" t="n">
        <f aca="false">AVERAGE(01_Data!$D$13,01_Data!$D$14)/01_Data!$D$17</f>
        <v>48611.1111111111</v>
      </c>
      <c r="F11" s="12" t="n">
        <f aca="false">AVERAGE(01_Data!$D$11,01_Data!$D$12)/01_Data!$D$17</f>
        <v>34722.2222222222</v>
      </c>
      <c r="G11" s="13" t="n">
        <f aca="false">CHOOSE(SW_GF,D11,E11,F11)</f>
        <v>48611.1111111111</v>
      </c>
      <c r="H11" s="14" t="n">
        <f aca="false">01_Data!$D$11/01_Data!$D$17</f>
        <v>27777.7777777778</v>
      </c>
      <c r="I11" s="14" t="n">
        <f aca="false">01_Data!$D$14/01_Data!$D$17</f>
        <v>55555.5555555556</v>
      </c>
      <c r="J11" s="2" t="s">
        <v>24</v>
      </c>
    </row>
    <row r="12" customFormat="false" ht="15" hidden="false" customHeight="false" outlineLevel="0" collapsed="false">
      <c r="A12" s="10" t="s">
        <v>25</v>
      </c>
      <c r="B12" s="2" t="s">
        <v>26</v>
      </c>
      <c r="C12" s="2" t="s">
        <v>27</v>
      </c>
      <c r="D12" s="15" t="n">
        <f aca="false">01_Data!$D$30</f>
        <v>2.4</v>
      </c>
      <c r="E12" s="15" t="n">
        <f aca="false">01_Data!$D$31</f>
        <v>3.1</v>
      </c>
      <c r="F12" s="15" t="n">
        <f aca="false">01_Data!$D$30</f>
        <v>2.4</v>
      </c>
      <c r="G12" s="16" t="n">
        <f aca="false">CHOOSE(SW_GF,D12,E12,F12)</f>
        <v>3.1</v>
      </c>
      <c r="H12" s="17" t="n">
        <f aca="false">01_Data!$D$30</f>
        <v>2.4</v>
      </c>
      <c r="I12" s="17" t="n">
        <f aca="false">01_Data!$D$32</f>
        <v>4</v>
      </c>
    </row>
    <row r="13" customFormat="false" ht="15" hidden="false" customHeight="false" outlineLevel="0" collapsed="false">
      <c r="A13" s="10" t="s">
        <v>28</v>
      </c>
      <c r="B13" s="2" t="s">
        <v>29</v>
      </c>
      <c r="C13" s="2" t="s">
        <v>30</v>
      </c>
      <c r="D13" s="18" t="n">
        <v>0.75</v>
      </c>
      <c r="E13" s="18" t="n">
        <v>0.75</v>
      </c>
      <c r="F13" s="18" t="n">
        <v>0.75</v>
      </c>
      <c r="G13" s="19" t="n">
        <f aca="false">CHOOSE(SW_GF,D13,E13,F13)</f>
        <v>0.75</v>
      </c>
      <c r="H13" s="18" t="n">
        <v>0.7</v>
      </c>
      <c r="I13" s="18" t="n">
        <v>0.85</v>
      </c>
    </row>
    <row r="14" customFormat="false" ht="15" hidden="false" customHeight="false" outlineLevel="0" collapsed="false">
      <c r="A14" s="10" t="s">
        <v>31</v>
      </c>
      <c r="B14" s="2" t="s">
        <v>29</v>
      </c>
      <c r="C14" s="2" t="s">
        <v>32</v>
      </c>
      <c r="D14" s="18" t="n">
        <v>0.55</v>
      </c>
      <c r="E14" s="18" t="n">
        <v>0.55</v>
      </c>
      <c r="F14" s="18" t="n">
        <v>0.55</v>
      </c>
      <c r="G14" s="19" t="n">
        <f aca="false">CHOOSE(SW_GF,D14,E14,F14)</f>
        <v>0.55</v>
      </c>
      <c r="H14" s="18" t="n">
        <v>0.4</v>
      </c>
      <c r="I14" s="18" t="n">
        <v>0.7</v>
      </c>
    </row>
    <row r="15" customFormat="false" ht="15" hidden="false" customHeight="false" outlineLevel="0" collapsed="false">
      <c r="A15" s="10" t="s">
        <v>33</v>
      </c>
      <c r="B15" s="2" t="s">
        <v>29</v>
      </c>
      <c r="C15" s="2" t="s">
        <v>34</v>
      </c>
      <c r="D15" s="18" t="n">
        <v>0</v>
      </c>
      <c r="E15" s="18" t="n">
        <v>0.6</v>
      </c>
      <c r="F15" s="18" t="n">
        <v>0.6</v>
      </c>
      <c r="G15" s="19" t="n">
        <f aca="false">CHOOSE(SW_GF,D15,E15,F15)</f>
        <v>0.6</v>
      </c>
      <c r="H15" s="18" t="n">
        <v>0.5</v>
      </c>
      <c r="I15" s="18" t="n">
        <v>0.7</v>
      </c>
    </row>
    <row r="16" customFormat="false" ht="15" hidden="false" customHeight="false" outlineLevel="0" collapsed="false">
      <c r="A16" s="10" t="s">
        <v>35</v>
      </c>
      <c r="B16" s="2" t="s">
        <v>36</v>
      </c>
      <c r="C16" s="2" t="s">
        <v>37</v>
      </c>
      <c r="D16" s="11" t="n">
        <v>3</v>
      </c>
      <c r="E16" s="11" t="n">
        <v>3</v>
      </c>
      <c r="F16" s="11" t="n">
        <v>3</v>
      </c>
      <c r="G16" s="13" t="n">
        <f aca="false">CHOOSE(SW_GF,D16,E16,F16)</f>
        <v>3</v>
      </c>
      <c r="H16" s="11" t="n">
        <v>3</v>
      </c>
      <c r="I16" s="11" t="n">
        <v>5</v>
      </c>
    </row>
    <row r="17" customFormat="false" ht="15" hidden="false" customHeight="false" outlineLevel="0" collapsed="false">
      <c r="A17" s="10" t="s">
        <v>38</v>
      </c>
      <c r="B17" s="2" t="s">
        <v>36</v>
      </c>
      <c r="C17" s="2" t="s">
        <v>39</v>
      </c>
      <c r="D17" s="11" t="n">
        <v>4</v>
      </c>
      <c r="E17" s="11" t="n">
        <v>4</v>
      </c>
      <c r="F17" s="11" t="n">
        <v>4</v>
      </c>
      <c r="G17" s="13" t="n">
        <f aca="false">CHOOSE(SW_GF,D17,E17,F17)</f>
        <v>4</v>
      </c>
      <c r="H17" s="11" t="n">
        <v>4</v>
      </c>
      <c r="I17" s="11" t="n">
        <v>4</v>
      </c>
    </row>
    <row r="18" customFormat="false" ht="15" hidden="false" customHeight="false" outlineLevel="0" collapsed="false">
      <c r="A18" s="10" t="s">
        <v>40</v>
      </c>
      <c r="B18" s="2" t="s">
        <v>29</v>
      </c>
      <c r="C18" s="2" t="s">
        <v>41</v>
      </c>
      <c r="D18" s="18" t="n">
        <v>0</v>
      </c>
      <c r="E18" s="20" t="n">
        <f aca="false">01_Data!$D$89</f>
        <v>0.08</v>
      </c>
      <c r="F18" s="20" t="n">
        <f aca="false">01_Data!$D$89</f>
        <v>0.08</v>
      </c>
      <c r="G18" s="19" t="n">
        <f aca="false">CHOOSE(SW_GF,D18,E18,F18)</f>
        <v>0.08</v>
      </c>
      <c r="H18" s="21" t="n">
        <f aca="false">01_Data!$D$90</f>
        <v>0.058</v>
      </c>
      <c r="I18" s="21" t="n">
        <f aca="false">01_Data!$D$88</f>
        <v>0.15</v>
      </c>
    </row>
    <row r="19" customFormat="false" ht="15" hidden="false" customHeight="false" outlineLevel="0" collapsed="false">
      <c r="A19" s="10" t="s">
        <v>42</v>
      </c>
      <c r="B19" s="2" t="s">
        <v>29</v>
      </c>
      <c r="C19" s="2" t="s">
        <v>43</v>
      </c>
      <c r="D19" s="18" t="n">
        <v>0</v>
      </c>
      <c r="E19" s="18" t="n">
        <v>0.03</v>
      </c>
      <c r="F19" s="18" t="n">
        <v>0.03</v>
      </c>
      <c r="G19" s="19" t="n">
        <f aca="false">CHOOSE(SW_GF,D19,E19,F19)</f>
        <v>0.03</v>
      </c>
      <c r="H19" s="21" t="n">
        <f aca="false">01_Data!$D$93</f>
        <v>0.02</v>
      </c>
      <c r="I19" s="21" t="n">
        <f aca="false">01_Data!$D$94</f>
        <v>0.05</v>
      </c>
    </row>
    <row r="20" customFormat="false" ht="15" hidden="false" customHeight="false" outlineLevel="0" collapsed="false">
      <c r="A20" s="10" t="s">
        <v>44</v>
      </c>
      <c r="B20" s="2" t="s">
        <v>45</v>
      </c>
      <c r="C20" s="2" t="s">
        <v>46</v>
      </c>
      <c r="D20" s="22" t="n">
        <v>2.1</v>
      </c>
      <c r="E20" s="22" t="n">
        <v>2.1</v>
      </c>
      <c r="F20" s="22" t="n">
        <v>2.1</v>
      </c>
      <c r="G20" s="16" t="n">
        <f aca="false">CHOOSE(SW_GF,D20,E20,F20)</f>
        <v>2.1</v>
      </c>
      <c r="H20" s="17" t="n">
        <f aca="false">01_Data!$D$45</f>
        <v>2</v>
      </c>
      <c r="I20" s="17" t="n">
        <f aca="false">01_Data!$D$46</f>
        <v>2.2</v>
      </c>
    </row>
    <row r="21" customFormat="false" ht="15" hidden="false" customHeight="false" outlineLevel="0" collapsed="false">
      <c r="A21" s="10" t="s">
        <v>47</v>
      </c>
      <c r="B21" s="2" t="s">
        <v>29</v>
      </c>
      <c r="C21" s="2" t="s">
        <v>48</v>
      </c>
      <c r="D21" s="18" t="n">
        <v>0.7</v>
      </c>
      <c r="E21" s="18" t="n">
        <v>0.7</v>
      </c>
      <c r="F21" s="18" t="n">
        <v>0.7</v>
      </c>
      <c r="G21" s="19" t="n">
        <f aca="false">CHOOSE(SW_GF,D21,E21,F21)</f>
        <v>0.7</v>
      </c>
      <c r="H21" s="18" t="n">
        <v>0.7</v>
      </c>
      <c r="I21" s="18" t="n">
        <v>1</v>
      </c>
    </row>
    <row r="22" customFormat="false" ht="15" hidden="false" customHeight="false" outlineLevel="0" collapsed="false">
      <c r="A22" s="10" t="s">
        <v>49</v>
      </c>
      <c r="B22" s="2" t="s">
        <v>50</v>
      </c>
      <c r="C22" s="2" t="s">
        <v>51</v>
      </c>
      <c r="D22" s="15" t="n">
        <f aca="false">01_Data!$D$74</f>
        <v>1.85606060606061</v>
      </c>
      <c r="E22" s="15" t="n">
        <f aca="false">01_Data!$D$74</f>
        <v>1.85606060606061</v>
      </c>
      <c r="F22" s="15" t="n">
        <f aca="false">01_Data!$D$74</f>
        <v>1.85606060606061</v>
      </c>
      <c r="G22" s="16" t="n">
        <f aca="false">CHOOSE(SW_GF,D22,E22,F22)</f>
        <v>1.85606060606061</v>
      </c>
      <c r="H22" s="17" t="n">
        <f aca="false">01_Data!$D$73</f>
        <v>1.76100628930818</v>
      </c>
      <c r="I22" s="17" t="n">
        <f aca="false">01_Data!$D$75</f>
        <v>2.38219895287958</v>
      </c>
    </row>
    <row r="23" customFormat="false" ht="15" hidden="false" customHeight="false" outlineLevel="0" collapsed="false">
      <c r="A23" s="10" t="s">
        <v>52</v>
      </c>
      <c r="B23" s="2" t="s">
        <v>53</v>
      </c>
      <c r="C23" s="2" t="s">
        <v>54</v>
      </c>
      <c r="D23" s="23" t="n">
        <f aca="false">01_Data!$D$57</f>
        <v>17.6</v>
      </c>
      <c r="E23" s="23" t="n">
        <f aca="false">01_Data!$D$57</f>
        <v>17.6</v>
      </c>
      <c r="F23" s="23" t="n">
        <f aca="false">01_Data!$D$57</f>
        <v>17.6</v>
      </c>
      <c r="G23" s="24" t="n">
        <f aca="false">CHOOSE(SW_GF,D23,E23,F23)</f>
        <v>17.6</v>
      </c>
      <c r="H23" s="25" t="n">
        <f aca="false">01_Data!$D$57</f>
        <v>17.6</v>
      </c>
      <c r="I23" s="25" t="n">
        <f aca="false">01_Data!$D$58</f>
        <v>20</v>
      </c>
    </row>
    <row r="24" customFormat="false" ht="15" hidden="false" customHeight="false" outlineLevel="0" collapsed="false">
      <c r="A24" s="10" t="s">
        <v>55</v>
      </c>
      <c r="B24" s="2" t="s">
        <v>45</v>
      </c>
      <c r="C24" s="2" t="s">
        <v>34</v>
      </c>
      <c r="D24" s="11" t="n">
        <v>0</v>
      </c>
      <c r="E24" s="11" t="n">
        <v>0</v>
      </c>
      <c r="F24" s="11" t="n">
        <v>1000</v>
      </c>
      <c r="G24" s="13" t="n">
        <f aca="false">CHOOSE(SW_GF,D24,E24,F24)</f>
        <v>0</v>
      </c>
      <c r="H24" s="11" t="n">
        <v>1000</v>
      </c>
      <c r="I24" s="11" t="n">
        <v>1000</v>
      </c>
    </row>
    <row r="25" customFormat="false" ht="15" hidden="false" customHeight="false" outlineLevel="0" collapsed="false">
      <c r="A25" s="10" t="s">
        <v>56</v>
      </c>
      <c r="B25" s="2" t="s">
        <v>57</v>
      </c>
      <c r="C25" s="2" t="s">
        <v>58</v>
      </c>
      <c r="D25" s="26" t="n">
        <v>3</v>
      </c>
      <c r="E25" s="26" t="n">
        <v>4</v>
      </c>
      <c r="F25" s="26" t="n">
        <v>4</v>
      </c>
      <c r="G25" s="24" t="n">
        <f aca="false">CHOOSE(SW_GF,D25,E25,F25)</f>
        <v>4</v>
      </c>
      <c r="H25" s="26" t="n">
        <v>3</v>
      </c>
      <c r="I25" s="26" t="n">
        <v>5</v>
      </c>
    </row>
    <row r="26" customFormat="false" ht="15" hidden="false" customHeight="false" outlineLevel="0" collapsed="false">
      <c r="A26" s="10" t="s">
        <v>59</v>
      </c>
      <c r="B26" s="2" t="s">
        <v>29</v>
      </c>
      <c r="C26" s="2" t="s">
        <v>60</v>
      </c>
      <c r="D26" s="18" t="n">
        <v>0.3</v>
      </c>
      <c r="E26" s="18" t="n">
        <v>0.4</v>
      </c>
      <c r="F26" s="18" t="n">
        <v>0.4</v>
      </c>
      <c r="G26" s="19" t="n">
        <f aca="false">CHOOSE(SW_GF,D26,E26,F26)</f>
        <v>0.4</v>
      </c>
      <c r="H26" s="18" t="n">
        <v>0.3</v>
      </c>
      <c r="I26" s="18" t="n">
        <v>0.5</v>
      </c>
    </row>
    <row r="27" customFormat="false" ht="15" hidden="false" customHeight="false" outlineLevel="0" collapsed="false">
      <c r="A27" s="10" t="s">
        <v>61</v>
      </c>
      <c r="B27" s="2" t="s">
        <v>62</v>
      </c>
      <c r="C27" s="2" t="s">
        <v>63</v>
      </c>
      <c r="D27" s="27" t="n">
        <f aca="false">01_Data!$D$99</f>
        <v>170</v>
      </c>
      <c r="E27" s="28" t="n">
        <v>0</v>
      </c>
      <c r="F27" s="28" t="n">
        <v>0</v>
      </c>
      <c r="G27" s="8" t="n">
        <f aca="false">CHOOSE(SW_GF,D27,E27,F27)</f>
        <v>0</v>
      </c>
      <c r="H27" s="29" t="n">
        <f aca="false">01_Data!$D$99</f>
        <v>170</v>
      </c>
      <c r="I27" s="29" t="n">
        <f aca="false">01_Data!$D$101</f>
        <v>200</v>
      </c>
    </row>
    <row r="28" customFormat="false" ht="15" hidden="false" customHeight="false" outlineLevel="0" collapsed="false">
      <c r="A28" s="10" t="s">
        <v>64</v>
      </c>
      <c r="B28" s="2" t="s">
        <v>65</v>
      </c>
      <c r="C28" s="2" t="s">
        <v>66</v>
      </c>
      <c r="D28" s="15" t="n">
        <f aca="false">(01_Data!$D$128+01_Data!$D$129)/2</f>
        <v>15</v>
      </c>
      <c r="E28" s="15" t="n">
        <f aca="false">(01_Data!$D$128+01_Data!$D$129)/2</f>
        <v>15</v>
      </c>
      <c r="F28" s="15" t="n">
        <f aca="false">(01_Data!$D$128+01_Data!$D$129)/2</f>
        <v>15</v>
      </c>
      <c r="G28" s="16" t="n">
        <f aca="false">CHOOSE(SW_GF,D28,E28,F28)</f>
        <v>15</v>
      </c>
      <c r="H28" s="17" t="n">
        <f aca="false">01_Data!$D$130</f>
        <v>2</v>
      </c>
      <c r="I28" s="17" t="n">
        <f aca="false">01_Data!$D$127</f>
        <v>50</v>
      </c>
      <c r="J28" s="2" t="s">
        <v>67</v>
      </c>
    </row>
    <row r="29" customFormat="false" ht="15" hidden="false" customHeight="false" outlineLevel="0" collapsed="false">
      <c r="A29" s="10" t="s">
        <v>68</v>
      </c>
      <c r="B29" s="2" t="s">
        <v>29</v>
      </c>
      <c r="C29" s="2" t="s">
        <v>69</v>
      </c>
      <c r="D29" s="18" t="n">
        <v>0.4</v>
      </c>
      <c r="E29" s="18" t="n">
        <v>0.4</v>
      </c>
      <c r="F29" s="18" t="n">
        <v>0.4</v>
      </c>
      <c r="G29" s="19" t="n">
        <f aca="false">CHOOSE(SW_GF,D29,E29,F29)</f>
        <v>0.4</v>
      </c>
      <c r="H29" s="18" t="n">
        <v>0.3</v>
      </c>
      <c r="I29" s="18" t="n">
        <v>0.5</v>
      </c>
    </row>
    <row r="30" customFormat="false" ht="15" hidden="false" customHeight="false" outlineLevel="0" collapsed="false">
      <c r="A30" s="10" t="s">
        <v>70</v>
      </c>
      <c r="B30" s="2" t="s">
        <v>29</v>
      </c>
      <c r="C30" s="2" t="s">
        <v>71</v>
      </c>
      <c r="D30" s="18" t="n">
        <v>0.1</v>
      </c>
      <c r="E30" s="18" t="n">
        <v>0.03</v>
      </c>
      <c r="F30" s="18" t="n">
        <v>0.02</v>
      </c>
      <c r="G30" s="19" t="n">
        <f aca="false">CHOOSE(SW_GF,D30,E30,F30)</f>
        <v>0.03</v>
      </c>
      <c r="H30" s="18" t="n">
        <v>0.02</v>
      </c>
      <c r="I30" s="18" t="n">
        <v>0.1</v>
      </c>
    </row>
    <row r="31" customFormat="false" ht="15" hidden="false" customHeight="false" outlineLevel="0" collapsed="false">
      <c r="A31" s="10" t="s">
        <v>72</v>
      </c>
      <c r="B31" s="2" t="s">
        <v>73</v>
      </c>
      <c r="C31" s="2" t="s">
        <v>74</v>
      </c>
      <c r="D31" s="26" t="n">
        <v>15</v>
      </c>
      <c r="E31" s="26" t="n">
        <v>15</v>
      </c>
      <c r="F31" s="26" t="n">
        <v>15</v>
      </c>
      <c r="G31" s="24" t="n">
        <f aca="false">CHOOSE(SW_GF,D31,E31,F31)</f>
        <v>15</v>
      </c>
      <c r="H31" s="26" t="n">
        <v>5</v>
      </c>
      <c r="I31" s="26" t="n">
        <v>25</v>
      </c>
    </row>
    <row r="32" customFormat="false" ht="15" hidden="false" customHeight="false" outlineLevel="0" collapsed="false">
      <c r="A32" s="10" t="s">
        <v>75</v>
      </c>
      <c r="B32" s="2" t="s">
        <v>29</v>
      </c>
      <c r="C32" s="2" t="s">
        <v>76</v>
      </c>
      <c r="D32" s="18" t="n">
        <v>0.4</v>
      </c>
      <c r="E32" s="18" t="n">
        <v>0.4</v>
      </c>
      <c r="F32" s="18" t="n">
        <v>0.4</v>
      </c>
      <c r="G32" s="19" t="n">
        <f aca="false">CHOOSE(SW_GF,D32,E32,F32)</f>
        <v>0.4</v>
      </c>
      <c r="H32" s="18" t="n">
        <v>0.3</v>
      </c>
      <c r="I32" s="18" t="n">
        <v>0.5</v>
      </c>
    </row>
    <row r="33" customFormat="false" ht="15" hidden="false" customHeight="false" outlineLevel="0" collapsed="false">
      <c r="A33" s="10" t="s">
        <v>77</v>
      </c>
      <c r="B33" s="2" t="s">
        <v>73</v>
      </c>
      <c r="C33" s="2" t="s">
        <v>78</v>
      </c>
      <c r="D33" s="22" t="n">
        <v>1</v>
      </c>
      <c r="E33" s="22" t="n">
        <v>1</v>
      </c>
      <c r="F33" s="22" t="n">
        <v>1</v>
      </c>
      <c r="G33" s="16" t="n">
        <f aca="false">CHOOSE(SW_GF,D33,E33,F33)</f>
        <v>1</v>
      </c>
      <c r="H33" s="17" t="n">
        <f aca="false">01_Data!$D$148</f>
        <v>0.5</v>
      </c>
      <c r="I33" s="17" t="n">
        <f aca="false">01_Data!$D$149</f>
        <v>1.5</v>
      </c>
    </row>
    <row r="34" customFormat="false" ht="15" hidden="false" customHeight="false" outlineLevel="0" collapsed="false">
      <c r="A34" s="10" t="s">
        <v>79</v>
      </c>
      <c r="B34" s="2" t="s">
        <v>73</v>
      </c>
      <c r="C34" s="2" t="s">
        <v>80</v>
      </c>
      <c r="D34" s="15" t="n">
        <f aca="false">AVERAGE(01_Data!$D$152,01_Data!$D$153)</f>
        <v>0.53</v>
      </c>
      <c r="E34" s="15" t="n">
        <f aca="false">AVERAGE(01_Data!$D$152,01_Data!$D$153)</f>
        <v>0.53</v>
      </c>
      <c r="F34" s="15" t="n">
        <f aca="false">AVERAGE(01_Data!$D$152,01_Data!$D$153)</f>
        <v>0.53</v>
      </c>
      <c r="G34" s="16" t="n">
        <f aca="false">CHOOSE(SW_GF,D34,E34,F34)</f>
        <v>0.53</v>
      </c>
      <c r="H34" s="17" t="n">
        <f aca="false">01_Data!$D$152</f>
        <v>0.3</v>
      </c>
      <c r="I34" s="17" t="n">
        <f aca="false">01_Data!$D$153</f>
        <v>0.76</v>
      </c>
    </row>
    <row r="35" customFormat="false" ht="15" hidden="false" customHeight="false" outlineLevel="0" collapsed="false">
      <c r="A35" s="10" t="s">
        <v>81</v>
      </c>
      <c r="B35" s="2" t="s">
        <v>29</v>
      </c>
      <c r="C35" s="2" t="s">
        <v>82</v>
      </c>
      <c r="D35" s="18" t="n">
        <v>0.03</v>
      </c>
      <c r="E35" s="18" t="n">
        <v>0.05</v>
      </c>
      <c r="F35" s="18" t="n">
        <v>0.05</v>
      </c>
      <c r="G35" s="19" t="n">
        <f aca="false">CHOOSE(SW_GF,D35,E35,F35)</f>
        <v>0.05</v>
      </c>
      <c r="H35" s="21" t="n">
        <f aca="false">01_Data!$D$165</f>
        <v>0.03</v>
      </c>
      <c r="I35" s="21" t="n">
        <f aca="false">01_Data!$D$166</f>
        <v>0.08</v>
      </c>
    </row>
    <row r="36" customFormat="false" ht="15" hidden="false" customHeight="false" outlineLevel="0" collapsed="false">
      <c r="A36" s="10" t="s">
        <v>83</v>
      </c>
      <c r="B36" s="2" t="s">
        <v>73</v>
      </c>
      <c r="C36" s="2" t="s">
        <v>84</v>
      </c>
      <c r="D36" s="28" t="n">
        <v>100</v>
      </c>
      <c r="E36" s="28" t="n">
        <v>300</v>
      </c>
      <c r="F36" s="28" t="n">
        <v>300</v>
      </c>
      <c r="G36" s="8" t="n">
        <f aca="false">CHOOSE(SW_GF,D36,E36,F36)</f>
        <v>300</v>
      </c>
      <c r="H36" s="29" t="n">
        <f aca="false">01_Data!$D$169/5</f>
        <v>100</v>
      </c>
      <c r="I36" s="29" t="n">
        <f aca="false">01_Data!$D$170/5</f>
        <v>300</v>
      </c>
    </row>
    <row r="37" customFormat="false" ht="15" hidden="false" customHeight="false" outlineLevel="0" collapsed="false">
      <c r="A37" s="10" t="s">
        <v>85</v>
      </c>
      <c r="B37" s="2" t="s">
        <v>73</v>
      </c>
      <c r="C37" s="2" t="s">
        <v>86</v>
      </c>
      <c r="D37" s="27" t="n">
        <f aca="false">01_Data!$D$171</f>
        <v>20</v>
      </c>
      <c r="E37" s="27" t="n">
        <f aca="false">01_Data!$D$172</f>
        <v>50</v>
      </c>
      <c r="F37" s="27" t="n">
        <f aca="false">01_Data!$D$172</f>
        <v>50</v>
      </c>
      <c r="G37" s="8" t="n">
        <f aca="false">CHOOSE(SW_GF,D37,E37,F37)</f>
        <v>50</v>
      </c>
      <c r="H37" s="29" t="n">
        <f aca="false">01_Data!$D$171</f>
        <v>20</v>
      </c>
      <c r="I37" s="29" t="n">
        <f aca="false">01_Data!$D$172</f>
        <v>50</v>
      </c>
    </row>
    <row r="38" customFormat="false" ht="15" hidden="false" customHeight="false" outlineLevel="0" collapsed="false">
      <c r="A38" s="10" t="s">
        <v>87</v>
      </c>
      <c r="B38" s="2" t="s">
        <v>29</v>
      </c>
      <c r="C38" s="2" t="s">
        <v>88</v>
      </c>
      <c r="D38" s="20" t="n">
        <f aca="false">01_Data!$D$176</f>
        <v>0.2</v>
      </c>
      <c r="E38" s="18" t="n">
        <v>0.5</v>
      </c>
      <c r="F38" s="18" t="n">
        <v>0.5</v>
      </c>
      <c r="G38" s="19" t="n">
        <f aca="false">CHOOSE(SW_GF,D38,E38,F38)</f>
        <v>0.5</v>
      </c>
      <c r="H38" s="21" t="n">
        <f aca="false">01_Data!$D$177</f>
        <v>0.4</v>
      </c>
      <c r="I38" s="21" t="n">
        <f aca="false">01_Data!$D$178</f>
        <v>0.6</v>
      </c>
    </row>
    <row r="39" customFormat="false" ht="15" hidden="false" customHeight="false" outlineLevel="0" collapsed="false">
      <c r="A39" s="10" t="s">
        <v>89</v>
      </c>
      <c r="B39" s="2" t="s">
        <v>73</v>
      </c>
      <c r="C39" s="2" t="s">
        <v>90</v>
      </c>
      <c r="D39" s="28" t="n">
        <v>125</v>
      </c>
      <c r="E39" s="28" t="n">
        <v>650</v>
      </c>
      <c r="F39" s="28" t="n">
        <v>650</v>
      </c>
      <c r="G39" s="8" t="n">
        <f aca="false">CHOOSE(SW_GF,D39,E39,F39)</f>
        <v>650</v>
      </c>
      <c r="H39" s="28" t="n">
        <v>50</v>
      </c>
      <c r="I39" s="28" t="n">
        <v>1000</v>
      </c>
    </row>
    <row r="40" customFormat="false" ht="15" hidden="false" customHeight="false" outlineLevel="0" collapsed="false">
      <c r="A40" s="10" t="s">
        <v>91</v>
      </c>
      <c r="B40" s="2" t="s">
        <v>73</v>
      </c>
      <c r="C40" s="2" t="s">
        <v>92</v>
      </c>
      <c r="D40" s="28" t="n">
        <v>0</v>
      </c>
      <c r="E40" s="28" t="n">
        <v>0</v>
      </c>
      <c r="F40" s="28" t="n">
        <v>2000</v>
      </c>
      <c r="G40" s="8" t="n">
        <f aca="false">CHOOSE(SW_GF,D40,E40,F40)</f>
        <v>0</v>
      </c>
      <c r="H40" s="29" t="n">
        <f aca="false">01_Data!$D$183</f>
        <v>1000</v>
      </c>
      <c r="I40" s="29" t="n">
        <f aca="false">01_Data!$D$184</f>
        <v>3000</v>
      </c>
    </row>
    <row r="41" customFormat="false" ht="15" hidden="false" customHeight="false" outlineLevel="0" collapsed="false">
      <c r="A41" s="10" t="s">
        <v>93</v>
      </c>
      <c r="B41" s="2" t="s">
        <v>29</v>
      </c>
      <c r="C41" s="2" t="s">
        <v>94</v>
      </c>
      <c r="D41" s="20" t="n">
        <f aca="false">01_Data!$D$185</f>
        <v>0.3</v>
      </c>
      <c r="E41" s="20" t="n">
        <f aca="false">01_Data!$D$185</f>
        <v>0.3</v>
      </c>
      <c r="F41" s="20" t="n">
        <f aca="false">01_Data!$D$185</f>
        <v>0.3</v>
      </c>
      <c r="G41" s="19" t="n">
        <f aca="false">CHOOSE(SW_GF,D41,E41,F41)</f>
        <v>0.3</v>
      </c>
      <c r="H41" s="18" t="n">
        <v>0.3</v>
      </c>
      <c r="I41" s="18" t="n">
        <v>0.3</v>
      </c>
    </row>
    <row r="42" customFormat="false" ht="15" hidden="false" customHeight="false" outlineLevel="0" collapsed="false">
      <c r="A42" s="10" t="s">
        <v>95</v>
      </c>
      <c r="B42" s="2" t="s">
        <v>36</v>
      </c>
      <c r="C42" s="2" t="s">
        <v>94</v>
      </c>
      <c r="D42" s="11" t="n">
        <v>4</v>
      </c>
      <c r="E42" s="11" t="n">
        <v>4</v>
      </c>
      <c r="F42" s="11" t="n">
        <v>4</v>
      </c>
      <c r="G42" s="13" t="n">
        <f aca="false">CHOOSE(SW_GF,D42,E42,F42)</f>
        <v>4</v>
      </c>
      <c r="H42" s="11" t="n">
        <v>3</v>
      </c>
      <c r="I42" s="11" t="n">
        <v>4</v>
      </c>
    </row>
    <row r="43" customFormat="false" ht="15" hidden="false" customHeight="false" outlineLevel="0" collapsed="false">
      <c r="A43" s="10" t="s">
        <v>96</v>
      </c>
      <c r="B43" s="2" t="s">
        <v>29</v>
      </c>
      <c r="C43" s="2" t="s">
        <v>97</v>
      </c>
      <c r="D43" s="18" t="n">
        <v>0</v>
      </c>
      <c r="E43" s="18" t="n">
        <v>0</v>
      </c>
      <c r="F43" s="18" t="n">
        <v>0.3</v>
      </c>
      <c r="G43" s="19" t="n">
        <f aca="false">CHOOSE(SW_GF,D43,E43,F43)</f>
        <v>0</v>
      </c>
      <c r="H43" s="18" t="n">
        <v>0</v>
      </c>
      <c r="I43" s="18" t="n">
        <v>0.3</v>
      </c>
    </row>
    <row r="44" customFormat="false" ht="15" hidden="false" customHeight="false" outlineLevel="0" collapsed="false">
      <c r="A44" s="10" t="s">
        <v>98</v>
      </c>
      <c r="B44" s="2" t="s">
        <v>29</v>
      </c>
      <c r="C44" s="2" t="s">
        <v>99</v>
      </c>
      <c r="D44" s="20" t="n">
        <f aca="false">01_Data!$D$123</f>
        <v>0.5</v>
      </c>
      <c r="E44" s="20" t="n">
        <f aca="false">01_Data!$D$123</f>
        <v>0.5</v>
      </c>
      <c r="F44" s="20" t="n">
        <f aca="false">01_Data!$D$123</f>
        <v>0.5</v>
      </c>
      <c r="G44" s="19" t="n">
        <f aca="false">CHOOSE(SW_GF,D44,E44,F44)</f>
        <v>0.5</v>
      </c>
      <c r="H44" s="18" t="n">
        <v>0.5</v>
      </c>
      <c r="I44" s="18" t="n">
        <v>1</v>
      </c>
    </row>
    <row r="45" customFormat="false" ht="15" hidden="false" customHeight="false" outlineLevel="0" collapsed="false">
      <c r="A45" s="10" t="s">
        <v>100</v>
      </c>
      <c r="B45" s="2" t="s">
        <v>29</v>
      </c>
      <c r="C45" s="2" t="s">
        <v>101</v>
      </c>
      <c r="D45" s="18" t="n">
        <v>0</v>
      </c>
      <c r="E45" s="18" t="n">
        <v>0</v>
      </c>
      <c r="F45" s="18" t="n">
        <v>0.1</v>
      </c>
      <c r="G45" s="19" t="n">
        <f aca="false">CHOOSE(SW_GF,D45,E45,F45)</f>
        <v>0</v>
      </c>
      <c r="H45" s="18" t="n">
        <v>0.05</v>
      </c>
      <c r="I45" s="18" t="n">
        <v>0.15</v>
      </c>
    </row>
    <row r="46" customFormat="false" ht="15" hidden="false" customHeight="false" outlineLevel="0" collapsed="false">
      <c r="A46" s="10" t="s">
        <v>102</v>
      </c>
      <c r="B46" s="2" t="s">
        <v>29</v>
      </c>
      <c r="C46" s="2" t="s">
        <v>103</v>
      </c>
      <c r="D46" s="18" t="n">
        <v>0.4</v>
      </c>
      <c r="E46" s="18" t="n">
        <v>0.7</v>
      </c>
      <c r="F46" s="18" t="n">
        <v>0.7</v>
      </c>
      <c r="G46" s="19" t="n">
        <f aca="false">CHOOSE(SW_GF,D46,E46,F46)</f>
        <v>0.7</v>
      </c>
      <c r="H46" s="18" t="n">
        <v>0.3</v>
      </c>
      <c r="I46" s="18" t="n">
        <v>0.8</v>
      </c>
    </row>
    <row r="47" customFormat="false" ht="15" hidden="false" customHeight="false" outlineLevel="0" collapsed="false">
      <c r="A47" s="10" t="s">
        <v>104</v>
      </c>
      <c r="B47" s="2" t="s">
        <v>62</v>
      </c>
      <c r="C47" s="2" t="s">
        <v>105</v>
      </c>
      <c r="D47" s="28" t="n">
        <v>1000</v>
      </c>
      <c r="E47" s="28" t="n">
        <v>1000</v>
      </c>
      <c r="F47" s="28" t="n">
        <v>1000</v>
      </c>
      <c r="G47" s="8" t="n">
        <f aca="false">CHOOSE(SW_GF,D47,E47,F47)</f>
        <v>1000</v>
      </c>
      <c r="H47" s="28" t="n">
        <v>1000</v>
      </c>
      <c r="I47" s="28" t="n">
        <v>1000</v>
      </c>
    </row>
    <row r="48" customFormat="false" ht="15" hidden="false" customHeight="false" outlineLevel="0" collapsed="false">
      <c r="A48" s="10" t="s">
        <v>106</v>
      </c>
      <c r="B48" s="2" t="s">
        <v>29</v>
      </c>
      <c r="C48" s="2" t="s">
        <v>107</v>
      </c>
      <c r="D48" s="30" t="n">
        <f aca="false">IF(SW_GF_BACKSTOP="Yes",01_Data!$D$40,01_Data!$D$39)</f>
        <v>0.09375</v>
      </c>
      <c r="E48" s="30" t="n">
        <f aca="false">IF(SW_GF_BACKSTOP="Yes",01_Data!$D$40,01_Data!$D$39)</f>
        <v>0.09375</v>
      </c>
      <c r="F48" s="30" t="n">
        <f aca="false">IF(SW_GF_BACKSTOP="Yes",01_Data!$D$40,01_Data!$D$39)</f>
        <v>0.09375</v>
      </c>
      <c r="G48" s="31" t="n">
        <f aca="false">CHOOSE(SW_GF,D48,E48,F48)</f>
        <v>0.09375</v>
      </c>
      <c r="H48" s="32" t="n">
        <f aca="false">01_Data!$D$40</f>
        <v>0.0575</v>
      </c>
      <c r="I48" s="32" t="n">
        <f aca="false">01_Data!$D$37</f>
        <v>0.0975</v>
      </c>
    </row>
    <row r="49" customFormat="false" ht="15" hidden="false" customHeight="false" outlineLevel="0" collapsed="false">
      <c r="A49" s="10" t="s">
        <v>108</v>
      </c>
      <c r="B49" s="2" t="s">
        <v>36</v>
      </c>
      <c r="C49" s="2" t="s">
        <v>109</v>
      </c>
      <c r="D49" s="11" t="n">
        <v>0</v>
      </c>
      <c r="E49" s="11" t="n">
        <v>0</v>
      </c>
      <c r="F49" s="11" t="n">
        <v>1</v>
      </c>
      <c r="G49" s="13" t="n">
        <f aca="false">CHOOSE(SW_GF,D49,E49,F49)</f>
        <v>0</v>
      </c>
      <c r="H49" s="11" t="n">
        <v>0</v>
      </c>
      <c r="I49" s="11" t="n">
        <v>1</v>
      </c>
    </row>
    <row r="50" customFormat="false" ht="15" hidden="false" customHeight="false" outlineLevel="0" collapsed="false">
      <c r="A50" s="2" t="s">
        <v>110</v>
      </c>
      <c r="D50" s="33" t="n">
        <v>8760</v>
      </c>
      <c r="E50" s="33" t="n">
        <v>1000000</v>
      </c>
      <c r="F50" s="33" t="n">
        <v>3600</v>
      </c>
      <c r="G50" s="33" t="n">
        <v>1000000</v>
      </c>
      <c r="H50" s="33" t="n">
        <v>1000</v>
      </c>
      <c r="I50" s="33" t="n">
        <v>1000</v>
      </c>
      <c r="J50" s="33" t="n">
        <v>1000</v>
      </c>
      <c r="K50" s="33" t="n">
        <v>1</v>
      </c>
      <c r="L50" s="33" t="n">
        <v>0</v>
      </c>
      <c r="M50" s="33" t="n">
        <v>0.2</v>
      </c>
      <c r="N50" s="33" t="n">
        <v>0.5</v>
      </c>
      <c r="O50" s="33" t="n">
        <v>2</v>
      </c>
      <c r="P50" s="33" t="n">
        <v>0.6</v>
      </c>
      <c r="Q50" s="33" t="n">
        <v>0.05</v>
      </c>
    </row>
    <row r="52" customFormat="false" ht="15" hidden="false" customHeight="false" outlineLevel="0" collapsed="false">
      <c r="A52" s="34" t="s">
        <v>111</v>
      </c>
      <c r="B52" s="35"/>
      <c r="C52" s="35"/>
      <c r="D52" s="35"/>
      <c r="E52" s="35"/>
      <c r="F52" s="35"/>
      <c r="G52" s="35"/>
      <c r="H52" s="35"/>
      <c r="I52" s="35"/>
      <c r="J52" s="35"/>
    </row>
    <row r="53" customFormat="false" ht="15" hidden="false" customHeight="false" outlineLevel="0" collapsed="false">
      <c r="A53" s="9" t="s">
        <v>112</v>
      </c>
      <c r="B53" s="9" t="s">
        <v>12</v>
      </c>
      <c r="C53" s="9" t="s">
        <v>113</v>
      </c>
      <c r="D53" s="36" t="str">
        <f aca="false">00_Assumptions!$D$3</f>
        <v>Y1</v>
      </c>
      <c r="E53" s="36" t="str">
        <f aca="false">00_Assumptions!$E$3</f>
        <v>Y2</v>
      </c>
      <c r="F53" s="36" t="str">
        <f aca="false">00_Assumptions!$F$3</f>
        <v>Y3</v>
      </c>
      <c r="G53" s="36" t="str">
        <f aca="false">00_Assumptions!$G$3</f>
        <v>Y4</v>
      </c>
      <c r="H53" s="36" t="str">
        <f aca="false">00_Assumptions!$H$3</f>
        <v>Y5</v>
      </c>
      <c r="I53" s="9"/>
      <c r="J53" s="9" t="s">
        <v>20</v>
      </c>
    </row>
    <row r="54" customFormat="false" ht="15" hidden="false" customHeight="false" outlineLevel="0" collapsed="false">
      <c r="A54" s="3" t="s">
        <v>114</v>
      </c>
      <c r="B54" s="2" t="s">
        <v>115</v>
      </c>
      <c r="C54" s="2" t="s">
        <v>116</v>
      </c>
      <c r="D54" s="13" t="n">
        <f aca="false">CHOOSE(SW_GF,D55,D56,D57)</f>
        <v>100000</v>
      </c>
      <c r="E54" s="13" t="n">
        <f aca="false">CHOOSE(SW_GF,E55,E56,E57)</f>
        <v>87500</v>
      </c>
      <c r="F54" s="13" t="n">
        <f aca="false">CHOOSE(SW_GF,F55,F56,F57)</f>
        <v>125000</v>
      </c>
      <c r="G54" s="13" t="n">
        <f aca="false">CHOOSE(SW_GF,G55,G56,G57)</f>
        <v>162500</v>
      </c>
      <c r="H54" s="13" t="n">
        <f aca="false">CHOOSE(SW_GF,H55,H56,H57)</f>
        <v>200000</v>
      </c>
    </row>
    <row r="55" customFormat="false" ht="15" hidden="false" customHeight="false" outlineLevel="0" collapsed="false">
      <c r="A55" s="2" t="s">
        <v>117</v>
      </c>
      <c r="D55" s="11" t="n">
        <v>25000</v>
      </c>
      <c r="E55" s="11" t="n">
        <v>37500</v>
      </c>
      <c r="F55" s="11" t="n">
        <v>50000</v>
      </c>
      <c r="G55" s="11" t="n">
        <v>50000</v>
      </c>
      <c r="H55" s="11" t="n">
        <v>50000</v>
      </c>
    </row>
    <row r="56" customFormat="false" ht="15" hidden="false" customHeight="false" outlineLevel="0" collapsed="false">
      <c r="A56" s="2" t="s">
        <v>118</v>
      </c>
      <c r="D56" s="11" t="n">
        <v>100000</v>
      </c>
      <c r="E56" s="11" t="n">
        <v>87500</v>
      </c>
      <c r="F56" s="11" t="n">
        <v>125000</v>
      </c>
      <c r="G56" s="11" t="n">
        <v>162500</v>
      </c>
      <c r="H56" s="11" t="n">
        <v>200000</v>
      </c>
    </row>
    <row r="57" customFormat="false" ht="15" hidden="false" customHeight="false" outlineLevel="0" collapsed="false">
      <c r="A57" s="2" t="s">
        <v>119</v>
      </c>
      <c r="D57" s="11" t="n">
        <v>50000</v>
      </c>
      <c r="E57" s="11" t="n">
        <v>60000</v>
      </c>
      <c r="F57" s="11" t="n">
        <v>80000</v>
      </c>
      <c r="G57" s="11" t="n">
        <v>119000</v>
      </c>
      <c r="H57" s="11" t="n">
        <v>119000</v>
      </c>
    </row>
    <row r="59" customFormat="false" ht="15" hidden="false" customHeight="false" outlineLevel="0" collapsed="false">
      <c r="A59" s="3" t="s">
        <v>120</v>
      </c>
      <c r="B59" s="2" t="s">
        <v>115</v>
      </c>
      <c r="C59" s="2" t="s">
        <v>121</v>
      </c>
      <c r="D59" s="13" t="n">
        <f aca="false">CHOOSE(SW_GF,D60,D61,D62)</f>
        <v>0</v>
      </c>
      <c r="E59" s="13" t="n">
        <f aca="false">CHOOSE(SW_GF,E60,E61,E62)</f>
        <v>87500</v>
      </c>
      <c r="F59" s="13" t="n">
        <f aca="false">CHOOSE(SW_GF,F60,F61,F62)</f>
        <v>125000</v>
      </c>
      <c r="G59" s="13" t="n">
        <f aca="false">CHOOSE(SW_GF,G60,G61,G62)</f>
        <v>162500</v>
      </c>
      <c r="H59" s="13" t="n">
        <f aca="false">CHOOSE(SW_GF,H60,H61,H62)</f>
        <v>200000</v>
      </c>
    </row>
    <row r="60" customFormat="false" ht="15" hidden="false" customHeight="false" outlineLevel="0" collapsed="false">
      <c r="A60" s="2" t="s">
        <v>117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</row>
    <row r="61" customFormat="false" ht="15" hidden="false" customHeight="false" outlineLevel="0" collapsed="false">
      <c r="A61" s="2" t="s">
        <v>118</v>
      </c>
      <c r="D61" s="11" t="n">
        <v>0</v>
      </c>
      <c r="E61" s="11" t="n">
        <v>87500</v>
      </c>
      <c r="F61" s="11" t="n">
        <v>125000</v>
      </c>
      <c r="G61" s="11" t="n">
        <v>162500</v>
      </c>
      <c r="H61" s="11" t="n">
        <v>200000</v>
      </c>
    </row>
    <row r="62" customFormat="false" ht="15" hidden="false" customHeight="false" outlineLevel="0" collapsed="false">
      <c r="A62" s="2" t="s">
        <v>119</v>
      </c>
      <c r="D62" s="11" t="n">
        <v>0</v>
      </c>
      <c r="E62" s="11" t="n">
        <v>240000</v>
      </c>
      <c r="F62" s="11" t="n">
        <v>320000</v>
      </c>
      <c r="G62" s="11" t="n">
        <v>476000</v>
      </c>
      <c r="H62" s="11" t="n">
        <v>476000</v>
      </c>
    </row>
    <row r="64" customFormat="false" ht="15" hidden="false" customHeight="false" outlineLevel="0" collapsed="false">
      <c r="A64" s="3" t="s">
        <v>122</v>
      </c>
      <c r="B64" s="2" t="s">
        <v>123</v>
      </c>
      <c r="C64" s="2" t="s">
        <v>124</v>
      </c>
      <c r="D64" s="13" t="n">
        <f aca="false">CHOOSE(SW_GF,D65,D66,D67)</f>
        <v>0</v>
      </c>
      <c r="E64" s="13" t="n">
        <f aca="false">CHOOSE(SW_GF,E65,E66,E67)</f>
        <v>0</v>
      </c>
      <c r="F64" s="13" t="n">
        <f aca="false">CHOOSE(SW_GF,F65,F66,F67)</f>
        <v>0</v>
      </c>
      <c r="G64" s="13" t="n">
        <f aca="false">CHOOSE(SW_GF,G65,G66,G67)</f>
        <v>0</v>
      </c>
      <c r="H64" s="13" t="n">
        <f aca="false">CHOOSE(SW_GF,H65,H66,H67)</f>
        <v>0</v>
      </c>
    </row>
    <row r="65" customFormat="false" ht="15" hidden="false" customHeight="false" outlineLevel="0" collapsed="false">
      <c r="A65" s="2" t="s">
        <v>117</v>
      </c>
      <c r="D65" s="11" t="n">
        <v>0</v>
      </c>
      <c r="E65" s="11" t="n">
        <v>1</v>
      </c>
      <c r="F65" s="11" t="n">
        <v>1</v>
      </c>
      <c r="G65" s="11" t="n">
        <v>1</v>
      </c>
      <c r="H65" s="11" t="n">
        <v>1</v>
      </c>
    </row>
    <row r="66" customFormat="false" ht="15" hidden="false" customHeight="false" outlineLevel="0" collapsed="false">
      <c r="A66" s="2" t="s">
        <v>118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</row>
    <row r="67" customFormat="false" ht="15" hidden="false" customHeight="false" outlineLevel="0" collapsed="false">
      <c r="A67" s="2" t="s">
        <v>119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</row>
    <row r="69" customFormat="false" ht="15" hidden="false" customHeight="false" outlineLevel="0" collapsed="false">
      <c r="A69" s="3" t="s">
        <v>125</v>
      </c>
      <c r="B69" s="2" t="s">
        <v>73</v>
      </c>
      <c r="C69" s="2" t="s">
        <v>126</v>
      </c>
      <c r="D69" s="8" t="n">
        <f aca="false">CHOOSE(SW_GF,D70,D71,D72)</f>
        <v>1500</v>
      </c>
      <c r="E69" s="8" t="n">
        <f aca="false">CHOOSE(SW_GF,E70,E71,E72)</f>
        <v>5500</v>
      </c>
      <c r="F69" s="8" t="n">
        <f aca="false">CHOOSE(SW_GF,F70,F71,F72)</f>
        <v>7000</v>
      </c>
      <c r="G69" s="8" t="n">
        <f aca="false">CHOOSE(SW_GF,G70,G71,G72)</f>
        <v>10500</v>
      </c>
      <c r="H69" s="8" t="n">
        <f aca="false">CHOOSE(SW_GF,H70,H71,H72)</f>
        <v>14000</v>
      </c>
      <c r="J69" s="2" t="s">
        <v>127</v>
      </c>
    </row>
    <row r="70" customFormat="false" ht="15" hidden="false" customHeight="false" outlineLevel="0" collapsed="false">
      <c r="A70" s="2" t="s">
        <v>117</v>
      </c>
      <c r="D70" s="28" t="n">
        <v>0</v>
      </c>
      <c r="E70" s="28" t="n">
        <v>0</v>
      </c>
      <c r="F70" s="28" t="n">
        <v>0</v>
      </c>
      <c r="G70" s="28" t="n">
        <v>0</v>
      </c>
      <c r="H70" s="28" t="n">
        <v>0</v>
      </c>
    </row>
    <row r="71" customFormat="false" ht="15" hidden="false" customHeight="false" outlineLevel="0" collapsed="false">
      <c r="A71" s="2" t="s">
        <v>118</v>
      </c>
      <c r="D71" s="28" t="n">
        <v>1500</v>
      </c>
      <c r="E71" s="28" t="n">
        <v>5500</v>
      </c>
      <c r="F71" s="27" t="n">
        <f aca="false">01_Data!$D$111</f>
        <v>7000</v>
      </c>
      <c r="G71" s="28" t="n">
        <v>10500</v>
      </c>
      <c r="H71" s="27" t="n">
        <f aca="false">01_Data!$D$112</f>
        <v>14000</v>
      </c>
    </row>
    <row r="72" customFormat="false" ht="15" hidden="false" customHeight="false" outlineLevel="0" collapsed="false">
      <c r="A72" s="2" t="s">
        <v>119</v>
      </c>
      <c r="D72" s="28" t="n">
        <v>1500</v>
      </c>
      <c r="E72" s="28" t="n">
        <v>5500</v>
      </c>
      <c r="F72" s="27" t="n">
        <f aca="false">01_Data!$D$111</f>
        <v>7000</v>
      </c>
      <c r="G72" s="28" t="n">
        <v>10500</v>
      </c>
      <c r="H72" s="27" t="n">
        <f aca="false">01_Data!$D$112</f>
        <v>14000</v>
      </c>
    </row>
    <row r="74" customFormat="false" ht="15" hidden="false" customHeight="false" outlineLevel="0" collapsed="false">
      <c r="A74" s="3" t="s">
        <v>128</v>
      </c>
      <c r="B74" s="2" t="s">
        <v>62</v>
      </c>
      <c r="C74" s="2" t="s">
        <v>129</v>
      </c>
      <c r="D74" s="8" t="n">
        <f aca="false">CHOOSE(SW_GF,D75,D76,D77)</f>
        <v>0</v>
      </c>
      <c r="E74" s="8" t="n">
        <f aca="false">CHOOSE(SW_GF,E75,E76,E77)</f>
        <v>200</v>
      </c>
      <c r="F74" s="8" t="n">
        <f aca="false">CHOOSE(SW_GF,F75,F76,F77)</f>
        <v>1000</v>
      </c>
      <c r="G74" s="8" t="n">
        <f aca="false">CHOOSE(SW_GF,G75,G76,G77)</f>
        <v>3000</v>
      </c>
      <c r="H74" s="8" t="n">
        <f aca="false">CHOOSE(SW_GF,H75,H76,H77)</f>
        <v>6000</v>
      </c>
    </row>
    <row r="75" customFormat="false" ht="15" hidden="false" customHeight="false" outlineLevel="0" collapsed="false">
      <c r="A75" s="2" t="s">
        <v>117</v>
      </c>
      <c r="D75" s="28" t="n">
        <v>0</v>
      </c>
      <c r="E75" s="28" t="n">
        <v>50</v>
      </c>
      <c r="F75" s="28" t="n">
        <v>300</v>
      </c>
      <c r="G75" s="28" t="n">
        <v>1000</v>
      </c>
      <c r="H75" s="28" t="n">
        <v>2000</v>
      </c>
    </row>
    <row r="76" customFormat="false" ht="15" hidden="false" customHeight="false" outlineLevel="0" collapsed="false">
      <c r="A76" s="2" t="s">
        <v>118</v>
      </c>
      <c r="D76" s="28" t="n">
        <v>0</v>
      </c>
      <c r="E76" s="28" t="n">
        <v>200</v>
      </c>
      <c r="F76" s="28" t="n">
        <v>1000</v>
      </c>
      <c r="G76" s="28" t="n">
        <v>3000</v>
      </c>
      <c r="H76" s="28" t="n">
        <v>6000</v>
      </c>
    </row>
    <row r="77" customFormat="false" ht="15" hidden="false" customHeight="false" outlineLevel="0" collapsed="false">
      <c r="A77" s="2" t="s">
        <v>119</v>
      </c>
      <c r="D77" s="28" t="n">
        <v>0</v>
      </c>
      <c r="E77" s="28" t="n">
        <v>100</v>
      </c>
      <c r="F77" s="28" t="n">
        <v>500</v>
      </c>
      <c r="G77" s="28" t="n">
        <v>1000</v>
      </c>
      <c r="H77" s="28" t="n">
        <v>3000</v>
      </c>
    </row>
    <row r="79" customFormat="false" ht="15" hidden="false" customHeight="false" outlineLevel="0" collapsed="false">
      <c r="A79" s="3" t="s">
        <v>130</v>
      </c>
      <c r="B79" s="2" t="s">
        <v>29</v>
      </c>
      <c r="C79" s="2" t="s">
        <v>131</v>
      </c>
      <c r="D79" s="19" t="n">
        <f aca="false">CHOOSE(SW_GF,D80,D81,D82)</f>
        <v>0.641221374045802</v>
      </c>
      <c r="E79" s="19" t="n">
        <f aca="false">CHOOSE(SW_GF,E80,E81,E82)</f>
        <v>0.55</v>
      </c>
      <c r="F79" s="19" t="n">
        <f aca="false">CHOOSE(SW_GF,F80,F81,F82)</f>
        <v>0.4</v>
      </c>
      <c r="G79" s="19" t="n">
        <f aca="false">CHOOSE(SW_GF,G80,G81,G82)</f>
        <v>0.35</v>
      </c>
      <c r="H79" s="19" t="n">
        <f aca="false">CHOOSE(SW_GF,H80,H81,H82)</f>
        <v>0.3</v>
      </c>
    </row>
    <row r="80" customFormat="false" ht="15" hidden="false" customHeight="false" outlineLevel="0" collapsed="false">
      <c r="A80" s="2" t="s">
        <v>117</v>
      </c>
      <c r="D80" s="20" t="n">
        <f aca="false">01_Data!$D$122</f>
        <v>0.641221374045802</v>
      </c>
      <c r="E80" s="20" t="n">
        <f aca="false">01_Data!$D$122</f>
        <v>0.641221374045802</v>
      </c>
      <c r="F80" s="18" t="n">
        <v>0.45</v>
      </c>
      <c r="G80" s="18" t="n">
        <v>0.4</v>
      </c>
      <c r="H80" s="18" t="n">
        <v>0.35</v>
      </c>
    </row>
    <row r="81" customFormat="false" ht="15" hidden="false" customHeight="false" outlineLevel="0" collapsed="false">
      <c r="A81" s="2" t="s">
        <v>118</v>
      </c>
      <c r="D81" s="20" t="n">
        <f aca="false">01_Data!$D$122</f>
        <v>0.641221374045802</v>
      </c>
      <c r="E81" s="18" t="n">
        <v>0.55</v>
      </c>
      <c r="F81" s="18" t="n">
        <v>0.4</v>
      </c>
      <c r="G81" s="18" t="n">
        <v>0.35</v>
      </c>
      <c r="H81" s="18" t="n">
        <v>0.3</v>
      </c>
    </row>
    <row r="82" customFormat="false" ht="15" hidden="false" customHeight="false" outlineLevel="0" collapsed="false">
      <c r="A82" s="2" t="s">
        <v>119</v>
      </c>
      <c r="D82" s="20" t="n">
        <f aca="false">01_Data!$D$122</f>
        <v>0.641221374045802</v>
      </c>
      <c r="E82" s="18" t="n">
        <v>0.55</v>
      </c>
      <c r="F82" s="18" t="n">
        <v>0.4</v>
      </c>
      <c r="G82" s="18" t="n">
        <v>0.35</v>
      </c>
      <c r="H82" s="18" t="n">
        <v>0.3</v>
      </c>
    </row>
    <row r="84" customFormat="false" ht="15" hidden="false" customHeight="false" outlineLevel="0" collapsed="false">
      <c r="A84" s="3" t="s">
        <v>132</v>
      </c>
      <c r="B84" s="2" t="s">
        <v>133</v>
      </c>
      <c r="C84" s="2" t="s">
        <v>134</v>
      </c>
      <c r="D84" s="13" t="n">
        <f aca="false">CHOOSE(SW_GF,D85,D86,D87)</f>
        <v>500</v>
      </c>
      <c r="E84" s="13" t="n">
        <f aca="false">CHOOSE(SW_GF,E85,E86,E87)</f>
        <v>1125</v>
      </c>
      <c r="F84" s="13" t="n">
        <f aca="false">CHOOSE(SW_GF,F85,F86,F87)</f>
        <v>1750</v>
      </c>
      <c r="G84" s="13" t="n">
        <f aca="false">CHOOSE(SW_GF,G85,G86,G87)</f>
        <v>2375</v>
      </c>
      <c r="H84" s="13" t="n">
        <f aca="false">CHOOSE(SW_GF,H85,H86,H87)</f>
        <v>3000</v>
      </c>
    </row>
    <row r="85" customFormat="false" ht="15" hidden="false" customHeight="false" outlineLevel="0" collapsed="false">
      <c r="A85" s="2" t="s">
        <v>117</v>
      </c>
      <c r="D85" s="11" t="n">
        <v>100</v>
      </c>
      <c r="E85" s="11" t="n">
        <v>150</v>
      </c>
      <c r="F85" s="11" t="n">
        <v>200</v>
      </c>
      <c r="G85" s="11" t="n">
        <v>250</v>
      </c>
      <c r="H85" s="11" t="n">
        <v>300</v>
      </c>
    </row>
    <row r="86" customFormat="false" ht="15" hidden="false" customHeight="false" outlineLevel="0" collapsed="false">
      <c r="A86" s="2" t="s">
        <v>118</v>
      </c>
      <c r="D86" s="11" t="n">
        <v>500</v>
      </c>
      <c r="E86" s="11" t="n">
        <v>1125</v>
      </c>
      <c r="F86" s="11" t="n">
        <v>1750</v>
      </c>
      <c r="G86" s="11" t="n">
        <v>2375</v>
      </c>
      <c r="H86" s="11" t="n">
        <v>3000</v>
      </c>
    </row>
    <row r="87" customFormat="false" ht="15" hidden="false" customHeight="false" outlineLevel="0" collapsed="false">
      <c r="A87" s="2" t="s">
        <v>119</v>
      </c>
      <c r="D87" s="11" t="n">
        <v>800</v>
      </c>
      <c r="E87" s="11" t="n">
        <v>1600</v>
      </c>
      <c r="F87" s="11" t="n">
        <v>2400</v>
      </c>
      <c r="G87" s="11" t="n">
        <v>3200</v>
      </c>
      <c r="H87" s="11" t="n">
        <v>4000</v>
      </c>
    </row>
    <row r="89" customFormat="false" ht="15" hidden="false" customHeight="false" outlineLevel="0" collapsed="false">
      <c r="A89" s="3" t="s">
        <v>135</v>
      </c>
      <c r="B89" s="2" t="s">
        <v>73</v>
      </c>
      <c r="C89" s="2" t="s">
        <v>136</v>
      </c>
      <c r="D89" s="8" t="n">
        <f aca="false">CHOOSE(SW_GF,D90,D91,D92)</f>
        <v>0</v>
      </c>
      <c r="E89" s="8" t="n">
        <f aca="false">CHOOSE(SW_GF,E90,E91,E92)</f>
        <v>0</v>
      </c>
      <c r="F89" s="8" t="n">
        <f aca="false">CHOOSE(SW_GF,F90,F91,F92)</f>
        <v>750</v>
      </c>
      <c r="G89" s="8" t="n">
        <f aca="false">CHOOSE(SW_GF,G90,G91,G92)</f>
        <v>750</v>
      </c>
      <c r="H89" s="8" t="n">
        <f aca="false">CHOOSE(SW_GF,H90,H91,H92)</f>
        <v>750</v>
      </c>
    </row>
    <row r="90" customFormat="false" ht="15" hidden="false" customHeight="false" outlineLevel="0" collapsed="false">
      <c r="A90" s="2" t="s">
        <v>117</v>
      </c>
      <c r="D90" s="28" t="n">
        <v>0</v>
      </c>
      <c r="E90" s="28" t="n">
        <v>0</v>
      </c>
      <c r="F90" s="28" t="n">
        <v>0</v>
      </c>
      <c r="G90" s="28" t="n">
        <v>0</v>
      </c>
      <c r="H90" s="28" t="n">
        <v>0</v>
      </c>
    </row>
    <row r="91" customFormat="false" ht="15" hidden="false" customHeight="false" outlineLevel="0" collapsed="false">
      <c r="A91" s="2" t="s">
        <v>118</v>
      </c>
      <c r="D91" s="28" t="n">
        <v>0</v>
      </c>
      <c r="E91" s="28" t="n">
        <v>0</v>
      </c>
      <c r="F91" s="27" t="n">
        <f aca="false">01_Data!$D$154*01_Data!$D$155/01_Data!$D$156</f>
        <v>750</v>
      </c>
      <c r="G91" s="27" t="n">
        <f aca="false">01_Data!$D$154*01_Data!$D$155/01_Data!$D$156</f>
        <v>750</v>
      </c>
      <c r="H91" s="27" t="n">
        <f aca="false">01_Data!$D$154*01_Data!$D$155/01_Data!$D$156</f>
        <v>750</v>
      </c>
    </row>
    <row r="92" customFormat="false" ht="15" hidden="false" customHeight="false" outlineLevel="0" collapsed="false">
      <c r="A92" s="2" t="s">
        <v>119</v>
      </c>
      <c r="D92" s="28" t="n">
        <v>0</v>
      </c>
      <c r="E92" s="28" t="n">
        <v>0</v>
      </c>
      <c r="F92" s="27" t="n">
        <f aca="false">01_Data!$D$154*01_Data!$D$155/01_Data!$D$156</f>
        <v>750</v>
      </c>
      <c r="G92" s="27" t="n">
        <f aca="false">01_Data!$D$154*01_Data!$D$155/01_Data!$D$156</f>
        <v>750</v>
      </c>
      <c r="H92" s="27" t="n">
        <f aca="false">01_Data!$D$154*01_Data!$D$155/01_Data!$D$156</f>
        <v>750</v>
      </c>
    </row>
    <row r="94" customFormat="false" ht="15" hidden="false" customHeight="false" outlineLevel="0" collapsed="false">
      <c r="A94" s="3" t="s">
        <v>137</v>
      </c>
      <c r="B94" s="2" t="s">
        <v>73</v>
      </c>
      <c r="C94" s="2" t="s">
        <v>138</v>
      </c>
      <c r="D94" s="8" t="n">
        <f aca="false">CHOOSE(SW_GF,D95,D96,D97)</f>
        <v>500</v>
      </c>
      <c r="E94" s="8" t="n">
        <f aca="false">CHOOSE(SW_GF,E95,E96,E97)</f>
        <v>1000</v>
      </c>
      <c r="F94" s="8" t="n">
        <f aca="false">CHOOSE(SW_GF,F95,F96,F97)</f>
        <v>2000</v>
      </c>
      <c r="G94" s="8" t="n">
        <f aca="false">CHOOSE(SW_GF,G95,G96,G97)</f>
        <v>2000</v>
      </c>
      <c r="H94" s="8" t="n">
        <f aca="false">CHOOSE(SW_GF,H95,H96,H97)</f>
        <v>2000</v>
      </c>
    </row>
    <row r="95" customFormat="false" ht="15" hidden="false" customHeight="false" outlineLevel="0" collapsed="false">
      <c r="A95" s="2" t="s">
        <v>117</v>
      </c>
      <c r="D95" s="28" t="n">
        <v>200</v>
      </c>
      <c r="E95" s="28" t="n">
        <v>200</v>
      </c>
      <c r="F95" s="28" t="n">
        <v>200</v>
      </c>
      <c r="G95" s="28" t="n">
        <v>200</v>
      </c>
      <c r="H95" s="28" t="n">
        <v>200</v>
      </c>
    </row>
    <row r="96" customFormat="false" ht="15" hidden="false" customHeight="false" outlineLevel="0" collapsed="false">
      <c r="A96" s="2" t="s">
        <v>118</v>
      </c>
      <c r="D96" s="28" t="n">
        <v>500</v>
      </c>
      <c r="E96" s="28" t="n">
        <v>1000</v>
      </c>
      <c r="F96" s="28" t="n">
        <v>2000</v>
      </c>
      <c r="G96" s="28" t="n">
        <v>2000</v>
      </c>
      <c r="H96" s="28" t="n">
        <v>2000</v>
      </c>
    </row>
    <row r="97" customFormat="false" ht="15" hidden="false" customHeight="false" outlineLevel="0" collapsed="false">
      <c r="A97" s="2" t="s">
        <v>119</v>
      </c>
      <c r="D97" s="28" t="n">
        <v>500</v>
      </c>
      <c r="E97" s="28" t="n">
        <v>1000</v>
      </c>
      <c r="F97" s="28" t="n">
        <v>2000</v>
      </c>
      <c r="G97" s="28" t="n">
        <v>2000</v>
      </c>
      <c r="H97" s="28" t="n">
        <v>2000</v>
      </c>
    </row>
    <row r="99" customFormat="false" ht="15" hidden="false" customHeight="false" outlineLevel="0" collapsed="false">
      <c r="A99" s="3" t="s">
        <v>139</v>
      </c>
      <c r="B99" s="2" t="s">
        <v>29</v>
      </c>
      <c r="C99" s="2" t="s">
        <v>140</v>
      </c>
      <c r="D99" s="19" t="n">
        <f aca="false">CHOOSE(SW_GF,D100,D101,D102)</f>
        <v>0</v>
      </c>
      <c r="E99" s="19" t="n">
        <f aca="false">CHOOSE(SW_GF,E100,E101,E102)</f>
        <v>0</v>
      </c>
      <c r="F99" s="19" t="n">
        <f aca="false">CHOOSE(SW_GF,F100,F101,F102)</f>
        <v>0</v>
      </c>
      <c r="G99" s="19" t="n">
        <f aca="false">CHOOSE(SW_GF,G100,G101,G102)</f>
        <v>0</v>
      </c>
      <c r="H99" s="19" t="n">
        <f aca="false">CHOOSE(SW_GF,H100,H101,H102)</f>
        <v>0</v>
      </c>
    </row>
    <row r="100" customFormat="false" ht="15" hidden="false" customHeight="false" outlineLevel="0" collapsed="false">
      <c r="A100" s="2" t="s">
        <v>117</v>
      </c>
      <c r="D100" s="18" t="n">
        <v>0</v>
      </c>
      <c r="E100" s="18" t="n">
        <v>0</v>
      </c>
      <c r="F100" s="18" t="n">
        <v>0</v>
      </c>
      <c r="G100" s="18" t="n">
        <v>0</v>
      </c>
      <c r="H100" s="18" t="n">
        <v>0</v>
      </c>
    </row>
    <row r="101" customFormat="false" ht="15" hidden="false" customHeight="false" outlineLevel="0" collapsed="false">
      <c r="A101" s="2" t="s">
        <v>118</v>
      </c>
      <c r="D101" s="18" t="n">
        <v>0</v>
      </c>
      <c r="E101" s="18" t="n">
        <v>0</v>
      </c>
      <c r="F101" s="18" t="n">
        <v>0</v>
      </c>
      <c r="G101" s="18" t="n">
        <v>0</v>
      </c>
      <c r="H101" s="18" t="n">
        <v>0</v>
      </c>
    </row>
    <row r="102" customFormat="false" ht="15" hidden="false" customHeight="false" outlineLevel="0" collapsed="false">
      <c r="A102" s="2" t="s">
        <v>119</v>
      </c>
      <c r="D102" s="18" t="n">
        <v>0.1</v>
      </c>
      <c r="E102" s="18" t="n">
        <v>0.5</v>
      </c>
      <c r="F102" s="18" t="n">
        <v>0.25</v>
      </c>
      <c r="G102" s="18" t="n">
        <v>0.15</v>
      </c>
      <c r="H102" s="18" t="n">
        <v>0</v>
      </c>
    </row>
    <row r="105" customFormat="false" ht="15" hidden="false" customHeight="false" outlineLevel="0" collapsed="false">
      <c r="A105" s="34" t="s">
        <v>141</v>
      </c>
      <c r="B105" s="35"/>
      <c r="C105" s="35"/>
      <c r="D105" s="35"/>
      <c r="E105" s="35"/>
      <c r="F105" s="35"/>
      <c r="G105" s="35"/>
      <c r="H105" s="35"/>
      <c r="I105" s="35"/>
      <c r="J105" s="35"/>
    </row>
    <row r="106" customFormat="false" ht="15" hidden="false" customHeight="false" outlineLevel="0" collapsed="false">
      <c r="A106" s="9" t="s">
        <v>142</v>
      </c>
      <c r="B106" s="9" t="s">
        <v>12</v>
      </c>
      <c r="C106" s="9" t="s">
        <v>113</v>
      </c>
      <c r="D106" s="9" t="s">
        <v>143</v>
      </c>
      <c r="E106" s="9" t="s">
        <v>144</v>
      </c>
      <c r="F106" s="9" t="s">
        <v>145</v>
      </c>
      <c r="G106" s="9" t="s">
        <v>146</v>
      </c>
      <c r="H106" s="9" t="s">
        <v>147</v>
      </c>
      <c r="I106" s="9" t="s">
        <v>148</v>
      </c>
      <c r="J106" s="9" t="s">
        <v>20</v>
      </c>
    </row>
    <row r="107" customFormat="false" ht="15" hidden="false" customHeight="false" outlineLevel="0" collapsed="false">
      <c r="A107" s="10" t="s">
        <v>149</v>
      </c>
      <c r="B107" s="2" t="s">
        <v>62</v>
      </c>
      <c r="C107" s="2" t="s">
        <v>105</v>
      </c>
      <c r="D107" s="37" t="n">
        <v>1000</v>
      </c>
      <c r="E107" s="37" t="n">
        <v>1500</v>
      </c>
      <c r="F107" s="37" t="n">
        <v>4000</v>
      </c>
      <c r="G107" s="37" t="n">
        <v>6000</v>
      </c>
      <c r="H107" s="37" t="n">
        <v>5000</v>
      </c>
      <c r="I107" s="37" t="n">
        <v>8000</v>
      </c>
    </row>
    <row r="108" customFormat="false" ht="15" hidden="false" customHeight="false" outlineLevel="0" collapsed="false">
      <c r="A108" s="10" t="s">
        <v>150</v>
      </c>
      <c r="B108" s="2" t="s">
        <v>62</v>
      </c>
      <c r="C108" s="2" t="s">
        <v>105</v>
      </c>
      <c r="H108" s="37" t="n">
        <v>15000</v>
      </c>
      <c r="I108" s="37" t="n">
        <v>25000</v>
      </c>
    </row>
    <row r="109" customFormat="false" ht="15" hidden="false" customHeight="false" outlineLevel="0" collapsed="false">
      <c r="A109" s="10" t="s">
        <v>151</v>
      </c>
      <c r="B109" s="2" t="s">
        <v>62</v>
      </c>
      <c r="C109" s="2" t="s">
        <v>105</v>
      </c>
      <c r="D109" s="37" t="n">
        <v>2500</v>
      </c>
      <c r="E109" s="37" t="n">
        <v>4000</v>
      </c>
      <c r="F109" s="37" t="n">
        <v>12000</v>
      </c>
      <c r="G109" s="37" t="n">
        <v>18000</v>
      </c>
      <c r="H109" s="37" t="n">
        <v>25000</v>
      </c>
      <c r="I109" s="37" t="n">
        <v>40000</v>
      </c>
    </row>
    <row r="110" customFormat="false" ht="15" hidden="false" customHeight="false" outlineLevel="0" collapsed="false">
      <c r="A110" s="10" t="s">
        <v>152</v>
      </c>
      <c r="B110" s="2" t="s">
        <v>62</v>
      </c>
      <c r="C110" s="2" t="s">
        <v>105</v>
      </c>
      <c r="D110" s="37" t="n">
        <v>5000</v>
      </c>
      <c r="E110" s="37" t="n">
        <v>8000</v>
      </c>
      <c r="F110" s="37" t="n">
        <v>20000</v>
      </c>
      <c r="G110" s="37" t="n">
        <v>30000</v>
      </c>
      <c r="H110" s="37" t="n">
        <v>40000</v>
      </c>
      <c r="I110" s="37" t="n">
        <v>60000</v>
      </c>
    </row>
    <row r="111" customFormat="false" ht="15" hidden="false" customHeight="false" outlineLevel="0" collapsed="false">
      <c r="A111" s="10" t="s">
        <v>153</v>
      </c>
      <c r="B111" s="2" t="s">
        <v>62</v>
      </c>
      <c r="C111" s="2" t="s">
        <v>105</v>
      </c>
      <c r="D111" s="37" t="n">
        <v>8000</v>
      </c>
      <c r="E111" s="37" t="n">
        <v>15000</v>
      </c>
      <c r="F111" s="37" t="n">
        <v>60000</v>
      </c>
      <c r="G111" s="37" t="n">
        <v>100000</v>
      </c>
      <c r="H111" s="37" t="n">
        <v>80000</v>
      </c>
      <c r="I111" s="37" t="n">
        <v>150000</v>
      </c>
    </row>
    <row r="112" customFormat="false" ht="15" hidden="false" customHeight="false" outlineLevel="0" collapsed="false">
      <c r="A112" s="10" t="s">
        <v>154</v>
      </c>
      <c r="B112" s="2" t="s">
        <v>155</v>
      </c>
      <c r="C112" s="2" t="s">
        <v>105</v>
      </c>
      <c r="D112" s="33" t="n">
        <v>2</v>
      </c>
      <c r="E112" s="33" t="n">
        <v>2</v>
      </c>
      <c r="F112" s="33" t="n">
        <v>2</v>
      </c>
      <c r="G112" s="33" t="n">
        <v>2</v>
      </c>
      <c r="H112" s="33" t="n">
        <v>3</v>
      </c>
      <c r="I112" s="33" t="n">
        <v>3</v>
      </c>
    </row>
    <row r="113" customFormat="false" ht="15" hidden="false" customHeight="false" outlineLevel="0" collapsed="false">
      <c r="A113" s="10" t="s">
        <v>156</v>
      </c>
      <c r="B113" s="2" t="s">
        <v>155</v>
      </c>
      <c r="C113" s="2" t="s">
        <v>105</v>
      </c>
      <c r="D113" s="33" t="n">
        <v>4</v>
      </c>
      <c r="E113" s="33" t="n">
        <v>4</v>
      </c>
      <c r="F113" s="33" t="n">
        <v>3</v>
      </c>
      <c r="G113" s="33" t="n">
        <v>3</v>
      </c>
      <c r="H113" s="33" t="n">
        <v>4</v>
      </c>
      <c r="I113" s="33" t="n">
        <v>4</v>
      </c>
    </row>
    <row r="114" customFormat="false" ht="15" hidden="false" customHeight="false" outlineLevel="0" collapsed="false">
      <c r="A114" s="2" t="s">
        <v>157</v>
      </c>
    </row>
    <row r="115" customFormat="false" ht="15" hidden="false" customHeight="false" outlineLevel="0" collapsed="false">
      <c r="A115" s="10" t="s">
        <v>158</v>
      </c>
      <c r="B115" s="2" t="s">
        <v>62</v>
      </c>
      <c r="C115" s="2" t="s">
        <v>159</v>
      </c>
      <c r="D115" s="29" t="n">
        <f aca="false">MIN(01_Data!$D$201,01_Data!$D$206,SW_SSI,01_Data!$D$210)</f>
        <v>2000</v>
      </c>
      <c r="E115" s="29" t="n">
        <f aca="false">MAX(01_Data!$D$201,01_Data!$D$206,SW_SSI,01_Data!$D$210)</f>
        <v>7492</v>
      </c>
    </row>
    <row r="116" customFormat="false" ht="15" hidden="false" customHeight="false" outlineLevel="0" collapsed="false">
      <c r="A116" s="10" t="s">
        <v>160</v>
      </c>
      <c r="B116" s="2" t="s">
        <v>62</v>
      </c>
      <c r="C116" s="2" t="s">
        <v>161</v>
      </c>
      <c r="D116" s="29" t="n">
        <f aca="false">01_Data!$D$187*00_Assumptions!$N$50</f>
        <v>20655.5</v>
      </c>
      <c r="E116" s="29" t="n">
        <f aca="false">MIN(01_Data!$D$226,01_Data!$D$187*00_Assumptions!$O$50)</f>
        <v>82622</v>
      </c>
      <c r="F116" s="29" t="n">
        <f aca="false">01_Data!$D$226</f>
        <v>124254</v>
      </c>
    </row>
    <row r="117" customFormat="false" ht="15" hidden="false" customHeight="false" outlineLevel="0" collapsed="false">
      <c r="A117" s="10" t="s">
        <v>162</v>
      </c>
      <c r="B117" s="2" t="s">
        <v>62</v>
      </c>
      <c r="C117" s="2" t="s">
        <v>163</v>
      </c>
      <c r="D117" s="29" t="n">
        <f aca="false">01_Data!$D$187+01_Data!$D$188</f>
        <v>57366</v>
      </c>
    </row>
    <row r="118" customFormat="false" ht="15" hidden="false" customHeight="false" outlineLevel="0" collapsed="false">
      <c r="A118" s="10" t="s">
        <v>164</v>
      </c>
      <c r="B118" s="2" t="s">
        <v>62</v>
      </c>
      <c r="C118" s="2" t="s">
        <v>105</v>
      </c>
      <c r="D118" s="33" t="n">
        <v>36400</v>
      </c>
      <c r="E118" s="33" t="n">
        <v>400</v>
      </c>
      <c r="F118" s="33" t="n">
        <v>620</v>
      </c>
      <c r="G118" s="33" t="n">
        <v>2.5</v>
      </c>
      <c r="H118" s="33" t="n">
        <v>3</v>
      </c>
    </row>
    <row r="119" customFormat="false" ht="15" hidden="false" customHeight="false" outlineLevel="0" collapsed="false">
      <c r="A119" s="10" t="s">
        <v>165</v>
      </c>
      <c r="C119" s="2" t="s">
        <v>166</v>
      </c>
      <c r="D119" s="33" t="n">
        <v>0.22</v>
      </c>
      <c r="E119" s="33" t="n">
        <v>13</v>
      </c>
      <c r="F119" s="33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2"/>
    <col collapsed="false" customWidth="true" hidden="false" outlineLevel="0" max="3" min="3" style="1" width="46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2" min="11" style="1" width="18"/>
    <col collapsed="false" customWidth="true" hidden="false" outlineLevel="0" max="13" min="13" style="1" width="30"/>
  </cols>
  <sheetData>
    <row r="1" customFormat="false" ht="15" hidden="false" customHeight="false" outlineLevel="0" collapsed="false">
      <c r="A1" s="2" t="s">
        <v>167</v>
      </c>
    </row>
    <row r="3" customFormat="false" ht="15" hidden="false" customHeight="false" outlineLevel="0" collapsed="false">
      <c r="A3" s="9" t="s">
        <v>168</v>
      </c>
      <c r="B3" s="9" t="s">
        <v>169</v>
      </c>
      <c r="C3" s="9" t="s">
        <v>170</v>
      </c>
      <c r="D3" s="9" t="s">
        <v>171</v>
      </c>
      <c r="E3" s="9" t="s">
        <v>12</v>
      </c>
      <c r="F3" s="9" t="s">
        <v>172</v>
      </c>
      <c r="G3" s="9" t="s">
        <v>173</v>
      </c>
      <c r="H3" s="9" t="s">
        <v>174</v>
      </c>
      <c r="I3" s="9" t="s">
        <v>175</v>
      </c>
      <c r="J3" s="9" t="s">
        <v>176</v>
      </c>
      <c r="K3" s="9" t="s">
        <v>177</v>
      </c>
      <c r="L3" s="9" t="s">
        <v>178</v>
      </c>
      <c r="M3" s="9" t="s">
        <v>20</v>
      </c>
    </row>
    <row r="4" customFormat="false" ht="15" hidden="false" customHeight="false" outlineLevel="0" collapsed="false">
      <c r="A4" s="34" t="s">
        <v>179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customFormat="false" ht="15" hidden="false" customHeight="false" outlineLevel="0" collapsed="false">
      <c r="A5" s="2" t="s">
        <v>180</v>
      </c>
      <c r="B5" s="10" t="s">
        <v>181</v>
      </c>
      <c r="C5" s="2" t="s">
        <v>182</v>
      </c>
      <c r="D5" s="38" t="n">
        <v>25000</v>
      </c>
      <c r="E5" s="2" t="s">
        <v>183</v>
      </c>
      <c r="F5" s="2" t="s">
        <v>184</v>
      </c>
      <c r="G5" s="2" t="s">
        <v>185</v>
      </c>
      <c r="H5" s="2" t="s">
        <v>186</v>
      </c>
      <c r="I5" s="2" t="s">
        <v>187</v>
      </c>
      <c r="J5" s="2" t="s">
        <v>188</v>
      </c>
      <c r="K5" s="2" t="s">
        <v>189</v>
      </c>
      <c r="L5" s="2" t="s">
        <v>190</v>
      </c>
    </row>
    <row r="6" customFormat="false" ht="15" hidden="false" customHeight="false" outlineLevel="0" collapsed="false">
      <c r="A6" s="2" t="s">
        <v>191</v>
      </c>
      <c r="B6" s="10" t="s">
        <v>192</v>
      </c>
      <c r="C6" s="2" t="s">
        <v>182</v>
      </c>
      <c r="D6" s="38" t="n">
        <v>40000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</row>
    <row r="7" customFormat="false" ht="15" hidden="false" customHeight="false" outlineLevel="0" collapsed="false">
      <c r="A7" s="2" t="s">
        <v>193</v>
      </c>
      <c r="B7" s="10" t="s">
        <v>194</v>
      </c>
      <c r="C7" s="2" t="s">
        <v>182</v>
      </c>
      <c r="D7" s="38" t="n">
        <v>8200</v>
      </c>
      <c r="E7" s="2" t="s">
        <v>183</v>
      </c>
      <c r="F7" s="2" t="s">
        <v>184</v>
      </c>
      <c r="G7" s="2" t="s">
        <v>185</v>
      </c>
      <c r="H7" s="2" t="s">
        <v>186</v>
      </c>
      <c r="I7" s="2" t="s">
        <v>187</v>
      </c>
      <c r="J7" s="2" t="s">
        <v>188</v>
      </c>
      <c r="K7" s="2" t="s">
        <v>189</v>
      </c>
      <c r="L7" s="2" t="s">
        <v>190</v>
      </c>
    </row>
    <row r="8" customFormat="false" ht="15" hidden="false" customHeight="false" outlineLevel="0" collapsed="false">
      <c r="A8" s="2" t="s">
        <v>195</v>
      </c>
      <c r="B8" s="10" t="s">
        <v>196</v>
      </c>
      <c r="C8" s="2" t="s">
        <v>182</v>
      </c>
      <c r="D8" s="38" t="n">
        <v>25000</v>
      </c>
      <c r="E8" s="2" t="s">
        <v>183</v>
      </c>
      <c r="F8" s="2" t="s">
        <v>184</v>
      </c>
      <c r="G8" s="2" t="s">
        <v>185</v>
      </c>
      <c r="H8" s="2" t="s">
        <v>186</v>
      </c>
      <c r="I8" s="2" t="s">
        <v>187</v>
      </c>
      <c r="J8" s="2" t="s">
        <v>188</v>
      </c>
      <c r="K8" s="2" t="s">
        <v>189</v>
      </c>
      <c r="L8" s="2" t="s">
        <v>190</v>
      </c>
    </row>
    <row r="9" customFormat="false" ht="15" hidden="false" customHeight="false" outlineLevel="0" collapsed="false">
      <c r="A9" s="2" t="s">
        <v>197</v>
      </c>
      <c r="B9" s="10" t="s">
        <v>198</v>
      </c>
      <c r="C9" s="2" t="s">
        <v>182</v>
      </c>
      <c r="D9" s="38" t="n">
        <v>30000</v>
      </c>
      <c r="E9" s="2" t="s">
        <v>183</v>
      </c>
      <c r="F9" s="2" t="s">
        <v>184</v>
      </c>
      <c r="G9" s="2" t="s">
        <v>185</v>
      </c>
      <c r="H9" s="2" t="s">
        <v>186</v>
      </c>
      <c r="I9" s="2" t="s">
        <v>187</v>
      </c>
      <c r="J9" s="2" t="s">
        <v>188</v>
      </c>
      <c r="K9" s="2" t="s">
        <v>189</v>
      </c>
      <c r="L9" s="2" t="s">
        <v>190</v>
      </c>
    </row>
    <row r="10" customFormat="false" ht="15" hidden="false" customHeight="false" outlineLevel="0" collapsed="false">
      <c r="A10" s="2" t="s">
        <v>199</v>
      </c>
      <c r="B10" s="10" t="s">
        <v>200</v>
      </c>
      <c r="C10" s="2" t="s">
        <v>182</v>
      </c>
      <c r="D10" s="38" t="n">
        <v>40000</v>
      </c>
      <c r="E10" s="2" t="s">
        <v>183</v>
      </c>
      <c r="F10" s="2" t="s">
        <v>184</v>
      </c>
      <c r="G10" s="2" t="s">
        <v>185</v>
      </c>
      <c r="H10" s="2" t="s">
        <v>186</v>
      </c>
      <c r="I10" s="2" t="s">
        <v>187</v>
      </c>
      <c r="J10" s="2" t="s">
        <v>188</v>
      </c>
      <c r="K10" s="2" t="s">
        <v>189</v>
      </c>
      <c r="L10" s="2" t="s">
        <v>190</v>
      </c>
    </row>
    <row r="11" customFormat="false" ht="15" hidden="false" customHeight="false" outlineLevel="0" collapsed="false">
      <c r="A11" s="2" t="s">
        <v>201</v>
      </c>
      <c r="B11" s="10" t="s">
        <v>202</v>
      </c>
      <c r="C11" s="2" t="s">
        <v>182</v>
      </c>
      <c r="D11" s="38" t="n">
        <v>2000000</v>
      </c>
      <c r="E11" s="2" t="s">
        <v>183</v>
      </c>
      <c r="F11" s="2" t="s">
        <v>184</v>
      </c>
      <c r="G11" s="2" t="s">
        <v>185</v>
      </c>
      <c r="H11" s="2" t="s">
        <v>186</v>
      </c>
      <c r="I11" s="2" t="s">
        <v>187</v>
      </c>
      <c r="J11" s="2" t="s">
        <v>188</v>
      </c>
      <c r="K11" s="2" t="s">
        <v>189</v>
      </c>
      <c r="L11" s="2" t="s">
        <v>190</v>
      </c>
    </row>
    <row r="12" customFormat="false" ht="15" hidden="false" customHeight="false" outlineLevel="0" collapsed="false">
      <c r="A12" s="2" t="s">
        <v>203</v>
      </c>
      <c r="B12" s="10" t="s">
        <v>204</v>
      </c>
      <c r="C12" s="2" t="s">
        <v>182</v>
      </c>
      <c r="D12" s="38" t="n">
        <v>3000000</v>
      </c>
      <c r="E12" s="2" t="s">
        <v>183</v>
      </c>
      <c r="F12" s="2" t="s">
        <v>184</v>
      </c>
      <c r="G12" s="2" t="s">
        <v>185</v>
      </c>
      <c r="H12" s="2" t="s">
        <v>186</v>
      </c>
      <c r="I12" s="2" t="s">
        <v>187</v>
      </c>
      <c r="J12" s="2" t="s">
        <v>188</v>
      </c>
      <c r="K12" s="2" t="s">
        <v>189</v>
      </c>
      <c r="L12" s="2" t="s">
        <v>190</v>
      </c>
    </row>
    <row r="13" customFormat="false" ht="15" hidden="false" customHeight="false" outlineLevel="0" collapsed="false">
      <c r="A13" s="2" t="s">
        <v>205</v>
      </c>
      <c r="B13" s="10" t="s">
        <v>206</v>
      </c>
      <c r="C13" s="2" t="s">
        <v>182</v>
      </c>
      <c r="D13" s="38" t="n">
        <v>3000000</v>
      </c>
      <c r="E13" s="2" t="s">
        <v>183</v>
      </c>
      <c r="F13" s="2" t="s">
        <v>184</v>
      </c>
      <c r="G13" s="2" t="s">
        <v>185</v>
      </c>
      <c r="H13" s="2" t="s">
        <v>186</v>
      </c>
      <c r="I13" s="2" t="s">
        <v>187</v>
      </c>
      <c r="J13" s="2" t="s">
        <v>188</v>
      </c>
      <c r="K13" s="2" t="s">
        <v>189</v>
      </c>
      <c r="L13" s="2" t="s">
        <v>190</v>
      </c>
    </row>
    <row r="14" customFormat="false" ht="15" hidden="false" customHeight="false" outlineLevel="0" collapsed="false">
      <c r="A14" s="2" t="s">
        <v>207</v>
      </c>
      <c r="B14" s="10" t="s">
        <v>208</v>
      </c>
      <c r="C14" s="2" t="s">
        <v>182</v>
      </c>
      <c r="D14" s="38" t="n">
        <v>4000000</v>
      </c>
      <c r="E14" s="2" t="s">
        <v>183</v>
      </c>
      <c r="F14" s="2" t="s">
        <v>184</v>
      </c>
      <c r="G14" s="2" t="s">
        <v>185</v>
      </c>
      <c r="H14" s="2" t="s">
        <v>186</v>
      </c>
      <c r="I14" s="2" t="s">
        <v>187</v>
      </c>
      <c r="J14" s="2" t="s">
        <v>188</v>
      </c>
      <c r="K14" s="2" t="s">
        <v>189</v>
      </c>
      <c r="L14" s="2" t="s">
        <v>190</v>
      </c>
    </row>
    <row r="15" customFormat="false" ht="15" hidden="false" customHeight="false" outlineLevel="0" collapsed="false">
      <c r="A15" s="2" t="s">
        <v>209</v>
      </c>
      <c r="B15" s="10" t="s">
        <v>210</v>
      </c>
      <c r="C15" s="2" t="s">
        <v>182</v>
      </c>
      <c r="D15" s="38" t="n">
        <v>400000</v>
      </c>
      <c r="E15" s="2" t="s">
        <v>183</v>
      </c>
      <c r="F15" s="2" t="s">
        <v>184</v>
      </c>
      <c r="G15" s="2" t="s">
        <v>185</v>
      </c>
      <c r="H15" s="2" t="s">
        <v>186</v>
      </c>
      <c r="I15" s="2" t="s">
        <v>187</v>
      </c>
      <c r="J15" s="2" t="s">
        <v>188</v>
      </c>
      <c r="K15" s="2" t="s">
        <v>189</v>
      </c>
      <c r="L15" s="2" t="s">
        <v>190</v>
      </c>
    </row>
    <row r="16" customFormat="false" ht="15" hidden="false" customHeight="false" outlineLevel="0" collapsed="false">
      <c r="A16" s="2" t="s">
        <v>211</v>
      </c>
      <c r="B16" s="10" t="s">
        <v>212</v>
      </c>
      <c r="C16" s="2" t="s">
        <v>182</v>
      </c>
      <c r="D16" s="38" t="n">
        <v>6400</v>
      </c>
      <c r="E16" s="2" t="s">
        <v>183</v>
      </c>
      <c r="F16" s="2" t="s">
        <v>184</v>
      </c>
      <c r="G16" s="2" t="s">
        <v>185</v>
      </c>
      <c r="H16" s="2" t="s">
        <v>186</v>
      </c>
      <c r="I16" s="2" t="s">
        <v>187</v>
      </c>
      <c r="J16" s="2" t="s">
        <v>188</v>
      </c>
      <c r="K16" s="2" t="s">
        <v>189</v>
      </c>
      <c r="L16" s="2" t="s">
        <v>190</v>
      </c>
    </row>
    <row r="17" customFormat="false" ht="15" hidden="false" customHeight="false" outlineLevel="0" collapsed="false">
      <c r="A17" s="2" t="s">
        <v>213</v>
      </c>
      <c r="B17" s="10" t="s">
        <v>214</v>
      </c>
      <c r="C17" s="2" t="s">
        <v>215</v>
      </c>
      <c r="D17" s="38" t="n">
        <v>72</v>
      </c>
      <c r="E17" s="2" t="s">
        <v>115</v>
      </c>
      <c r="F17" s="2" t="s">
        <v>216</v>
      </c>
      <c r="G17" s="2" t="s">
        <v>217</v>
      </c>
      <c r="H17" s="2" t="s">
        <v>218</v>
      </c>
      <c r="I17" s="2" t="s">
        <v>219</v>
      </c>
      <c r="J17" s="2" t="s">
        <v>220</v>
      </c>
      <c r="K17" s="2" t="s">
        <v>189</v>
      </c>
      <c r="L17" s="2" t="s">
        <v>221</v>
      </c>
    </row>
    <row r="18" customFormat="false" ht="15" hidden="false" customHeight="false" outlineLevel="0" collapsed="false">
      <c r="A18" s="34" t="s">
        <v>222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customFormat="false" ht="15" hidden="false" customHeight="false" outlineLevel="0" collapsed="false">
      <c r="A19" s="2" t="s">
        <v>223</v>
      </c>
      <c r="B19" s="10" t="s">
        <v>224</v>
      </c>
      <c r="C19" s="2" t="s">
        <v>225</v>
      </c>
      <c r="D19" s="39" t="n">
        <v>6.16</v>
      </c>
      <c r="E19" s="2" t="s">
        <v>26</v>
      </c>
      <c r="F19" s="2" t="s">
        <v>226</v>
      </c>
      <c r="G19" s="2" t="s">
        <v>227</v>
      </c>
      <c r="H19" s="2" t="s">
        <v>218</v>
      </c>
      <c r="I19" s="2" t="s">
        <v>228</v>
      </c>
      <c r="J19" s="2" t="s">
        <v>188</v>
      </c>
      <c r="K19" s="2" t="s">
        <v>229</v>
      </c>
      <c r="L19" s="2" t="s">
        <v>230</v>
      </c>
    </row>
    <row r="20" customFormat="false" ht="15" hidden="false" customHeight="false" outlineLevel="0" collapsed="false">
      <c r="A20" s="2" t="s">
        <v>231</v>
      </c>
      <c r="B20" s="10" t="s">
        <v>232</v>
      </c>
      <c r="C20" s="2" t="s">
        <v>225</v>
      </c>
      <c r="D20" s="39" t="n">
        <v>6.31</v>
      </c>
      <c r="E20" s="2" t="s">
        <v>26</v>
      </c>
      <c r="F20" s="2" t="s">
        <v>226</v>
      </c>
      <c r="G20" s="2" t="s">
        <v>227</v>
      </c>
      <c r="H20" s="2" t="s">
        <v>218</v>
      </c>
      <c r="I20" s="2" t="s">
        <v>228</v>
      </c>
      <c r="J20" s="2" t="s">
        <v>188</v>
      </c>
      <c r="K20" s="2" t="s">
        <v>229</v>
      </c>
      <c r="L20" s="2" t="s">
        <v>230</v>
      </c>
    </row>
    <row r="21" customFormat="false" ht="15" hidden="false" customHeight="false" outlineLevel="0" collapsed="false">
      <c r="A21" s="2" t="s">
        <v>233</v>
      </c>
      <c r="B21" s="10" t="s">
        <v>234</v>
      </c>
      <c r="C21" s="2" t="s">
        <v>225</v>
      </c>
      <c r="D21" s="39" t="n">
        <v>8.6</v>
      </c>
      <c r="E21" s="2" t="s">
        <v>26</v>
      </c>
      <c r="F21" s="2" t="s">
        <v>226</v>
      </c>
      <c r="G21" s="2" t="s">
        <v>227</v>
      </c>
      <c r="H21" s="2" t="s">
        <v>218</v>
      </c>
      <c r="I21" s="2" t="s">
        <v>228</v>
      </c>
      <c r="J21" s="2" t="s">
        <v>188</v>
      </c>
      <c r="K21" s="2" t="s">
        <v>229</v>
      </c>
      <c r="L21" s="2" t="s">
        <v>230</v>
      </c>
    </row>
    <row r="22" customFormat="false" ht="15" hidden="false" customHeight="false" outlineLevel="0" collapsed="false">
      <c r="A22" s="2" t="s">
        <v>235</v>
      </c>
      <c r="B22" s="10" t="s">
        <v>236</v>
      </c>
      <c r="C22" s="2" t="s">
        <v>225</v>
      </c>
      <c r="D22" s="39" t="n">
        <v>10.5</v>
      </c>
      <c r="E22" s="2" t="s">
        <v>26</v>
      </c>
      <c r="F22" s="2" t="s">
        <v>226</v>
      </c>
      <c r="G22" s="2" t="s">
        <v>227</v>
      </c>
      <c r="H22" s="2" t="s">
        <v>218</v>
      </c>
      <c r="I22" s="2" t="s">
        <v>228</v>
      </c>
      <c r="J22" s="2" t="s">
        <v>188</v>
      </c>
      <c r="K22" s="2" t="s">
        <v>229</v>
      </c>
      <c r="L22" s="2" t="s">
        <v>230</v>
      </c>
    </row>
    <row r="23" customFormat="false" ht="15" hidden="false" customHeight="false" outlineLevel="0" collapsed="false">
      <c r="A23" s="2" t="s">
        <v>237</v>
      </c>
      <c r="B23" s="10" t="s">
        <v>238</v>
      </c>
      <c r="C23" s="2" t="s">
        <v>225</v>
      </c>
      <c r="D23" s="39" t="n">
        <v>6.69</v>
      </c>
      <c r="E23" s="2" t="s">
        <v>26</v>
      </c>
      <c r="F23" s="2" t="s">
        <v>226</v>
      </c>
      <c r="G23" s="2" t="s">
        <v>227</v>
      </c>
      <c r="H23" s="2" t="s">
        <v>218</v>
      </c>
      <c r="I23" s="2" t="s">
        <v>228</v>
      </c>
      <c r="J23" s="2" t="s">
        <v>188</v>
      </c>
      <c r="K23" s="2" t="s">
        <v>229</v>
      </c>
      <c r="L23" s="2" t="s">
        <v>230</v>
      </c>
    </row>
    <row r="24" customFormat="false" ht="15" hidden="false" customHeight="false" outlineLevel="0" collapsed="false">
      <c r="A24" s="2" t="s">
        <v>239</v>
      </c>
      <c r="B24" s="10" t="s">
        <v>240</v>
      </c>
      <c r="C24" s="2" t="s">
        <v>225</v>
      </c>
      <c r="D24" s="39" t="n">
        <v>3.99</v>
      </c>
      <c r="E24" s="2" t="s">
        <v>26</v>
      </c>
      <c r="F24" s="2" t="s">
        <v>226</v>
      </c>
      <c r="G24" s="2" t="s">
        <v>227</v>
      </c>
      <c r="H24" s="2" t="s">
        <v>218</v>
      </c>
      <c r="I24" s="2" t="s">
        <v>228</v>
      </c>
      <c r="J24" s="2" t="s">
        <v>188</v>
      </c>
      <c r="K24" s="2" t="s">
        <v>229</v>
      </c>
      <c r="L24" s="2" t="s">
        <v>230</v>
      </c>
    </row>
    <row r="25" customFormat="false" ht="15" hidden="false" customHeight="false" outlineLevel="0" collapsed="false">
      <c r="A25" s="2" t="s">
        <v>241</v>
      </c>
      <c r="B25" s="10" t="s">
        <v>242</v>
      </c>
      <c r="C25" s="2" t="s">
        <v>225</v>
      </c>
      <c r="D25" s="39" t="n">
        <v>3.85</v>
      </c>
      <c r="E25" s="2" t="s">
        <v>26</v>
      </c>
      <c r="F25" s="2" t="s">
        <v>226</v>
      </c>
      <c r="G25" s="2" t="s">
        <v>227</v>
      </c>
      <c r="H25" s="2" t="s">
        <v>218</v>
      </c>
      <c r="I25" s="2" t="s">
        <v>228</v>
      </c>
      <c r="J25" s="2" t="s">
        <v>188</v>
      </c>
      <c r="K25" s="2" t="s">
        <v>229</v>
      </c>
      <c r="L25" s="2" t="s">
        <v>230</v>
      </c>
    </row>
    <row r="26" customFormat="false" ht="15" hidden="false" customHeight="false" outlineLevel="0" collapsed="false">
      <c r="A26" s="2" t="s">
        <v>243</v>
      </c>
      <c r="B26" s="10" t="s">
        <v>244</v>
      </c>
      <c r="C26" s="2" t="s">
        <v>225</v>
      </c>
      <c r="D26" s="39" t="n">
        <v>7.15</v>
      </c>
      <c r="E26" s="2" t="s">
        <v>26</v>
      </c>
      <c r="F26" s="2" t="s">
        <v>226</v>
      </c>
      <c r="G26" s="2" t="s">
        <v>227</v>
      </c>
      <c r="H26" s="2" t="s">
        <v>218</v>
      </c>
      <c r="I26" s="2" t="s">
        <v>228</v>
      </c>
      <c r="J26" s="2" t="s">
        <v>188</v>
      </c>
      <c r="K26" s="2" t="s">
        <v>229</v>
      </c>
      <c r="L26" s="2" t="s">
        <v>230</v>
      </c>
    </row>
    <row r="27" customFormat="false" ht="15" hidden="false" customHeight="false" outlineLevel="0" collapsed="false">
      <c r="A27" s="2" t="s">
        <v>245</v>
      </c>
      <c r="B27" s="10" t="s">
        <v>246</v>
      </c>
      <c r="C27" s="2" t="s">
        <v>225</v>
      </c>
      <c r="D27" s="39" t="n">
        <v>7.85</v>
      </c>
      <c r="E27" s="2" t="s">
        <v>26</v>
      </c>
      <c r="F27" s="2" t="s">
        <v>226</v>
      </c>
      <c r="G27" s="2" t="s">
        <v>227</v>
      </c>
      <c r="H27" s="2" t="s">
        <v>218</v>
      </c>
      <c r="I27" s="2" t="s">
        <v>228</v>
      </c>
      <c r="J27" s="2" t="s">
        <v>188</v>
      </c>
      <c r="K27" s="2" t="s">
        <v>229</v>
      </c>
      <c r="L27" s="2" t="s">
        <v>230</v>
      </c>
    </row>
    <row r="28" customFormat="false" ht="15" hidden="false" customHeight="false" outlineLevel="0" collapsed="false">
      <c r="A28" s="2" t="s">
        <v>247</v>
      </c>
      <c r="B28" s="10" t="s">
        <v>248</v>
      </c>
      <c r="C28" s="2" t="s">
        <v>249</v>
      </c>
      <c r="D28" s="40" t="n">
        <v>0.6</v>
      </c>
      <c r="E28" s="2" t="s">
        <v>29</v>
      </c>
      <c r="F28" s="2" t="s">
        <v>226</v>
      </c>
      <c r="G28" s="2" t="s">
        <v>250</v>
      </c>
      <c r="H28" s="2" t="s">
        <v>218</v>
      </c>
      <c r="I28" s="2" t="s">
        <v>228</v>
      </c>
      <c r="J28" s="2" t="s">
        <v>188</v>
      </c>
      <c r="K28" s="2" t="s">
        <v>229</v>
      </c>
      <c r="L28" s="2" t="s">
        <v>251</v>
      </c>
    </row>
    <row r="29" customFormat="false" ht="15" hidden="false" customHeight="false" outlineLevel="0" collapsed="false">
      <c r="A29" s="2" t="s">
        <v>252</v>
      </c>
      <c r="B29" s="10" t="s">
        <v>253</v>
      </c>
      <c r="C29" s="2" t="s">
        <v>249</v>
      </c>
      <c r="D29" s="40" t="n">
        <v>0.35</v>
      </c>
      <c r="E29" s="2" t="s">
        <v>29</v>
      </c>
      <c r="F29" s="2" t="s">
        <v>226</v>
      </c>
      <c r="G29" s="2" t="s">
        <v>250</v>
      </c>
      <c r="H29" s="2" t="s">
        <v>218</v>
      </c>
      <c r="I29" s="2" t="s">
        <v>228</v>
      </c>
      <c r="J29" s="2" t="s">
        <v>188</v>
      </c>
      <c r="K29" s="2" t="s">
        <v>229</v>
      </c>
      <c r="L29" s="2" t="s">
        <v>251</v>
      </c>
    </row>
    <row r="30" customFormat="false" ht="15" hidden="false" customHeight="false" outlineLevel="0" collapsed="false">
      <c r="A30" s="2" t="s">
        <v>254</v>
      </c>
      <c r="B30" s="10" t="s">
        <v>255</v>
      </c>
      <c r="C30" s="2" t="s">
        <v>256</v>
      </c>
      <c r="D30" s="39" t="n">
        <v>2.4</v>
      </c>
      <c r="E30" s="2" t="s">
        <v>26</v>
      </c>
      <c r="F30" s="2" t="s">
        <v>257</v>
      </c>
      <c r="G30" s="2" t="s">
        <v>258</v>
      </c>
      <c r="H30" s="2" t="s">
        <v>186</v>
      </c>
      <c r="I30" s="2" t="s">
        <v>259</v>
      </c>
      <c r="J30" s="2" t="s">
        <v>188</v>
      </c>
      <c r="K30" s="2" t="s">
        <v>260</v>
      </c>
      <c r="L30" s="2" t="s">
        <v>261</v>
      </c>
    </row>
    <row r="31" customFormat="false" ht="15" hidden="false" customHeight="false" outlineLevel="0" collapsed="false">
      <c r="A31" s="2" t="s">
        <v>262</v>
      </c>
      <c r="B31" s="10" t="s">
        <v>263</v>
      </c>
      <c r="C31" s="2" t="s">
        <v>264</v>
      </c>
      <c r="D31" s="39" t="n">
        <v>3.1</v>
      </c>
      <c r="E31" s="2" t="s">
        <v>26</v>
      </c>
      <c r="F31" s="2" t="s">
        <v>257</v>
      </c>
      <c r="G31" s="2" t="s">
        <v>265</v>
      </c>
      <c r="H31" s="2" t="s">
        <v>186</v>
      </c>
      <c r="I31" s="2" t="s">
        <v>259</v>
      </c>
      <c r="J31" s="2" t="s">
        <v>188</v>
      </c>
      <c r="K31" s="2" t="s">
        <v>260</v>
      </c>
      <c r="L31" s="2" t="s">
        <v>261</v>
      </c>
    </row>
    <row r="32" customFormat="false" ht="15" hidden="false" customHeight="false" outlineLevel="0" collapsed="false">
      <c r="A32" s="2" t="s">
        <v>266</v>
      </c>
      <c r="B32" s="10" t="s">
        <v>267</v>
      </c>
      <c r="C32" s="2" t="s">
        <v>264</v>
      </c>
      <c r="D32" s="39" t="n">
        <v>4</v>
      </c>
      <c r="E32" s="2" t="s">
        <v>26</v>
      </c>
      <c r="F32" s="2" t="s">
        <v>257</v>
      </c>
      <c r="G32" s="2" t="s">
        <v>265</v>
      </c>
      <c r="H32" s="2" t="s">
        <v>186</v>
      </c>
      <c r="I32" s="2" t="s">
        <v>259</v>
      </c>
      <c r="J32" s="2" t="s">
        <v>188</v>
      </c>
      <c r="K32" s="2" t="s">
        <v>260</v>
      </c>
      <c r="L32" s="2" t="s">
        <v>268</v>
      </c>
    </row>
    <row r="33" customFormat="false" ht="15" hidden="false" customHeight="false" outlineLevel="0" collapsed="false">
      <c r="A33" s="2" t="s">
        <v>269</v>
      </c>
      <c r="B33" s="10" t="s">
        <v>270</v>
      </c>
      <c r="C33" s="2" t="s">
        <v>271</v>
      </c>
      <c r="D33" s="41" t="n">
        <v>1.1</v>
      </c>
      <c r="E33" s="2" t="s">
        <v>57</v>
      </c>
      <c r="F33" s="2" t="s">
        <v>257</v>
      </c>
      <c r="G33" s="2" t="s">
        <v>272</v>
      </c>
      <c r="H33" s="2" t="s">
        <v>186</v>
      </c>
      <c r="I33" s="2" t="s">
        <v>259</v>
      </c>
      <c r="J33" s="2" t="s">
        <v>188</v>
      </c>
      <c r="K33" s="2" t="s">
        <v>260</v>
      </c>
      <c r="L33" s="2" t="s">
        <v>273</v>
      </c>
    </row>
    <row r="34" customFormat="false" ht="15" hidden="false" customHeight="false" outlineLevel="0" collapsed="false">
      <c r="A34" s="2" t="s">
        <v>274</v>
      </c>
      <c r="B34" s="10" t="s">
        <v>275</v>
      </c>
      <c r="C34" s="2" t="s">
        <v>276</v>
      </c>
      <c r="D34" s="41" t="n">
        <v>1.61</v>
      </c>
      <c r="E34" s="2" t="s">
        <v>57</v>
      </c>
      <c r="F34" s="2" t="s">
        <v>257</v>
      </c>
      <c r="G34" s="2" t="s">
        <v>277</v>
      </c>
      <c r="H34" s="2" t="s">
        <v>186</v>
      </c>
      <c r="I34" s="2" t="s">
        <v>259</v>
      </c>
      <c r="J34" s="2" t="s">
        <v>188</v>
      </c>
      <c r="K34" s="2" t="s">
        <v>260</v>
      </c>
      <c r="L34" s="2" t="s">
        <v>273</v>
      </c>
    </row>
    <row r="35" customFormat="false" ht="15" hidden="false" customHeight="false" outlineLevel="0" collapsed="false">
      <c r="A35" s="34" t="s">
        <v>278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customFormat="false" ht="15" hidden="false" customHeight="false" outlineLevel="0" collapsed="false">
      <c r="A36" s="2" t="s">
        <v>279</v>
      </c>
      <c r="B36" s="10" t="s">
        <v>280</v>
      </c>
      <c r="C36" s="2" t="s">
        <v>281</v>
      </c>
      <c r="D36" s="42" t="n">
        <v>0.09</v>
      </c>
      <c r="E36" s="2" t="s">
        <v>29</v>
      </c>
      <c r="F36" s="2" t="s">
        <v>282</v>
      </c>
      <c r="G36" s="2" t="s">
        <v>283</v>
      </c>
      <c r="H36" s="2" t="s">
        <v>218</v>
      </c>
      <c r="I36" s="2" t="s">
        <v>228</v>
      </c>
      <c r="J36" s="2" t="s">
        <v>284</v>
      </c>
      <c r="K36" s="2" t="s">
        <v>285</v>
      </c>
      <c r="L36" s="2" t="s">
        <v>221</v>
      </c>
    </row>
    <row r="37" customFormat="false" ht="15" hidden="false" customHeight="false" outlineLevel="0" collapsed="false">
      <c r="A37" s="2" t="s">
        <v>286</v>
      </c>
      <c r="B37" s="10" t="s">
        <v>287</v>
      </c>
      <c r="C37" s="2" t="s">
        <v>281</v>
      </c>
      <c r="D37" s="42" t="n">
        <v>0.0975</v>
      </c>
      <c r="E37" s="2" t="s">
        <v>29</v>
      </c>
      <c r="F37" s="2" t="s">
        <v>282</v>
      </c>
      <c r="G37" s="2" t="s">
        <v>283</v>
      </c>
      <c r="H37" s="2" t="s">
        <v>218</v>
      </c>
      <c r="I37" s="2" t="s">
        <v>228</v>
      </c>
      <c r="J37" s="2" t="s">
        <v>284</v>
      </c>
      <c r="K37" s="2" t="s">
        <v>285</v>
      </c>
      <c r="L37" s="2" t="s">
        <v>221</v>
      </c>
    </row>
    <row r="38" customFormat="false" ht="15" hidden="false" customHeight="false" outlineLevel="0" collapsed="false">
      <c r="A38" s="2" t="s">
        <v>288</v>
      </c>
      <c r="B38" s="10" t="s">
        <v>289</v>
      </c>
      <c r="C38" s="2" t="s">
        <v>281</v>
      </c>
      <c r="D38" s="42" t="n">
        <v>0.09625</v>
      </c>
      <c r="E38" s="2" t="s">
        <v>29</v>
      </c>
      <c r="F38" s="2" t="s">
        <v>282</v>
      </c>
      <c r="G38" s="2" t="s">
        <v>283</v>
      </c>
      <c r="H38" s="2" t="s">
        <v>218</v>
      </c>
      <c r="I38" s="2" t="s">
        <v>228</v>
      </c>
      <c r="J38" s="2" t="s">
        <v>284</v>
      </c>
      <c r="K38" s="2" t="s">
        <v>285</v>
      </c>
      <c r="L38" s="2" t="s">
        <v>221</v>
      </c>
    </row>
    <row r="39" customFormat="false" ht="15" hidden="false" customHeight="false" outlineLevel="0" collapsed="false">
      <c r="A39" s="2" t="s">
        <v>290</v>
      </c>
      <c r="B39" s="10" t="s">
        <v>291</v>
      </c>
      <c r="C39" s="2" t="s">
        <v>292</v>
      </c>
      <c r="D39" s="32" t="n">
        <f aca="false">AVERAGE(01_Data!$D$36,01_Data!$D$37)</f>
        <v>0.09375</v>
      </c>
      <c r="E39" s="2" t="s">
        <v>29</v>
      </c>
      <c r="F39" s="2" t="s">
        <v>282</v>
      </c>
      <c r="G39" s="2" t="s">
        <v>293</v>
      </c>
      <c r="H39" s="2" t="s">
        <v>218</v>
      </c>
      <c r="I39" s="2" t="s">
        <v>228</v>
      </c>
      <c r="J39" s="2" t="s">
        <v>284</v>
      </c>
      <c r="K39" s="2" t="s">
        <v>294</v>
      </c>
      <c r="L39" s="2" t="s">
        <v>221</v>
      </c>
    </row>
    <row r="40" customFormat="false" ht="15" hidden="false" customHeight="false" outlineLevel="0" collapsed="false">
      <c r="A40" s="2" t="s">
        <v>295</v>
      </c>
      <c r="B40" s="10" t="s">
        <v>296</v>
      </c>
      <c r="C40" s="2" t="s">
        <v>297</v>
      </c>
      <c r="D40" s="42" t="n">
        <v>0.0575</v>
      </c>
      <c r="E40" s="2" t="s">
        <v>29</v>
      </c>
      <c r="F40" s="2" t="s">
        <v>298</v>
      </c>
      <c r="G40" s="2" t="s">
        <v>299</v>
      </c>
      <c r="H40" s="2" t="s">
        <v>186</v>
      </c>
      <c r="I40" s="2" t="s">
        <v>259</v>
      </c>
      <c r="J40" s="2" t="s">
        <v>284</v>
      </c>
      <c r="K40" s="2" t="s">
        <v>300</v>
      </c>
      <c r="L40" s="2" t="s">
        <v>221</v>
      </c>
    </row>
    <row r="41" customFormat="false" ht="15" hidden="false" customHeight="false" outlineLevel="0" collapsed="false">
      <c r="A41" s="2" t="s">
        <v>301</v>
      </c>
      <c r="B41" s="10" t="s">
        <v>302</v>
      </c>
      <c r="C41" s="2" t="s">
        <v>303</v>
      </c>
      <c r="D41" s="42" t="n">
        <v>0.085</v>
      </c>
      <c r="E41" s="2" t="s">
        <v>29</v>
      </c>
      <c r="F41" s="2" t="s">
        <v>298</v>
      </c>
      <c r="G41" s="2" t="s">
        <v>304</v>
      </c>
      <c r="H41" s="2" t="s">
        <v>186</v>
      </c>
      <c r="I41" s="2" t="s">
        <v>259</v>
      </c>
      <c r="J41" s="2" t="s">
        <v>284</v>
      </c>
      <c r="K41" s="2" t="s">
        <v>300</v>
      </c>
      <c r="L41" s="2" t="s">
        <v>221</v>
      </c>
    </row>
    <row r="42" customFormat="false" ht="15" hidden="false" customHeight="false" outlineLevel="0" collapsed="false">
      <c r="A42" s="2" t="s">
        <v>305</v>
      </c>
      <c r="B42" s="10" t="s">
        <v>306</v>
      </c>
      <c r="C42" s="2" t="s">
        <v>307</v>
      </c>
      <c r="D42" s="43" t="n">
        <v>0.07</v>
      </c>
      <c r="E42" s="2" t="s">
        <v>29</v>
      </c>
      <c r="F42" s="2" t="s">
        <v>282</v>
      </c>
      <c r="G42" s="2" t="s">
        <v>308</v>
      </c>
      <c r="H42" s="2" t="s">
        <v>186</v>
      </c>
      <c r="I42" s="2" t="s">
        <v>309</v>
      </c>
      <c r="J42" s="2" t="s">
        <v>284</v>
      </c>
      <c r="K42" s="2" t="s">
        <v>310</v>
      </c>
      <c r="L42" s="2" t="s">
        <v>221</v>
      </c>
    </row>
    <row r="43" customFormat="false" ht="15" hidden="false" customHeight="false" outlineLevel="0" collapsed="false">
      <c r="A43" s="2" t="s">
        <v>311</v>
      </c>
      <c r="B43" s="10" t="s">
        <v>312</v>
      </c>
      <c r="C43" s="2" t="s">
        <v>307</v>
      </c>
      <c r="D43" s="43" t="n">
        <v>0.08</v>
      </c>
      <c r="E43" s="2" t="s">
        <v>29</v>
      </c>
      <c r="F43" s="2" t="s">
        <v>282</v>
      </c>
      <c r="G43" s="2" t="s">
        <v>308</v>
      </c>
      <c r="H43" s="2" t="s">
        <v>186</v>
      </c>
      <c r="I43" s="2" t="s">
        <v>309</v>
      </c>
      <c r="J43" s="2" t="s">
        <v>284</v>
      </c>
      <c r="K43" s="2" t="s">
        <v>310</v>
      </c>
      <c r="L43" s="2" t="s">
        <v>221</v>
      </c>
    </row>
    <row r="44" customFormat="false" ht="15" hidden="false" customHeight="false" outlineLevel="0" collapsed="false">
      <c r="A44" s="2" t="s">
        <v>313</v>
      </c>
      <c r="B44" s="10" t="s">
        <v>314</v>
      </c>
      <c r="C44" s="2" t="s">
        <v>315</v>
      </c>
      <c r="D44" s="39" t="n">
        <v>1.5</v>
      </c>
      <c r="E44" s="2" t="s">
        <v>45</v>
      </c>
      <c r="F44" s="2" t="s">
        <v>316</v>
      </c>
      <c r="G44" s="2" t="s">
        <v>317</v>
      </c>
      <c r="H44" s="2" t="s">
        <v>186</v>
      </c>
      <c r="I44" s="2" t="s">
        <v>259</v>
      </c>
      <c r="J44" s="2" t="s">
        <v>284</v>
      </c>
      <c r="K44" s="2" t="s">
        <v>318</v>
      </c>
      <c r="L44" s="2" t="s">
        <v>221</v>
      </c>
    </row>
    <row r="45" customFormat="false" ht="15" hidden="false" customHeight="false" outlineLevel="0" collapsed="false">
      <c r="A45" s="2" t="s">
        <v>319</v>
      </c>
      <c r="B45" s="10" t="s">
        <v>320</v>
      </c>
      <c r="C45" s="2" t="s">
        <v>321</v>
      </c>
      <c r="D45" s="39" t="n">
        <v>2</v>
      </c>
      <c r="E45" s="2" t="s">
        <v>45</v>
      </c>
      <c r="F45" s="2" t="s">
        <v>216</v>
      </c>
      <c r="G45" s="2" t="s">
        <v>322</v>
      </c>
      <c r="H45" s="2" t="s">
        <v>186</v>
      </c>
      <c r="I45" s="2" t="s">
        <v>259</v>
      </c>
      <c r="J45" s="2" t="s">
        <v>284</v>
      </c>
      <c r="K45" s="2" t="s">
        <v>318</v>
      </c>
      <c r="L45" s="2" t="s">
        <v>221</v>
      </c>
    </row>
    <row r="46" customFormat="false" ht="15" hidden="false" customHeight="false" outlineLevel="0" collapsed="false">
      <c r="A46" s="2" t="s">
        <v>323</v>
      </c>
      <c r="B46" s="10" t="s">
        <v>324</v>
      </c>
      <c r="C46" s="2" t="s">
        <v>325</v>
      </c>
      <c r="D46" s="39" t="n">
        <v>2.2</v>
      </c>
      <c r="E46" s="2" t="s">
        <v>45</v>
      </c>
      <c r="F46" s="2" t="s">
        <v>216</v>
      </c>
      <c r="G46" s="2" t="s">
        <v>326</v>
      </c>
      <c r="H46" s="2" t="s">
        <v>186</v>
      </c>
      <c r="I46" s="2" t="s">
        <v>259</v>
      </c>
      <c r="J46" s="2" t="s">
        <v>284</v>
      </c>
      <c r="K46" s="2" t="s">
        <v>318</v>
      </c>
      <c r="L46" s="2" t="s">
        <v>221</v>
      </c>
    </row>
    <row r="47" customFormat="false" ht="15" hidden="false" customHeight="false" outlineLevel="0" collapsed="false">
      <c r="A47" s="2" t="s">
        <v>327</v>
      </c>
      <c r="B47" s="10" t="s">
        <v>328</v>
      </c>
      <c r="C47" s="2" t="s">
        <v>329</v>
      </c>
      <c r="D47" s="44" t="n">
        <v>65.8</v>
      </c>
      <c r="E47" s="2" t="s">
        <v>330</v>
      </c>
      <c r="F47" s="2" t="s">
        <v>331</v>
      </c>
      <c r="G47" s="2" t="s">
        <v>332</v>
      </c>
      <c r="H47" s="2" t="s">
        <v>218</v>
      </c>
      <c r="I47" s="2" t="s">
        <v>228</v>
      </c>
      <c r="J47" s="2" t="s">
        <v>333</v>
      </c>
      <c r="K47" s="2" t="s">
        <v>334</v>
      </c>
      <c r="L47" s="2" t="s">
        <v>335</v>
      </c>
    </row>
    <row r="48" customFormat="false" ht="15" hidden="false" customHeight="false" outlineLevel="0" collapsed="false">
      <c r="A48" s="2" t="s">
        <v>336</v>
      </c>
      <c r="B48" s="10" t="s">
        <v>337</v>
      </c>
      <c r="C48" s="2" t="s">
        <v>329</v>
      </c>
      <c r="D48" s="44" t="n">
        <v>72</v>
      </c>
      <c r="E48" s="2" t="s">
        <v>330</v>
      </c>
      <c r="F48" s="2" t="s">
        <v>331</v>
      </c>
      <c r="G48" s="2" t="s">
        <v>332</v>
      </c>
      <c r="H48" s="2" t="s">
        <v>218</v>
      </c>
      <c r="I48" s="2" t="s">
        <v>228</v>
      </c>
      <c r="J48" s="2" t="s">
        <v>333</v>
      </c>
      <c r="K48" s="2" t="s">
        <v>334</v>
      </c>
      <c r="L48" s="2" t="s">
        <v>335</v>
      </c>
    </row>
    <row r="49" customFormat="false" ht="15" hidden="false" customHeight="false" outlineLevel="0" collapsed="false">
      <c r="A49" s="2" t="s">
        <v>338</v>
      </c>
      <c r="B49" s="10" t="s">
        <v>339</v>
      </c>
      <c r="C49" s="2" t="s">
        <v>329</v>
      </c>
      <c r="D49" s="44" t="n">
        <v>77.3</v>
      </c>
      <c r="E49" s="2" t="s">
        <v>330</v>
      </c>
      <c r="F49" s="2" t="s">
        <v>331</v>
      </c>
      <c r="G49" s="2" t="s">
        <v>332</v>
      </c>
      <c r="H49" s="2" t="s">
        <v>218</v>
      </c>
      <c r="I49" s="2" t="s">
        <v>228</v>
      </c>
      <c r="J49" s="2" t="s">
        <v>333</v>
      </c>
      <c r="K49" s="2" t="s">
        <v>334</v>
      </c>
      <c r="L49" s="2" t="s">
        <v>335</v>
      </c>
    </row>
    <row r="50" customFormat="false" ht="15" hidden="false" customHeight="false" outlineLevel="0" collapsed="false">
      <c r="A50" s="2" t="s">
        <v>340</v>
      </c>
      <c r="B50" s="10" t="s">
        <v>341</v>
      </c>
      <c r="C50" s="2" t="s">
        <v>329</v>
      </c>
      <c r="D50" s="44" t="n">
        <v>87.5</v>
      </c>
      <c r="E50" s="2" t="s">
        <v>330</v>
      </c>
      <c r="F50" s="2" t="s">
        <v>331</v>
      </c>
      <c r="G50" s="2" t="s">
        <v>332</v>
      </c>
      <c r="H50" s="2" t="s">
        <v>218</v>
      </c>
      <c r="I50" s="2" t="s">
        <v>228</v>
      </c>
      <c r="J50" s="2" t="s">
        <v>333</v>
      </c>
      <c r="K50" s="2" t="s">
        <v>334</v>
      </c>
      <c r="L50" s="2" t="s">
        <v>335</v>
      </c>
    </row>
    <row r="51" customFormat="false" ht="15" hidden="false" customHeight="false" outlineLevel="0" collapsed="false">
      <c r="A51" s="2" t="s">
        <v>342</v>
      </c>
      <c r="B51" s="10" t="s">
        <v>343</v>
      </c>
      <c r="C51" s="2" t="s">
        <v>329</v>
      </c>
      <c r="D51" s="44" t="n">
        <v>88.6</v>
      </c>
      <c r="E51" s="2" t="s">
        <v>330</v>
      </c>
      <c r="F51" s="2" t="s">
        <v>331</v>
      </c>
      <c r="G51" s="2" t="s">
        <v>332</v>
      </c>
      <c r="H51" s="2" t="s">
        <v>218</v>
      </c>
      <c r="I51" s="2" t="s">
        <v>228</v>
      </c>
      <c r="J51" s="2" t="s">
        <v>333</v>
      </c>
      <c r="K51" s="2" t="s">
        <v>334</v>
      </c>
      <c r="L51" s="2" t="s">
        <v>335</v>
      </c>
    </row>
    <row r="52" customFormat="false" ht="15" hidden="false" customHeight="false" outlineLevel="0" collapsed="false">
      <c r="A52" s="2" t="s">
        <v>344</v>
      </c>
      <c r="B52" s="10" t="s">
        <v>345</v>
      </c>
      <c r="C52" s="2" t="s">
        <v>329</v>
      </c>
      <c r="D52" s="44" t="n">
        <v>91.7</v>
      </c>
      <c r="E52" s="2" t="s">
        <v>330</v>
      </c>
      <c r="F52" s="2" t="s">
        <v>331</v>
      </c>
      <c r="G52" s="2" t="s">
        <v>332</v>
      </c>
      <c r="H52" s="2" t="s">
        <v>218</v>
      </c>
      <c r="I52" s="2" t="s">
        <v>228</v>
      </c>
      <c r="J52" s="2" t="s">
        <v>333</v>
      </c>
      <c r="K52" s="2" t="s">
        <v>334</v>
      </c>
      <c r="L52" s="2" t="s">
        <v>335</v>
      </c>
    </row>
    <row r="53" customFormat="false" ht="15" hidden="false" customHeight="false" outlineLevel="0" collapsed="false">
      <c r="A53" s="2" t="s">
        <v>346</v>
      </c>
      <c r="B53" s="10" t="s">
        <v>347</v>
      </c>
      <c r="C53" s="2" t="s">
        <v>329</v>
      </c>
      <c r="D53" s="44" t="n">
        <v>93.1</v>
      </c>
      <c r="E53" s="2" t="s">
        <v>330</v>
      </c>
      <c r="F53" s="2" t="s">
        <v>331</v>
      </c>
      <c r="G53" s="2" t="s">
        <v>332</v>
      </c>
      <c r="H53" s="2" t="s">
        <v>218</v>
      </c>
      <c r="I53" s="2" t="s">
        <v>228</v>
      </c>
      <c r="J53" s="2" t="s">
        <v>333</v>
      </c>
      <c r="K53" s="2" t="s">
        <v>334</v>
      </c>
      <c r="L53" s="2" t="s">
        <v>335</v>
      </c>
    </row>
    <row r="54" customFormat="false" ht="15" hidden="false" customHeight="false" outlineLevel="0" collapsed="false">
      <c r="A54" s="2" t="s">
        <v>348</v>
      </c>
      <c r="B54" s="10" t="s">
        <v>349</v>
      </c>
      <c r="C54" s="2" t="s">
        <v>329</v>
      </c>
      <c r="D54" s="44" t="n">
        <v>98.9</v>
      </c>
      <c r="E54" s="2" t="s">
        <v>330</v>
      </c>
      <c r="F54" s="2" t="s">
        <v>331</v>
      </c>
      <c r="G54" s="2" t="s">
        <v>332</v>
      </c>
      <c r="H54" s="2" t="s">
        <v>218</v>
      </c>
      <c r="I54" s="2" t="s">
        <v>228</v>
      </c>
      <c r="J54" s="2" t="s">
        <v>333</v>
      </c>
      <c r="K54" s="2" t="s">
        <v>334</v>
      </c>
      <c r="L54" s="2" t="s">
        <v>335</v>
      </c>
    </row>
    <row r="55" customFormat="false" ht="15" hidden="false" customHeight="false" outlineLevel="0" collapsed="false">
      <c r="A55" s="2" t="s">
        <v>350</v>
      </c>
      <c r="B55" s="10" t="s">
        <v>351</v>
      </c>
      <c r="C55" s="2" t="s">
        <v>329</v>
      </c>
      <c r="D55" s="44" t="n">
        <v>101</v>
      </c>
      <c r="E55" s="2" t="s">
        <v>330</v>
      </c>
      <c r="F55" s="2" t="s">
        <v>331</v>
      </c>
      <c r="G55" s="2" t="s">
        <v>332</v>
      </c>
      <c r="H55" s="2" t="s">
        <v>218</v>
      </c>
      <c r="I55" s="2" t="s">
        <v>228</v>
      </c>
      <c r="J55" s="2" t="s">
        <v>333</v>
      </c>
      <c r="K55" s="2" t="s">
        <v>334</v>
      </c>
      <c r="L55" s="2" t="s">
        <v>335</v>
      </c>
    </row>
    <row r="56" customFormat="false" ht="15" hidden="false" customHeight="false" outlineLevel="0" collapsed="false">
      <c r="A56" s="2" t="s">
        <v>352</v>
      </c>
      <c r="B56" s="10" t="s">
        <v>353</v>
      </c>
      <c r="C56" s="2" t="s">
        <v>354</v>
      </c>
      <c r="D56" s="26" t="n">
        <v>50</v>
      </c>
      <c r="E56" s="2" t="s">
        <v>330</v>
      </c>
      <c r="F56" s="2" t="s">
        <v>216</v>
      </c>
      <c r="G56" s="2" t="s">
        <v>309</v>
      </c>
      <c r="H56" s="2" t="s">
        <v>186</v>
      </c>
      <c r="I56" s="2" t="s">
        <v>309</v>
      </c>
      <c r="J56" s="2" t="s">
        <v>333</v>
      </c>
      <c r="K56" s="2" t="s">
        <v>355</v>
      </c>
      <c r="L56" s="2" t="s">
        <v>335</v>
      </c>
    </row>
    <row r="57" customFormat="false" ht="15" hidden="false" customHeight="false" outlineLevel="0" collapsed="false">
      <c r="A57" s="2" t="s">
        <v>356</v>
      </c>
      <c r="B57" s="10" t="s">
        <v>357</v>
      </c>
      <c r="C57" s="2" t="s">
        <v>358</v>
      </c>
      <c r="D57" s="44" t="n">
        <v>17.6</v>
      </c>
      <c r="E57" s="2" t="s">
        <v>53</v>
      </c>
      <c r="F57" s="2" t="s">
        <v>359</v>
      </c>
      <c r="G57" s="2" t="s">
        <v>360</v>
      </c>
      <c r="H57" s="2" t="s">
        <v>218</v>
      </c>
      <c r="I57" s="2" t="s">
        <v>219</v>
      </c>
      <c r="J57" s="2" t="s">
        <v>284</v>
      </c>
      <c r="K57" s="2" t="s">
        <v>361</v>
      </c>
      <c r="L57" s="2" t="s">
        <v>362</v>
      </c>
    </row>
    <row r="58" customFormat="false" ht="15" hidden="false" customHeight="false" outlineLevel="0" collapsed="false">
      <c r="A58" s="2" t="s">
        <v>363</v>
      </c>
      <c r="B58" s="10" t="s">
        <v>364</v>
      </c>
      <c r="C58" s="2" t="s">
        <v>365</v>
      </c>
      <c r="D58" s="44" t="n">
        <v>20</v>
      </c>
      <c r="E58" s="2" t="s">
        <v>53</v>
      </c>
      <c r="F58" s="2" t="s">
        <v>359</v>
      </c>
      <c r="G58" s="2" t="s">
        <v>366</v>
      </c>
      <c r="H58" s="2" t="s">
        <v>186</v>
      </c>
      <c r="I58" s="2" t="s">
        <v>187</v>
      </c>
      <c r="J58" s="2" t="s">
        <v>284</v>
      </c>
      <c r="K58" s="2" t="s">
        <v>361</v>
      </c>
      <c r="L58" s="2" t="s">
        <v>367</v>
      </c>
    </row>
    <row r="59" customFormat="false" ht="15" hidden="false" customHeight="false" outlineLevel="0" collapsed="false">
      <c r="A59" s="2" t="s">
        <v>368</v>
      </c>
      <c r="B59" s="10" t="s">
        <v>369</v>
      </c>
      <c r="C59" s="2" t="s">
        <v>370</v>
      </c>
      <c r="D59" s="44" t="n">
        <v>11.3</v>
      </c>
      <c r="E59" s="2" t="s">
        <v>53</v>
      </c>
      <c r="F59" s="2" t="s">
        <v>216</v>
      </c>
      <c r="G59" s="2" t="s">
        <v>371</v>
      </c>
      <c r="H59" s="2" t="s">
        <v>186</v>
      </c>
      <c r="I59" s="2" t="s">
        <v>187</v>
      </c>
      <c r="J59" s="2" t="s">
        <v>284</v>
      </c>
      <c r="K59" s="2" t="s">
        <v>361</v>
      </c>
      <c r="L59" s="2" t="s">
        <v>273</v>
      </c>
    </row>
    <row r="60" customFormat="false" ht="15" hidden="false" customHeight="false" outlineLevel="0" collapsed="false">
      <c r="A60" s="2" t="s">
        <v>372</v>
      </c>
      <c r="B60" s="10" t="s">
        <v>373</v>
      </c>
      <c r="C60" s="2" t="s">
        <v>374</v>
      </c>
      <c r="D60" s="38" t="n">
        <v>584000</v>
      </c>
      <c r="E60" s="2" t="s">
        <v>375</v>
      </c>
      <c r="F60" s="2" t="s">
        <v>216</v>
      </c>
      <c r="G60" s="2" t="s">
        <v>376</v>
      </c>
      <c r="H60" s="2" t="s">
        <v>218</v>
      </c>
      <c r="I60" s="2" t="s">
        <v>219</v>
      </c>
      <c r="J60" s="2" t="s">
        <v>284</v>
      </c>
      <c r="K60" s="2" t="s">
        <v>361</v>
      </c>
      <c r="L60" s="2" t="s">
        <v>273</v>
      </c>
    </row>
    <row r="61" customFormat="false" ht="15" hidden="false" customHeight="false" outlineLevel="0" collapsed="false">
      <c r="A61" s="2" t="s">
        <v>377</v>
      </c>
      <c r="B61" s="10" t="s">
        <v>378</v>
      </c>
      <c r="C61" s="2" t="s">
        <v>379</v>
      </c>
      <c r="D61" s="40" t="n">
        <v>0.21</v>
      </c>
      <c r="E61" s="2" t="s">
        <v>29</v>
      </c>
      <c r="F61" s="2" t="s">
        <v>216</v>
      </c>
      <c r="G61" s="2" t="s">
        <v>380</v>
      </c>
      <c r="H61" s="2" t="s">
        <v>218</v>
      </c>
      <c r="I61" s="2" t="s">
        <v>219</v>
      </c>
      <c r="J61" s="2" t="s">
        <v>284</v>
      </c>
      <c r="K61" s="2" t="s">
        <v>361</v>
      </c>
      <c r="L61" s="2" t="s">
        <v>273</v>
      </c>
    </row>
    <row r="62" customFormat="false" ht="15" hidden="false" customHeight="false" outlineLevel="0" collapsed="false">
      <c r="A62" s="2" t="s">
        <v>381</v>
      </c>
      <c r="B62" s="10" t="s">
        <v>382</v>
      </c>
      <c r="C62" s="2" t="s">
        <v>383</v>
      </c>
      <c r="D62" s="38" t="n">
        <v>100</v>
      </c>
      <c r="E62" s="2" t="s">
        <v>384</v>
      </c>
      <c r="F62" s="2" t="s">
        <v>216</v>
      </c>
      <c r="G62" s="2" t="s">
        <v>385</v>
      </c>
      <c r="H62" s="2" t="s">
        <v>186</v>
      </c>
      <c r="I62" s="2" t="s">
        <v>259</v>
      </c>
      <c r="J62" s="2" t="s">
        <v>284</v>
      </c>
      <c r="K62" s="2" t="s">
        <v>386</v>
      </c>
      <c r="L62" s="2" t="s">
        <v>273</v>
      </c>
    </row>
    <row r="63" customFormat="false" ht="15" hidden="false" customHeight="false" outlineLevel="0" collapsed="false">
      <c r="A63" s="2" t="s">
        <v>387</v>
      </c>
      <c r="B63" s="10" t="s">
        <v>388</v>
      </c>
      <c r="C63" s="2" t="s">
        <v>389</v>
      </c>
      <c r="D63" s="38" t="n">
        <v>150</v>
      </c>
      <c r="E63" s="2" t="s">
        <v>384</v>
      </c>
      <c r="F63" s="2" t="s">
        <v>216</v>
      </c>
      <c r="G63" s="2" t="s">
        <v>326</v>
      </c>
      <c r="H63" s="2" t="s">
        <v>186</v>
      </c>
      <c r="I63" s="2" t="s">
        <v>259</v>
      </c>
      <c r="J63" s="2" t="s">
        <v>284</v>
      </c>
      <c r="K63" s="2" t="s">
        <v>386</v>
      </c>
      <c r="L63" s="2" t="s">
        <v>273</v>
      </c>
    </row>
    <row r="64" customFormat="false" ht="15" hidden="false" customHeight="false" outlineLevel="0" collapsed="false">
      <c r="A64" s="2" t="s">
        <v>390</v>
      </c>
      <c r="B64" s="10" t="s">
        <v>391</v>
      </c>
      <c r="C64" s="2" t="s">
        <v>392</v>
      </c>
      <c r="D64" s="37" t="n">
        <v>14000</v>
      </c>
      <c r="E64" s="2" t="s">
        <v>62</v>
      </c>
      <c r="F64" s="2" t="s">
        <v>393</v>
      </c>
      <c r="G64" s="2" t="s">
        <v>394</v>
      </c>
      <c r="H64" s="2" t="s">
        <v>218</v>
      </c>
      <c r="I64" s="2" t="s">
        <v>228</v>
      </c>
      <c r="J64" s="2" t="s">
        <v>284</v>
      </c>
      <c r="K64" s="2" t="s">
        <v>395</v>
      </c>
      <c r="L64" s="2" t="s">
        <v>221</v>
      </c>
    </row>
    <row r="65" customFormat="false" ht="15" hidden="false" customHeight="false" outlineLevel="0" collapsed="false">
      <c r="A65" s="2" t="s">
        <v>396</v>
      </c>
      <c r="B65" s="10" t="s">
        <v>397</v>
      </c>
      <c r="C65" s="2" t="s">
        <v>398</v>
      </c>
      <c r="D65" s="38" t="n">
        <v>530</v>
      </c>
      <c r="E65" s="2" t="s">
        <v>45</v>
      </c>
      <c r="F65" s="2" t="s">
        <v>393</v>
      </c>
      <c r="G65" s="2" t="s">
        <v>399</v>
      </c>
      <c r="H65" s="2" t="s">
        <v>218</v>
      </c>
      <c r="I65" s="2" t="s">
        <v>228</v>
      </c>
      <c r="J65" s="2" t="s">
        <v>284</v>
      </c>
      <c r="K65" s="2" t="s">
        <v>395</v>
      </c>
      <c r="L65" s="2" t="s">
        <v>221</v>
      </c>
    </row>
    <row r="66" customFormat="false" ht="15" hidden="false" customHeight="false" outlineLevel="0" collapsed="false">
      <c r="A66" s="2" t="s">
        <v>400</v>
      </c>
      <c r="B66" s="10" t="s">
        <v>401</v>
      </c>
      <c r="C66" s="2" t="s">
        <v>402</v>
      </c>
      <c r="D66" s="38" t="n">
        <v>15</v>
      </c>
      <c r="E66" s="2" t="s">
        <v>36</v>
      </c>
      <c r="F66" s="2" t="s">
        <v>393</v>
      </c>
      <c r="G66" s="2" t="s">
        <v>403</v>
      </c>
      <c r="H66" s="2" t="s">
        <v>218</v>
      </c>
      <c r="I66" s="2" t="s">
        <v>228</v>
      </c>
      <c r="J66" s="2" t="s">
        <v>284</v>
      </c>
      <c r="K66" s="2" t="s">
        <v>395</v>
      </c>
      <c r="L66" s="2" t="s">
        <v>221</v>
      </c>
    </row>
    <row r="67" customFormat="false" ht="15" hidden="false" customHeight="false" outlineLevel="0" collapsed="false">
      <c r="A67" s="2" t="s">
        <v>404</v>
      </c>
      <c r="B67" s="10" t="s">
        <v>405</v>
      </c>
      <c r="C67" s="2" t="s">
        <v>406</v>
      </c>
      <c r="D67" s="37" t="n">
        <v>19600</v>
      </c>
      <c r="E67" s="2" t="s">
        <v>62</v>
      </c>
      <c r="F67" s="2" t="s">
        <v>407</v>
      </c>
      <c r="G67" s="2" t="s">
        <v>408</v>
      </c>
      <c r="H67" s="2" t="s">
        <v>218</v>
      </c>
      <c r="I67" s="2" t="s">
        <v>228</v>
      </c>
      <c r="J67" s="2" t="s">
        <v>284</v>
      </c>
      <c r="K67" s="2" t="s">
        <v>409</v>
      </c>
      <c r="L67" s="2" t="s">
        <v>221</v>
      </c>
    </row>
    <row r="68" customFormat="false" ht="15" hidden="false" customHeight="false" outlineLevel="0" collapsed="false">
      <c r="A68" s="2" t="s">
        <v>410</v>
      </c>
      <c r="B68" s="10" t="s">
        <v>411</v>
      </c>
      <c r="C68" s="2" t="s">
        <v>412</v>
      </c>
      <c r="D68" s="38" t="n">
        <v>704</v>
      </c>
      <c r="E68" s="2" t="s">
        <v>45</v>
      </c>
      <c r="F68" s="2" t="s">
        <v>407</v>
      </c>
      <c r="G68" s="2" t="s">
        <v>413</v>
      </c>
      <c r="H68" s="2" t="s">
        <v>218</v>
      </c>
      <c r="I68" s="2" t="s">
        <v>228</v>
      </c>
      <c r="J68" s="2" t="s">
        <v>284</v>
      </c>
      <c r="K68" s="2" t="s">
        <v>409</v>
      </c>
      <c r="L68" s="2" t="s">
        <v>221</v>
      </c>
    </row>
    <row r="69" customFormat="false" ht="15" hidden="false" customHeight="false" outlineLevel="0" collapsed="false">
      <c r="A69" s="2" t="s">
        <v>414</v>
      </c>
      <c r="B69" s="10" t="s">
        <v>415</v>
      </c>
      <c r="C69" s="2" t="s">
        <v>412</v>
      </c>
      <c r="D69" s="38" t="n">
        <v>15</v>
      </c>
      <c r="E69" s="2" t="s">
        <v>36</v>
      </c>
      <c r="F69" s="2" t="s">
        <v>407</v>
      </c>
      <c r="G69" s="2" t="s">
        <v>413</v>
      </c>
      <c r="H69" s="2" t="s">
        <v>218</v>
      </c>
      <c r="I69" s="2" t="s">
        <v>228</v>
      </c>
      <c r="J69" s="2" t="s">
        <v>284</v>
      </c>
      <c r="K69" s="2" t="s">
        <v>409</v>
      </c>
      <c r="L69" s="2" t="s">
        <v>221</v>
      </c>
    </row>
    <row r="70" customFormat="false" ht="15" hidden="false" customHeight="false" outlineLevel="0" collapsed="false">
      <c r="A70" s="2" t="s">
        <v>416</v>
      </c>
      <c r="B70" s="10" t="s">
        <v>417</v>
      </c>
      <c r="C70" s="2" t="s">
        <v>418</v>
      </c>
      <c r="D70" s="37" t="n">
        <v>9100</v>
      </c>
      <c r="E70" s="2" t="s">
        <v>62</v>
      </c>
      <c r="F70" s="2" t="s">
        <v>419</v>
      </c>
      <c r="G70" s="2" t="s">
        <v>420</v>
      </c>
      <c r="H70" s="2" t="s">
        <v>218</v>
      </c>
      <c r="I70" s="2" t="s">
        <v>219</v>
      </c>
      <c r="J70" s="2" t="s">
        <v>284</v>
      </c>
      <c r="K70" s="2" t="s">
        <v>421</v>
      </c>
      <c r="L70" s="2" t="s">
        <v>221</v>
      </c>
    </row>
    <row r="71" customFormat="false" ht="15" hidden="false" customHeight="false" outlineLevel="0" collapsed="false">
      <c r="A71" s="2" t="s">
        <v>422</v>
      </c>
      <c r="B71" s="10" t="s">
        <v>423</v>
      </c>
      <c r="C71" s="2" t="s">
        <v>424</v>
      </c>
      <c r="D71" s="38" t="n">
        <v>191</v>
      </c>
      <c r="E71" s="2" t="s">
        <v>45</v>
      </c>
      <c r="F71" s="2" t="s">
        <v>419</v>
      </c>
      <c r="G71" s="2" t="s">
        <v>425</v>
      </c>
      <c r="H71" s="2" t="s">
        <v>218</v>
      </c>
      <c r="I71" s="2" t="s">
        <v>219</v>
      </c>
      <c r="J71" s="2" t="s">
        <v>284</v>
      </c>
      <c r="K71" s="2" t="s">
        <v>421</v>
      </c>
      <c r="L71" s="2" t="s">
        <v>221</v>
      </c>
    </row>
    <row r="72" customFormat="false" ht="15" hidden="false" customHeight="false" outlineLevel="0" collapsed="false">
      <c r="A72" s="2" t="s">
        <v>426</v>
      </c>
      <c r="B72" s="10" t="s">
        <v>427</v>
      </c>
      <c r="C72" s="2" t="s">
        <v>428</v>
      </c>
      <c r="D72" s="38" t="n">
        <v>20</v>
      </c>
      <c r="E72" s="2" t="s">
        <v>36</v>
      </c>
      <c r="F72" s="2" t="s">
        <v>419</v>
      </c>
      <c r="G72" s="2" t="s">
        <v>429</v>
      </c>
      <c r="H72" s="2" t="s">
        <v>218</v>
      </c>
      <c r="I72" s="2" t="s">
        <v>219</v>
      </c>
      <c r="J72" s="2" t="s">
        <v>284</v>
      </c>
      <c r="K72" s="2" t="s">
        <v>421</v>
      </c>
      <c r="L72" s="2" t="s">
        <v>221</v>
      </c>
    </row>
    <row r="73" customFormat="false" ht="15" hidden="false" customHeight="false" outlineLevel="0" collapsed="false">
      <c r="A73" s="2" t="s">
        <v>430</v>
      </c>
      <c r="B73" s="10" t="s">
        <v>431</v>
      </c>
      <c r="C73" s="2" t="s">
        <v>432</v>
      </c>
      <c r="D73" s="17" t="n">
        <f aca="false">01_Data!$D$64/01_Data!$D$65/01_Data!$D$66</f>
        <v>1.76100628930818</v>
      </c>
      <c r="E73" s="2" t="s">
        <v>50</v>
      </c>
      <c r="F73" s="2" t="s">
        <v>393</v>
      </c>
      <c r="G73" s="2" t="s">
        <v>433</v>
      </c>
      <c r="H73" s="2" t="s">
        <v>218</v>
      </c>
      <c r="I73" s="2" t="s">
        <v>434</v>
      </c>
      <c r="J73" s="2" t="s">
        <v>284</v>
      </c>
      <c r="K73" s="2" t="s">
        <v>395</v>
      </c>
      <c r="L73" s="2" t="s">
        <v>435</v>
      </c>
    </row>
    <row r="74" customFormat="false" ht="15" hidden="false" customHeight="false" outlineLevel="0" collapsed="false">
      <c r="A74" s="2" t="s">
        <v>436</v>
      </c>
      <c r="B74" s="10" t="s">
        <v>437</v>
      </c>
      <c r="C74" s="2" t="s">
        <v>438</v>
      </c>
      <c r="D74" s="17" t="n">
        <f aca="false">01_Data!$D$67/01_Data!$D$68/01_Data!$D$69</f>
        <v>1.85606060606061</v>
      </c>
      <c r="E74" s="2" t="s">
        <v>50</v>
      </c>
      <c r="F74" s="2" t="s">
        <v>407</v>
      </c>
      <c r="G74" s="2" t="s">
        <v>439</v>
      </c>
      <c r="H74" s="2" t="s">
        <v>218</v>
      </c>
      <c r="I74" s="2" t="s">
        <v>434</v>
      </c>
      <c r="J74" s="2" t="s">
        <v>284</v>
      </c>
      <c r="K74" s="2" t="s">
        <v>409</v>
      </c>
      <c r="L74" s="2" t="s">
        <v>435</v>
      </c>
    </row>
    <row r="75" customFormat="false" ht="15" hidden="false" customHeight="false" outlineLevel="0" collapsed="false">
      <c r="A75" s="2" t="s">
        <v>440</v>
      </c>
      <c r="B75" s="10" t="s">
        <v>441</v>
      </c>
      <c r="C75" s="2" t="s">
        <v>442</v>
      </c>
      <c r="D75" s="17" t="n">
        <f aca="false">01_Data!$D$70/01_Data!$D$71/01_Data!$D$72</f>
        <v>2.38219895287958</v>
      </c>
      <c r="E75" s="2" t="s">
        <v>50</v>
      </c>
      <c r="F75" s="2" t="s">
        <v>419</v>
      </c>
      <c r="G75" s="2" t="s">
        <v>443</v>
      </c>
      <c r="H75" s="2" t="s">
        <v>218</v>
      </c>
      <c r="I75" s="2" t="s">
        <v>444</v>
      </c>
      <c r="J75" s="2" t="s">
        <v>284</v>
      </c>
      <c r="K75" s="2" t="s">
        <v>421</v>
      </c>
      <c r="L75" s="2" t="s">
        <v>435</v>
      </c>
    </row>
    <row r="76" customFormat="false" ht="15" hidden="false" customHeight="false" outlineLevel="0" collapsed="false">
      <c r="A76" s="2" t="s">
        <v>445</v>
      </c>
      <c r="B76" s="10" t="s">
        <v>446</v>
      </c>
      <c r="C76" s="2" t="s">
        <v>447</v>
      </c>
      <c r="D76" s="38" t="n">
        <v>180</v>
      </c>
      <c r="E76" s="2" t="s">
        <v>384</v>
      </c>
      <c r="F76" s="2" t="s">
        <v>216</v>
      </c>
      <c r="G76" s="2" t="s">
        <v>448</v>
      </c>
      <c r="H76" s="2" t="s">
        <v>186</v>
      </c>
      <c r="I76" s="2" t="s">
        <v>187</v>
      </c>
      <c r="J76" s="2" t="s">
        <v>284</v>
      </c>
      <c r="K76" s="2" t="s">
        <v>386</v>
      </c>
      <c r="L76" s="2" t="s">
        <v>273</v>
      </c>
    </row>
    <row r="77" customFormat="false" ht="15" hidden="false" customHeight="false" outlineLevel="0" collapsed="false">
      <c r="A77" s="2" t="s">
        <v>449</v>
      </c>
      <c r="B77" s="10" t="s">
        <v>450</v>
      </c>
      <c r="C77" s="2" t="s">
        <v>447</v>
      </c>
      <c r="D77" s="38" t="n">
        <v>400</v>
      </c>
      <c r="E77" s="2" t="s">
        <v>384</v>
      </c>
      <c r="F77" s="2" t="s">
        <v>216</v>
      </c>
      <c r="G77" s="2" t="s">
        <v>448</v>
      </c>
      <c r="H77" s="2" t="s">
        <v>186</v>
      </c>
      <c r="I77" s="2" t="s">
        <v>187</v>
      </c>
      <c r="J77" s="2" t="s">
        <v>284</v>
      </c>
      <c r="K77" s="2" t="s">
        <v>386</v>
      </c>
      <c r="L77" s="2" t="s">
        <v>273</v>
      </c>
    </row>
    <row r="78" customFormat="false" ht="15" hidden="false" customHeight="false" outlineLevel="0" collapsed="false">
      <c r="A78" s="2" t="s">
        <v>451</v>
      </c>
      <c r="B78" s="10" t="s">
        <v>452</v>
      </c>
      <c r="C78" s="2" t="s">
        <v>453</v>
      </c>
      <c r="D78" s="37" t="n">
        <v>45000</v>
      </c>
      <c r="E78" s="2" t="s">
        <v>62</v>
      </c>
      <c r="F78" s="2" t="s">
        <v>454</v>
      </c>
      <c r="G78" s="2" t="s">
        <v>455</v>
      </c>
      <c r="H78" s="2" t="s">
        <v>218</v>
      </c>
      <c r="I78" s="2" t="s">
        <v>219</v>
      </c>
      <c r="J78" s="2" t="s">
        <v>284</v>
      </c>
      <c r="K78" s="2" t="s">
        <v>456</v>
      </c>
      <c r="L78" s="2" t="s">
        <v>221</v>
      </c>
    </row>
    <row r="79" customFormat="false" ht="15" hidden="false" customHeight="false" outlineLevel="0" collapsed="false">
      <c r="A79" s="2" t="s">
        <v>457</v>
      </c>
      <c r="B79" s="10" t="s">
        <v>458</v>
      </c>
      <c r="C79" s="2" t="s">
        <v>459</v>
      </c>
      <c r="D79" s="38" t="n">
        <v>460</v>
      </c>
      <c r="E79" s="2" t="s">
        <v>45</v>
      </c>
      <c r="F79" s="2" t="s">
        <v>454</v>
      </c>
      <c r="G79" s="2" t="s">
        <v>460</v>
      </c>
      <c r="H79" s="2" t="s">
        <v>186</v>
      </c>
      <c r="I79" s="2" t="s">
        <v>259</v>
      </c>
      <c r="J79" s="2" t="s">
        <v>284</v>
      </c>
      <c r="K79" s="2" t="s">
        <v>461</v>
      </c>
      <c r="L79" s="2" t="s">
        <v>221</v>
      </c>
    </row>
    <row r="80" customFormat="false" ht="15" hidden="false" customHeight="false" outlineLevel="0" collapsed="false">
      <c r="A80" s="2" t="s">
        <v>462</v>
      </c>
      <c r="B80" s="10" t="s">
        <v>463</v>
      </c>
      <c r="C80" s="2" t="s">
        <v>464</v>
      </c>
      <c r="D80" s="38" t="n">
        <v>6</v>
      </c>
      <c r="E80" s="2" t="s">
        <v>36</v>
      </c>
      <c r="F80" s="2" t="s">
        <v>454</v>
      </c>
      <c r="G80" s="2" t="s">
        <v>465</v>
      </c>
      <c r="H80" s="2" t="s">
        <v>218</v>
      </c>
      <c r="I80" s="2" t="s">
        <v>219</v>
      </c>
      <c r="J80" s="2" t="s">
        <v>284</v>
      </c>
      <c r="K80" s="2" t="s">
        <v>461</v>
      </c>
      <c r="L80" s="2" t="s">
        <v>221</v>
      </c>
    </row>
    <row r="81" customFormat="false" ht="15" hidden="false" customHeight="false" outlineLevel="0" collapsed="false">
      <c r="A81" s="2" t="s">
        <v>466</v>
      </c>
      <c r="B81" s="10" t="s">
        <v>467</v>
      </c>
      <c r="C81" s="2" t="s">
        <v>468</v>
      </c>
      <c r="D81" s="37" t="n">
        <v>10000</v>
      </c>
      <c r="E81" s="2" t="s">
        <v>62</v>
      </c>
      <c r="F81" s="2" t="s">
        <v>469</v>
      </c>
      <c r="G81" s="2" t="s">
        <v>470</v>
      </c>
      <c r="H81" s="2" t="s">
        <v>186</v>
      </c>
      <c r="I81" s="2" t="s">
        <v>259</v>
      </c>
      <c r="J81" s="2" t="s">
        <v>284</v>
      </c>
      <c r="K81" s="2" t="s">
        <v>471</v>
      </c>
      <c r="L81" s="2" t="s">
        <v>221</v>
      </c>
    </row>
    <row r="82" customFormat="false" ht="15" hidden="false" customHeight="false" outlineLevel="0" collapsed="false">
      <c r="A82" s="2" t="s">
        <v>472</v>
      </c>
      <c r="B82" s="10" t="s">
        <v>473</v>
      </c>
      <c r="C82" s="2" t="s">
        <v>474</v>
      </c>
      <c r="D82" s="38" t="n">
        <v>133</v>
      </c>
      <c r="E82" s="2" t="s">
        <v>45</v>
      </c>
      <c r="F82" s="2" t="s">
        <v>469</v>
      </c>
      <c r="G82" s="2" t="s">
        <v>475</v>
      </c>
      <c r="H82" s="2" t="s">
        <v>186</v>
      </c>
      <c r="I82" s="2" t="s">
        <v>259</v>
      </c>
      <c r="J82" s="2" t="s">
        <v>284</v>
      </c>
      <c r="K82" s="2" t="s">
        <v>476</v>
      </c>
      <c r="L82" s="2" t="s">
        <v>221</v>
      </c>
    </row>
    <row r="83" customFormat="false" ht="15" hidden="false" customHeight="false" outlineLevel="0" collapsed="false">
      <c r="A83" s="2" t="s">
        <v>477</v>
      </c>
      <c r="B83" s="10" t="s">
        <v>478</v>
      </c>
      <c r="C83" s="2" t="s">
        <v>479</v>
      </c>
      <c r="D83" s="38" t="n">
        <v>6</v>
      </c>
      <c r="E83" s="2" t="s">
        <v>36</v>
      </c>
      <c r="F83" s="2" t="s">
        <v>469</v>
      </c>
      <c r="G83" s="2" t="s">
        <v>465</v>
      </c>
      <c r="H83" s="2" t="s">
        <v>186</v>
      </c>
      <c r="I83" s="2" t="s">
        <v>259</v>
      </c>
      <c r="J83" s="2" t="s">
        <v>284</v>
      </c>
      <c r="K83" s="2" t="s">
        <v>476</v>
      </c>
      <c r="L83" s="2" t="s">
        <v>221</v>
      </c>
    </row>
    <row r="84" customFormat="false" ht="15" hidden="false" customHeight="false" outlineLevel="0" collapsed="false">
      <c r="A84" s="2" t="s">
        <v>480</v>
      </c>
      <c r="B84" s="10" t="s">
        <v>481</v>
      </c>
      <c r="C84" s="2" t="s">
        <v>482</v>
      </c>
      <c r="D84" s="17" t="n">
        <f aca="false">01_Data!$D$78/01_Data!$D$79/01_Data!$D$80</f>
        <v>16.304347826087</v>
      </c>
      <c r="E84" s="2" t="s">
        <v>50</v>
      </c>
      <c r="F84" s="2" t="s">
        <v>483</v>
      </c>
      <c r="G84" s="2" t="s">
        <v>484</v>
      </c>
      <c r="H84" s="2" t="s">
        <v>186</v>
      </c>
      <c r="I84" s="2" t="s">
        <v>485</v>
      </c>
      <c r="J84" s="2" t="s">
        <v>188</v>
      </c>
      <c r="K84" s="2" t="s">
        <v>486</v>
      </c>
      <c r="L84" s="2" t="s">
        <v>435</v>
      </c>
    </row>
    <row r="85" customFormat="false" ht="15" hidden="false" customHeight="false" outlineLevel="0" collapsed="false">
      <c r="A85" s="2" t="s">
        <v>487</v>
      </c>
      <c r="B85" s="10" t="s">
        <v>488</v>
      </c>
      <c r="C85" s="2" t="s">
        <v>489</v>
      </c>
      <c r="D85" s="17" t="n">
        <f aca="false">01_Data!$D$81/01_Data!$D$82/01_Data!$D$83</f>
        <v>12.531328320802</v>
      </c>
      <c r="E85" s="2" t="s">
        <v>50</v>
      </c>
      <c r="F85" s="2" t="s">
        <v>483</v>
      </c>
      <c r="G85" s="2" t="s">
        <v>490</v>
      </c>
      <c r="H85" s="2" t="s">
        <v>186</v>
      </c>
      <c r="I85" s="2" t="s">
        <v>485</v>
      </c>
      <c r="J85" s="2" t="s">
        <v>188</v>
      </c>
      <c r="K85" s="2" t="s">
        <v>486</v>
      </c>
      <c r="L85" s="2" t="s">
        <v>435</v>
      </c>
    </row>
    <row r="86" customFormat="false" ht="15" hidden="false" customHeight="false" outlineLevel="0" collapsed="false">
      <c r="A86" s="34" t="s">
        <v>491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customFormat="false" ht="15" hidden="false" customHeight="false" outlineLevel="0" collapsed="false">
      <c r="A87" s="2" t="s">
        <v>492</v>
      </c>
      <c r="B87" s="10" t="s">
        <v>493</v>
      </c>
      <c r="C87" s="2" t="s">
        <v>494</v>
      </c>
      <c r="D87" s="40" t="n">
        <v>0.03</v>
      </c>
      <c r="E87" s="2" t="s">
        <v>29</v>
      </c>
      <c r="F87" s="2" t="s">
        <v>495</v>
      </c>
      <c r="G87" s="2" t="s">
        <v>496</v>
      </c>
      <c r="H87" s="2" t="s">
        <v>186</v>
      </c>
      <c r="I87" s="2" t="s">
        <v>259</v>
      </c>
      <c r="J87" s="2" t="s">
        <v>284</v>
      </c>
      <c r="K87" s="2" t="s">
        <v>497</v>
      </c>
      <c r="L87" s="2" t="s">
        <v>221</v>
      </c>
    </row>
    <row r="88" customFormat="false" ht="15" hidden="false" customHeight="false" outlineLevel="0" collapsed="false">
      <c r="A88" s="2" t="s">
        <v>498</v>
      </c>
      <c r="B88" s="10" t="s">
        <v>499</v>
      </c>
      <c r="C88" s="2" t="s">
        <v>500</v>
      </c>
      <c r="D88" s="40" t="n">
        <v>0.15</v>
      </c>
      <c r="E88" s="2" t="s">
        <v>29</v>
      </c>
      <c r="F88" s="2" t="s">
        <v>495</v>
      </c>
      <c r="G88" s="2" t="s">
        <v>501</v>
      </c>
      <c r="H88" s="2" t="s">
        <v>186</v>
      </c>
      <c r="I88" s="2" t="s">
        <v>259</v>
      </c>
      <c r="J88" s="2" t="s">
        <v>284</v>
      </c>
      <c r="K88" s="2" t="s">
        <v>497</v>
      </c>
      <c r="L88" s="2" t="s">
        <v>221</v>
      </c>
    </row>
    <row r="89" customFormat="false" ht="15" hidden="false" customHeight="false" outlineLevel="0" collapsed="false">
      <c r="A89" s="2" t="s">
        <v>502</v>
      </c>
      <c r="B89" s="10" t="s">
        <v>503</v>
      </c>
      <c r="C89" s="2" t="s">
        <v>500</v>
      </c>
      <c r="D89" s="40" t="n">
        <v>0.08</v>
      </c>
      <c r="E89" s="2" t="s">
        <v>29</v>
      </c>
      <c r="F89" s="2" t="s">
        <v>495</v>
      </c>
      <c r="G89" s="2" t="s">
        <v>501</v>
      </c>
      <c r="H89" s="2" t="s">
        <v>186</v>
      </c>
      <c r="I89" s="2" t="s">
        <v>259</v>
      </c>
      <c r="J89" s="2" t="s">
        <v>284</v>
      </c>
      <c r="K89" s="2" t="s">
        <v>497</v>
      </c>
      <c r="L89" s="2" t="s">
        <v>221</v>
      </c>
    </row>
    <row r="90" customFormat="false" ht="15" hidden="false" customHeight="false" outlineLevel="0" collapsed="false">
      <c r="A90" s="2" t="s">
        <v>504</v>
      </c>
      <c r="B90" s="10" t="s">
        <v>505</v>
      </c>
      <c r="C90" s="2" t="s">
        <v>500</v>
      </c>
      <c r="D90" s="40" t="n">
        <v>0.058</v>
      </c>
      <c r="E90" s="2" t="s">
        <v>29</v>
      </c>
      <c r="F90" s="2" t="s">
        <v>495</v>
      </c>
      <c r="G90" s="2" t="s">
        <v>501</v>
      </c>
      <c r="H90" s="2" t="s">
        <v>186</v>
      </c>
      <c r="I90" s="2" t="s">
        <v>259</v>
      </c>
      <c r="J90" s="2" t="s">
        <v>284</v>
      </c>
      <c r="K90" s="2" t="s">
        <v>497</v>
      </c>
      <c r="L90" s="2" t="s">
        <v>221</v>
      </c>
    </row>
    <row r="91" customFormat="false" ht="15" hidden="false" customHeight="false" outlineLevel="0" collapsed="false">
      <c r="A91" s="2" t="s">
        <v>506</v>
      </c>
      <c r="B91" s="10" t="s">
        <v>507</v>
      </c>
      <c r="C91" s="2" t="s">
        <v>500</v>
      </c>
      <c r="D91" s="40" t="n">
        <v>0.212</v>
      </c>
      <c r="E91" s="2" t="s">
        <v>29</v>
      </c>
      <c r="F91" s="2" t="s">
        <v>495</v>
      </c>
      <c r="G91" s="2" t="s">
        <v>501</v>
      </c>
      <c r="H91" s="2" t="s">
        <v>186</v>
      </c>
      <c r="I91" s="2" t="s">
        <v>259</v>
      </c>
      <c r="J91" s="2" t="s">
        <v>284</v>
      </c>
      <c r="K91" s="2" t="s">
        <v>497</v>
      </c>
      <c r="L91" s="2" t="s">
        <v>273</v>
      </c>
    </row>
    <row r="92" customFormat="false" ht="15" hidden="false" customHeight="false" outlineLevel="0" collapsed="false">
      <c r="A92" s="2" t="s">
        <v>508</v>
      </c>
      <c r="B92" s="10" t="s">
        <v>509</v>
      </c>
      <c r="C92" s="2" t="s">
        <v>510</v>
      </c>
      <c r="D92" s="38" t="n">
        <v>4000</v>
      </c>
      <c r="E92" s="2" t="s">
        <v>22</v>
      </c>
      <c r="F92" s="2" t="s">
        <v>216</v>
      </c>
      <c r="G92" s="2" t="s">
        <v>511</v>
      </c>
      <c r="H92" s="2" t="s">
        <v>186</v>
      </c>
      <c r="I92" s="2" t="s">
        <v>187</v>
      </c>
      <c r="J92" s="2" t="s">
        <v>284</v>
      </c>
      <c r="K92" s="2" t="s">
        <v>497</v>
      </c>
      <c r="L92" s="2" t="s">
        <v>273</v>
      </c>
    </row>
    <row r="93" customFormat="false" ht="15" hidden="false" customHeight="false" outlineLevel="0" collapsed="false">
      <c r="A93" s="2" t="s">
        <v>512</v>
      </c>
      <c r="B93" s="10" t="s">
        <v>513</v>
      </c>
      <c r="C93" s="2" t="s">
        <v>514</v>
      </c>
      <c r="D93" s="18" t="n">
        <v>0.02</v>
      </c>
      <c r="E93" s="2" t="s">
        <v>29</v>
      </c>
      <c r="F93" s="2" t="s">
        <v>216</v>
      </c>
      <c r="G93" s="2" t="s">
        <v>515</v>
      </c>
      <c r="H93" s="2" t="s">
        <v>516</v>
      </c>
      <c r="I93" s="2" t="s">
        <v>187</v>
      </c>
      <c r="J93" s="2" t="s">
        <v>284</v>
      </c>
      <c r="K93" s="2" t="s">
        <v>517</v>
      </c>
      <c r="L93" s="2" t="s">
        <v>221</v>
      </c>
    </row>
    <row r="94" customFormat="false" ht="15" hidden="false" customHeight="false" outlineLevel="0" collapsed="false">
      <c r="A94" s="2" t="s">
        <v>518</v>
      </c>
      <c r="B94" s="10" t="s">
        <v>519</v>
      </c>
      <c r="C94" s="2" t="s">
        <v>514</v>
      </c>
      <c r="D94" s="18" t="n">
        <v>0.05</v>
      </c>
      <c r="E94" s="2" t="s">
        <v>29</v>
      </c>
      <c r="F94" s="2" t="s">
        <v>216</v>
      </c>
      <c r="G94" s="2" t="s">
        <v>515</v>
      </c>
      <c r="H94" s="2" t="s">
        <v>516</v>
      </c>
      <c r="I94" s="2" t="s">
        <v>187</v>
      </c>
      <c r="J94" s="2" t="s">
        <v>284</v>
      </c>
      <c r="K94" s="2" t="s">
        <v>517</v>
      </c>
      <c r="L94" s="2" t="s">
        <v>221</v>
      </c>
    </row>
    <row r="95" customFormat="false" ht="15" hidden="false" customHeight="false" outlineLevel="0" collapsed="false">
      <c r="A95" s="2" t="s">
        <v>520</v>
      </c>
      <c r="B95" s="10" t="s">
        <v>521</v>
      </c>
      <c r="C95" s="2" t="s">
        <v>522</v>
      </c>
      <c r="D95" s="11" t="n">
        <v>60000</v>
      </c>
      <c r="E95" s="2" t="s">
        <v>183</v>
      </c>
      <c r="F95" s="2" t="s">
        <v>216</v>
      </c>
      <c r="G95" s="2" t="s">
        <v>523</v>
      </c>
      <c r="H95" s="2" t="s">
        <v>516</v>
      </c>
      <c r="I95" s="2" t="s">
        <v>187</v>
      </c>
      <c r="J95" s="2" t="s">
        <v>284</v>
      </c>
      <c r="K95" s="2" t="s">
        <v>517</v>
      </c>
      <c r="L95" s="2" t="s">
        <v>273</v>
      </c>
    </row>
    <row r="96" customFormat="false" ht="15" hidden="false" customHeight="false" outlineLevel="0" collapsed="false">
      <c r="A96" s="2" t="s">
        <v>524</v>
      </c>
      <c r="B96" s="10" t="s">
        <v>525</v>
      </c>
      <c r="C96" s="2" t="s">
        <v>526</v>
      </c>
      <c r="D96" s="11" t="n">
        <v>100000</v>
      </c>
      <c r="E96" s="2" t="s">
        <v>183</v>
      </c>
      <c r="F96" s="2" t="s">
        <v>216</v>
      </c>
      <c r="G96" s="2" t="s">
        <v>326</v>
      </c>
      <c r="H96" s="2" t="s">
        <v>516</v>
      </c>
      <c r="I96" s="2" t="s">
        <v>187</v>
      </c>
      <c r="J96" s="2" t="s">
        <v>284</v>
      </c>
      <c r="K96" s="2" t="s">
        <v>517</v>
      </c>
      <c r="L96" s="2" t="s">
        <v>273</v>
      </c>
    </row>
    <row r="97" customFormat="false" ht="15" hidden="false" customHeight="false" outlineLevel="0" collapsed="false">
      <c r="A97" s="2" t="s">
        <v>527</v>
      </c>
      <c r="B97" s="10" t="s">
        <v>528</v>
      </c>
      <c r="C97" s="2" t="s">
        <v>529</v>
      </c>
      <c r="D97" s="37" t="n">
        <v>78</v>
      </c>
      <c r="E97" s="2" t="s">
        <v>62</v>
      </c>
      <c r="F97" s="2" t="s">
        <v>530</v>
      </c>
      <c r="G97" s="2" t="s">
        <v>531</v>
      </c>
      <c r="H97" s="2" t="s">
        <v>186</v>
      </c>
      <c r="I97" s="2" t="s">
        <v>259</v>
      </c>
      <c r="J97" s="2" t="s">
        <v>284</v>
      </c>
      <c r="K97" s="2" t="s">
        <v>532</v>
      </c>
      <c r="L97" s="2" t="s">
        <v>533</v>
      </c>
    </row>
    <row r="98" customFormat="false" ht="15" hidden="false" customHeight="false" outlineLevel="0" collapsed="false">
      <c r="A98" s="2" t="s">
        <v>534</v>
      </c>
      <c r="B98" s="10" t="s">
        <v>535</v>
      </c>
      <c r="C98" s="2" t="s">
        <v>529</v>
      </c>
      <c r="D98" s="37" t="n">
        <v>191</v>
      </c>
      <c r="E98" s="2" t="s">
        <v>62</v>
      </c>
      <c r="F98" s="2" t="s">
        <v>530</v>
      </c>
      <c r="G98" s="2" t="s">
        <v>531</v>
      </c>
      <c r="H98" s="2" t="s">
        <v>186</v>
      </c>
      <c r="I98" s="2" t="s">
        <v>259</v>
      </c>
      <c r="J98" s="2" t="s">
        <v>284</v>
      </c>
      <c r="K98" s="2" t="s">
        <v>532</v>
      </c>
      <c r="L98" s="2" t="s">
        <v>533</v>
      </c>
    </row>
    <row r="99" customFormat="false" ht="15" hidden="false" customHeight="false" outlineLevel="0" collapsed="false">
      <c r="A99" s="2" t="s">
        <v>536</v>
      </c>
      <c r="B99" s="10" t="s">
        <v>537</v>
      </c>
      <c r="C99" s="2" t="s">
        <v>529</v>
      </c>
      <c r="D99" s="37" t="n">
        <v>170</v>
      </c>
      <c r="E99" s="2" t="s">
        <v>62</v>
      </c>
      <c r="F99" s="2" t="s">
        <v>530</v>
      </c>
      <c r="G99" s="2" t="s">
        <v>531</v>
      </c>
      <c r="H99" s="2" t="s">
        <v>186</v>
      </c>
      <c r="I99" s="2" t="s">
        <v>259</v>
      </c>
      <c r="J99" s="2" t="s">
        <v>284</v>
      </c>
      <c r="K99" s="2" t="s">
        <v>532</v>
      </c>
      <c r="L99" s="2" t="s">
        <v>533</v>
      </c>
    </row>
    <row r="100" customFormat="false" ht="15" hidden="false" customHeight="false" outlineLevel="0" collapsed="false">
      <c r="A100" s="2" t="s">
        <v>538</v>
      </c>
      <c r="B100" s="10" t="s">
        <v>539</v>
      </c>
      <c r="C100" s="2" t="s">
        <v>529</v>
      </c>
      <c r="D100" s="37" t="n">
        <v>500</v>
      </c>
      <c r="E100" s="2" t="s">
        <v>62</v>
      </c>
      <c r="F100" s="2" t="s">
        <v>530</v>
      </c>
      <c r="G100" s="2" t="s">
        <v>531</v>
      </c>
      <c r="H100" s="2" t="s">
        <v>186</v>
      </c>
      <c r="I100" s="2" t="s">
        <v>259</v>
      </c>
      <c r="J100" s="2" t="s">
        <v>284</v>
      </c>
      <c r="K100" s="2" t="s">
        <v>532</v>
      </c>
      <c r="L100" s="2" t="s">
        <v>533</v>
      </c>
    </row>
    <row r="101" customFormat="false" ht="15" hidden="false" customHeight="false" outlineLevel="0" collapsed="false">
      <c r="A101" s="2" t="s">
        <v>540</v>
      </c>
      <c r="B101" s="10" t="s">
        <v>541</v>
      </c>
      <c r="C101" s="2" t="s">
        <v>529</v>
      </c>
      <c r="D101" s="37" t="n">
        <v>200</v>
      </c>
      <c r="E101" s="2" t="s">
        <v>62</v>
      </c>
      <c r="F101" s="2" t="s">
        <v>530</v>
      </c>
      <c r="G101" s="2" t="s">
        <v>531</v>
      </c>
      <c r="H101" s="2" t="s">
        <v>186</v>
      </c>
      <c r="I101" s="2" t="s">
        <v>259</v>
      </c>
      <c r="J101" s="2" t="s">
        <v>284</v>
      </c>
      <c r="K101" s="2" t="s">
        <v>532</v>
      </c>
      <c r="L101" s="2" t="s">
        <v>533</v>
      </c>
    </row>
    <row r="102" customFormat="false" ht="15" hidden="false" customHeight="false" outlineLevel="0" collapsed="false">
      <c r="A102" s="2" t="s">
        <v>542</v>
      </c>
      <c r="B102" s="10" t="s">
        <v>543</v>
      </c>
      <c r="C102" s="2" t="s">
        <v>529</v>
      </c>
      <c r="D102" s="37" t="n">
        <v>2</v>
      </c>
      <c r="E102" s="2" t="s">
        <v>62</v>
      </c>
      <c r="F102" s="2" t="s">
        <v>530</v>
      </c>
      <c r="G102" s="2" t="s">
        <v>531</v>
      </c>
      <c r="H102" s="2" t="s">
        <v>186</v>
      </c>
      <c r="I102" s="2" t="s">
        <v>259</v>
      </c>
      <c r="J102" s="2" t="s">
        <v>284</v>
      </c>
      <c r="K102" s="2" t="s">
        <v>532</v>
      </c>
      <c r="L102" s="2" t="s">
        <v>533</v>
      </c>
    </row>
    <row r="103" customFormat="false" ht="15" hidden="false" customHeight="false" outlineLevel="0" collapsed="false">
      <c r="A103" s="2" t="s">
        <v>544</v>
      </c>
      <c r="B103" s="10" t="s">
        <v>545</v>
      </c>
      <c r="C103" s="2" t="s">
        <v>529</v>
      </c>
      <c r="D103" s="37" t="n">
        <v>1000</v>
      </c>
      <c r="E103" s="2" t="s">
        <v>62</v>
      </c>
      <c r="F103" s="2" t="s">
        <v>530</v>
      </c>
      <c r="G103" s="2" t="s">
        <v>531</v>
      </c>
      <c r="H103" s="2" t="s">
        <v>186</v>
      </c>
      <c r="I103" s="2" t="s">
        <v>259</v>
      </c>
      <c r="J103" s="2" t="s">
        <v>284</v>
      </c>
      <c r="K103" s="2" t="s">
        <v>532</v>
      </c>
      <c r="L103" s="2" t="s">
        <v>533</v>
      </c>
    </row>
    <row r="104" customFormat="false" ht="15" hidden="false" customHeight="false" outlineLevel="0" collapsed="false">
      <c r="A104" s="2" t="s">
        <v>546</v>
      </c>
      <c r="B104" s="10" t="s">
        <v>547</v>
      </c>
      <c r="C104" s="2" t="s">
        <v>548</v>
      </c>
      <c r="D104" s="44" t="n">
        <v>2.4</v>
      </c>
      <c r="E104" s="2" t="s">
        <v>549</v>
      </c>
      <c r="F104" s="2" t="s">
        <v>550</v>
      </c>
      <c r="G104" s="2" t="s">
        <v>304</v>
      </c>
      <c r="H104" s="2" t="s">
        <v>186</v>
      </c>
      <c r="I104" s="2" t="s">
        <v>259</v>
      </c>
      <c r="J104" s="2" t="s">
        <v>284</v>
      </c>
      <c r="K104" s="2" t="s">
        <v>532</v>
      </c>
      <c r="L104" s="2" t="s">
        <v>551</v>
      </c>
    </row>
    <row r="105" customFormat="false" ht="15" hidden="false" customHeight="false" outlineLevel="0" collapsed="false">
      <c r="A105" s="2" t="s">
        <v>552</v>
      </c>
      <c r="B105" s="10" t="s">
        <v>553</v>
      </c>
      <c r="C105" s="2" t="s">
        <v>548</v>
      </c>
      <c r="D105" s="40" t="n">
        <v>0.47</v>
      </c>
      <c r="E105" s="2" t="s">
        <v>29</v>
      </c>
      <c r="F105" s="2" t="s">
        <v>550</v>
      </c>
      <c r="G105" s="2" t="s">
        <v>304</v>
      </c>
      <c r="H105" s="2" t="s">
        <v>186</v>
      </c>
      <c r="I105" s="2" t="s">
        <v>259</v>
      </c>
      <c r="J105" s="2" t="s">
        <v>284</v>
      </c>
      <c r="K105" s="2" t="s">
        <v>532</v>
      </c>
      <c r="L105" s="2" t="s">
        <v>273</v>
      </c>
    </row>
    <row r="106" customFormat="false" ht="15" hidden="false" customHeight="false" outlineLevel="0" collapsed="false">
      <c r="A106" s="2" t="s">
        <v>554</v>
      </c>
      <c r="B106" s="10" t="s">
        <v>555</v>
      </c>
      <c r="C106" s="2" t="s">
        <v>548</v>
      </c>
      <c r="D106" s="40" t="n">
        <v>0.67</v>
      </c>
      <c r="E106" s="2" t="s">
        <v>29</v>
      </c>
      <c r="F106" s="2" t="s">
        <v>550</v>
      </c>
      <c r="G106" s="2" t="s">
        <v>304</v>
      </c>
      <c r="H106" s="2" t="s">
        <v>186</v>
      </c>
      <c r="I106" s="2" t="s">
        <v>259</v>
      </c>
      <c r="J106" s="2" t="s">
        <v>284</v>
      </c>
      <c r="K106" s="2" t="s">
        <v>532</v>
      </c>
      <c r="L106" s="2" t="s">
        <v>273</v>
      </c>
    </row>
    <row r="107" customFormat="false" ht="15" hidden="false" customHeight="false" outlineLevel="0" collapsed="false">
      <c r="A107" s="2" t="s">
        <v>556</v>
      </c>
      <c r="B107" s="10" t="s">
        <v>557</v>
      </c>
      <c r="C107" s="2" t="s">
        <v>548</v>
      </c>
      <c r="D107" s="40" t="n">
        <v>0.29</v>
      </c>
      <c r="E107" s="2" t="s">
        <v>29</v>
      </c>
      <c r="F107" s="2" t="s">
        <v>550</v>
      </c>
      <c r="G107" s="2" t="s">
        <v>304</v>
      </c>
      <c r="H107" s="2" t="s">
        <v>186</v>
      </c>
      <c r="I107" s="2" t="s">
        <v>259</v>
      </c>
      <c r="J107" s="2" t="s">
        <v>284</v>
      </c>
      <c r="K107" s="2" t="s">
        <v>532</v>
      </c>
      <c r="L107" s="2" t="s">
        <v>273</v>
      </c>
    </row>
    <row r="108" customFormat="false" ht="15" hidden="false" customHeight="false" outlineLevel="0" collapsed="false">
      <c r="A108" s="2" t="s">
        <v>558</v>
      </c>
      <c r="B108" s="10" t="s">
        <v>559</v>
      </c>
      <c r="C108" s="2" t="s">
        <v>548</v>
      </c>
      <c r="D108" s="40" t="n">
        <v>0.49</v>
      </c>
      <c r="E108" s="2" t="s">
        <v>29</v>
      </c>
      <c r="F108" s="2" t="s">
        <v>550</v>
      </c>
      <c r="G108" s="2" t="s">
        <v>304</v>
      </c>
      <c r="H108" s="2" t="s">
        <v>186</v>
      </c>
      <c r="I108" s="2" t="s">
        <v>259</v>
      </c>
      <c r="J108" s="2" t="s">
        <v>284</v>
      </c>
      <c r="K108" s="2" t="s">
        <v>532</v>
      </c>
      <c r="L108" s="2" t="s">
        <v>273</v>
      </c>
    </row>
    <row r="109" customFormat="false" ht="15" hidden="false" customHeight="false" outlineLevel="0" collapsed="false">
      <c r="A109" s="2" t="s">
        <v>560</v>
      </c>
      <c r="B109" s="10" t="s">
        <v>561</v>
      </c>
      <c r="C109" s="2" t="s">
        <v>548</v>
      </c>
      <c r="D109" s="40" t="n">
        <v>0.02</v>
      </c>
      <c r="E109" s="2" t="s">
        <v>29</v>
      </c>
      <c r="F109" s="2" t="s">
        <v>550</v>
      </c>
      <c r="G109" s="2" t="s">
        <v>304</v>
      </c>
      <c r="H109" s="2" t="s">
        <v>186</v>
      </c>
      <c r="I109" s="2" t="s">
        <v>259</v>
      </c>
      <c r="J109" s="2" t="s">
        <v>284</v>
      </c>
      <c r="K109" s="2" t="s">
        <v>532</v>
      </c>
      <c r="L109" s="2" t="s">
        <v>273</v>
      </c>
    </row>
    <row r="110" customFormat="false" ht="15" hidden="false" customHeight="false" outlineLevel="0" collapsed="false">
      <c r="A110" s="2" t="s">
        <v>562</v>
      </c>
      <c r="B110" s="10" t="s">
        <v>563</v>
      </c>
      <c r="C110" s="2" t="s">
        <v>548</v>
      </c>
      <c r="D110" s="40" t="n">
        <v>0.06</v>
      </c>
      <c r="E110" s="2" t="s">
        <v>29</v>
      </c>
      <c r="F110" s="2" t="s">
        <v>550</v>
      </c>
      <c r="G110" s="2" t="s">
        <v>304</v>
      </c>
      <c r="H110" s="2" t="s">
        <v>186</v>
      </c>
      <c r="I110" s="2" t="s">
        <v>259</v>
      </c>
      <c r="J110" s="2" t="s">
        <v>284</v>
      </c>
      <c r="K110" s="2" t="s">
        <v>532</v>
      </c>
      <c r="L110" s="2" t="s">
        <v>273</v>
      </c>
    </row>
    <row r="111" customFormat="false" ht="15" hidden="false" customHeight="false" outlineLevel="0" collapsed="false">
      <c r="A111" s="2" t="s">
        <v>564</v>
      </c>
      <c r="B111" s="10" t="s">
        <v>565</v>
      </c>
      <c r="C111" s="2" t="s">
        <v>566</v>
      </c>
      <c r="D111" s="37" t="n">
        <v>7000</v>
      </c>
      <c r="E111" s="2" t="s">
        <v>73</v>
      </c>
      <c r="F111" s="2" t="s">
        <v>567</v>
      </c>
      <c r="G111" s="2" t="s">
        <v>568</v>
      </c>
      <c r="H111" s="2" t="s">
        <v>569</v>
      </c>
      <c r="I111" s="2" t="s">
        <v>187</v>
      </c>
      <c r="J111" s="2" t="s">
        <v>284</v>
      </c>
      <c r="K111" s="2" t="s">
        <v>570</v>
      </c>
      <c r="L111" s="2" t="s">
        <v>533</v>
      </c>
    </row>
    <row r="112" customFormat="false" ht="15" hidden="false" customHeight="false" outlineLevel="0" collapsed="false">
      <c r="A112" s="2" t="s">
        <v>571</v>
      </c>
      <c r="B112" s="10" t="s">
        <v>572</v>
      </c>
      <c r="C112" s="2" t="s">
        <v>566</v>
      </c>
      <c r="D112" s="37" t="n">
        <v>14000</v>
      </c>
      <c r="E112" s="2" t="s">
        <v>73</v>
      </c>
      <c r="F112" s="2" t="s">
        <v>567</v>
      </c>
      <c r="G112" s="2" t="s">
        <v>568</v>
      </c>
      <c r="H112" s="2" t="s">
        <v>569</v>
      </c>
      <c r="I112" s="2" t="s">
        <v>187</v>
      </c>
      <c r="J112" s="2" t="s">
        <v>284</v>
      </c>
      <c r="K112" s="2" t="s">
        <v>570</v>
      </c>
      <c r="L112" s="2" t="s">
        <v>533</v>
      </c>
    </row>
    <row r="113" customFormat="false" ht="15" hidden="false" customHeight="false" outlineLevel="0" collapsed="false">
      <c r="A113" s="2" t="s">
        <v>573</v>
      </c>
      <c r="B113" s="10" t="s">
        <v>574</v>
      </c>
      <c r="C113" s="2" t="s">
        <v>566</v>
      </c>
      <c r="D113" s="37" t="n">
        <v>22000</v>
      </c>
      <c r="E113" s="2" t="s">
        <v>73</v>
      </c>
      <c r="F113" s="2" t="s">
        <v>567</v>
      </c>
      <c r="G113" s="2" t="s">
        <v>568</v>
      </c>
      <c r="H113" s="2" t="s">
        <v>569</v>
      </c>
      <c r="I113" s="2" t="s">
        <v>187</v>
      </c>
      <c r="J113" s="2" t="s">
        <v>284</v>
      </c>
      <c r="K113" s="2" t="s">
        <v>570</v>
      </c>
      <c r="L113" s="2" t="s">
        <v>533</v>
      </c>
    </row>
    <row r="114" customFormat="false" ht="15" hidden="false" customHeight="false" outlineLevel="0" collapsed="false">
      <c r="A114" s="2" t="s">
        <v>575</v>
      </c>
      <c r="B114" s="10" t="s">
        <v>576</v>
      </c>
      <c r="C114" s="2" t="s">
        <v>566</v>
      </c>
      <c r="D114" s="37" t="n">
        <v>25000</v>
      </c>
      <c r="E114" s="2" t="s">
        <v>73</v>
      </c>
      <c r="F114" s="2" t="s">
        <v>567</v>
      </c>
      <c r="G114" s="2" t="s">
        <v>568</v>
      </c>
      <c r="H114" s="2" t="s">
        <v>569</v>
      </c>
      <c r="I114" s="2" t="s">
        <v>187</v>
      </c>
      <c r="J114" s="2" t="s">
        <v>284</v>
      </c>
      <c r="K114" s="2" t="s">
        <v>570</v>
      </c>
      <c r="L114" s="2" t="s">
        <v>533</v>
      </c>
    </row>
    <row r="115" customFormat="false" ht="15" hidden="false" customHeight="false" outlineLevel="0" collapsed="false">
      <c r="A115" s="2" t="s">
        <v>577</v>
      </c>
      <c r="B115" s="10" t="s">
        <v>578</v>
      </c>
      <c r="C115" s="2" t="s">
        <v>566</v>
      </c>
      <c r="D115" s="37" t="n">
        <v>60000</v>
      </c>
      <c r="E115" s="2" t="s">
        <v>73</v>
      </c>
      <c r="F115" s="2" t="s">
        <v>567</v>
      </c>
      <c r="G115" s="2" t="s">
        <v>568</v>
      </c>
      <c r="H115" s="2" t="s">
        <v>569</v>
      </c>
      <c r="I115" s="2" t="s">
        <v>187</v>
      </c>
      <c r="J115" s="2" t="s">
        <v>284</v>
      </c>
      <c r="K115" s="2" t="s">
        <v>570</v>
      </c>
      <c r="L115" s="2" t="s">
        <v>533</v>
      </c>
    </row>
    <row r="116" customFormat="false" ht="15" hidden="false" customHeight="false" outlineLevel="0" collapsed="false">
      <c r="A116" s="2" t="s">
        <v>579</v>
      </c>
      <c r="B116" s="10" t="s">
        <v>580</v>
      </c>
      <c r="C116" s="2" t="s">
        <v>566</v>
      </c>
      <c r="D116" s="37" t="n">
        <v>112000</v>
      </c>
      <c r="E116" s="2" t="s">
        <v>73</v>
      </c>
      <c r="F116" s="2" t="s">
        <v>567</v>
      </c>
      <c r="G116" s="2" t="s">
        <v>568</v>
      </c>
      <c r="H116" s="2" t="s">
        <v>569</v>
      </c>
      <c r="I116" s="2" t="s">
        <v>187</v>
      </c>
      <c r="J116" s="2" t="s">
        <v>284</v>
      </c>
      <c r="K116" s="2" t="s">
        <v>570</v>
      </c>
      <c r="L116" s="2" t="s">
        <v>533</v>
      </c>
    </row>
    <row r="117" customFormat="false" ht="15" hidden="false" customHeight="false" outlineLevel="0" collapsed="false">
      <c r="A117" s="2" t="s">
        <v>581</v>
      </c>
      <c r="B117" s="10" t="s">
        <v>582</v>
      </c>
      <c r="C117" s="2" t="s">
        <v>566</v>
      </c>
      <c r="D117" s="37" t="n">
        <v>120000</v>
      </c>
      <c r="E117" s="2" t="s">
        <v>73</v>
      </c>
      <c r="F117" s="2" t="s">
        <v>567</v>
      </c>
      <c r="G117" s="2" t="s">
        <v>568</v>
      </c>
      <c r="H117" s="2" t="s">
        <v>569</v>
      </c>
      <c r="I117" s="2" t="s">
        <v>187</v>
      </c>
      <c r="J117" s="2" t="s">
        <v>284</v>
      </c>
      <c r="K117" s="2" t="s">
        <v>570</v>
      </c>
      <c r="L117" s="2" t="s">
        <v>533</v>
      </c>
    </row>
    <row r="118" customFormat="false" ht="15" hidden="false" customHeight="false" outlineLevel="0" collapsed="false">
      <c r="A118" s="34" t="s">
        <v>583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</row>
    <row r="119" customFormat="false" ht="15" hidden="false" customHeight="false" outlineLevel="0" collapsed="false">
      <c r="A119" s="2" t="s">
        <v>584</v>
      </c>
      <c r="B119" s="10" t="s">
        <v>585</v>
      </c>
      <c r="C119" s="2" t="s">
        <v>586</v>
      </c>
      <c r="D119" s="37" t="n">
        <v>8400</v>
      </c>
      <c r="E119" s="2" t="s">
        <v>62</v>
      </c>
      <c r="F119" s="2" t="s">
        <v>587</v>
      </c>
      <c r="G119" s="2" t="s">
        <v>588</v>
      </c>
      <c r="H119" s="2" t="s">
        <v>186</v>
      </c>
      <c r="I119" s="2" t="s">
        <v>259</v>
      </c>
      <c r="J119" s="2" t="s">
        <v>333</v>
      </c>
      <c r="K119" s="2" t="s">
        <v>589</v>
      </c>
      <c r="L119" s="2" t="s">
        <v>268</v>
      </c>
    </row>
    <row r="120" customFormat="false" ht="15" hidden="false" customHeight="false" outlineLevel="0" collapsed="false">
      <c r="A120" s="2" t="s">
        <v>590</v>
      </c>
      <c r="B120" s="10" t="s">
        <v>591</v>
      </c>
      <c r="C120" s="2" t="s">
        <v>592</v>
      </c>
      <c r="D120" s="37" t="n">
        <v>13100</v>
      </c>
      <c r="E120" s="2" t="s">
        <v>62</v>
      </c>
      <c r="F120" s="2" t="s">
        <v>593</v>
      </c>
      <c r="G120" s="2" t="s">
        <v>594</v>
      </c>
      <c r="H120" s="2" t="s">
        <v>218</v>
      </c>
      <c r="I120" s="2" t="s">
        <v>219</v>
      </c>
      <c r="J120" s="2" t="s">
        <v>284</v>
      </c>
      <c r="K120" s="2" t="s">
        <v>595</v>
      </c>
      <c r="L120" s="2" t="s">
        <v>268</v>
      </c>
    </row>
    <row r="121" customFormat="false" ht="15" hidden="false" customHeight="false" outlineLevel="0" collapsed="false">
      <c r="A121" s="2" t="s">
        <v>596</v>
      </c>
      <c r="B121" s="10" t="s">
        <v>597</v>
      </c>
      <c r="C121" s="2" t="s">
        <v>598</v>
      </c>
      <c r="D121" s="37" t="n">
        <v>14100</v>
      </c>
      <c r="E121" s="2" t="s">
        <v>62</v>
      </c>
      <c r="F121" s="2" t="s">
        <v>599</v>
      </c>
      <c r="G121" s="2" t="s">
        <v>588</v>
      </c>
      <c r="H121" s="2" t="s">
        <v>186</v>
      </c>
      <c r="I121" s="2" t="s">
        <v>259</v>
      </c>
      <c r="J121" s="2" t="s">
        <v>333</v>
      </c>
      <c r="K121" s="2" t="s">
        <v>589</v>
      </c>
      <c r="L121" s="2" t="s">
        <v>600</v>
      </c>
    </row>
    <row r="122" customFormat="false" ht="15" hidden="false" customHeight="false" outlineLevel="0" collapsed="false">
      <c r="A122" s="2" t="s">
        <v>601</v>
      </c>
      <c r="B122" s="10" t="s">
        <v>602</v>
      </c>
      <c r="C122" s="2" t="s">
        <v>603</v>
      </c>
      <c r="D122" s="21" t="n">
        <f aca="false">01_Data!$D$119/01_Data!$D$120</f>
        <v>0.641221374045802</v>
      </c>
      <c r="E122" s="2" t="s">
        <v>29</v>
      </c>
      <c r="F122" s="2" t="s">
        <v>587</v>
      </c>
      <c r="G122" s="2" t="s">
        <v>604</v>
      </c>
      <c r="H122" s="2" t="s">
        <v>186</v>
      </c>
      <c r="I122" s="2" t="s">
        <v>485</v>
      </c>
      <c r="J122" s="2" t="s">
        <v>333</v>
      </c>
      <c r="K122" s="2" t="s">
        <v>605</v>
      </c>
      <c r="L122" s="2" t="s">
        <v>221</v>
      </c>
    </row>
    <row r="123" customFormat="false" ht="15" hidden="false" customHeight="false" outlineLevel="0" collapsed="false">
      <c r="A123" s="2" t="s">
        <v>606</v>
      </c>
      <c r="B123" s="10" t="s">
        <v>607</v>
      </c>
      <c r="C123" s="2" t="s">
        <v>608</v>
      </c>
      <c r="D123" s="18" t="n">
        <v>0.5</v>
      </c>
      <c r="E123" s="2" t="s">
        <v>29</v>
      </c>
      <c r="F123" s="2" t="s">
        <v>609</v>
      </c>
      <c r="G123" s="2" t="s">
        <v>610</v>
      </c>
      <c r="H123" s="2" t="s">
        <v>218</v>
      </c>
      <c r="I123" s="2" t="s">
        <v>611</v>
      </c>
      <c r="J123" s="2" t="s">
        <v>284</v>
      </c>
      <c r="K123" s="2" t="s">
        <v>612</v>
      </c>
      <c r="L123" s="2" t="s">
        <v>268</v>
      </c>
    </row>
    <row r="124" customFormat="false" ht="15" hidden="false" customHeight="false" outlineLevel="0" collapsed="false">
      <c r="A124" s="2" t="s">
        <v>613</v>
      </c>
      <c r="B124" s="10" t="s">
        <v>614</v>
      </c>
      <c r="C124" s="2" t="s">
        <v>615</v>
      </c>
      <c r="D124" s="40" t="n">
        <v>0.25</v>
      </c>
      <c r="E124" s="2" t="s">
        <v>29</v>
      </c>
      <c r="F124" s="2" t="s">
        <v>616</v>
      </c>
      <c r="G124" s="2" t="s">
        <v>617</v>
      </c>
      <c r="H124" s="2" t="s">
        <v>218</v>
      </c>
      <c r="I124" s="2" t="s">
        <v>611</v>
      </c>
      <c r="J124" s="2" t="s">
        <v>188</v>
      </c>
      <c r="K124" s="2" t="s">
        <v>618</v>
      </c>
      <c r="L124" s="2" t="s">
        <v>273</v>
      </c>
    </row>
    <row r="125" customFormat="false" ht="15" hidden="false" customHeight="false" outlineLevel="0" collapsed="false">
      <c r="A125" s="2" t="s">
        <v>619</v>
      </c>
      <c r="B125" s="10" t="s">
        <v>620</v>
      </c>
      <c r="C125" s="2" t="s">
        <v>615</v>
      </c>
      <c r="D125" s="40" t="n">
        <v>0.45</v>
      </c>
      <c r="E125" s="2" t="s">
        <v>29</v>
      </c>
      <c r="F125" s="2" t="s">
        <v>616</v>
      </c>
      <c r="G125" s="2" t="s">
        <v>617</v>
      </c>
      <c r="H125" s="2" t="s">
        <v>218</v>
      </c>
      <c r="I125" s="2" t="s">
        <v>611</v>
      </c>
      <c r="J125" s="2" t="s">
        <v>188</v>
      </c>
      <c r="K125" s="2" t="s">
        <v>618</v>
      </c>
      <c r="L125" s="2" t="s">
        <v>273</v>
      </c>
    </row>
    <row r="126" customFormat="false" ht="15" hidden="false" customHeight="false" outlineLevel="0" collapsed="false">
      <c r="A126" s="2" t="s">
        <v>621</v>
      </c>
      <c r="B126" s="10" t="s">
        <v>622</v>
      </c>
      <c r="C126" s="2" t="s">
        <v>623</v>
      </c>
      <c r="D126" s="39" t="n">
        <v>10</v>
      </c>
      <c r="E126" s="2" t="s">
        <v>65</v>
      </c>
      <c r="F126" s="2" t="s">
        <v>226</v>
      </c>
      <c r="G126" s="2" t="s">
        <v>624</v>
      </c>
      <c r="H126" s="2" t="s">
        <v>218</v>
      </c>
      <c r="I126" s="2" t="s">
        <v>228</v>
      </c>
      <c r="J126" s="2" t="s">
        <v>188</v>
      </c>
      <c r="K126" s="2" t="s">
        <v>625</v>
      </c>
      <c r="L126" s="2" t="s">
        <v>268</v>
      </c>
    </row>
    <row r="127" customFormat="false" ht="15" hidden="false" customHeight="false" outlineLevel="0" collapsed="false">
      <c r="A127" s="2" t="s">
        <v>626</v>
      </c>
      <c r="B127" s="10" t="s">
        <v>627</v>
      </c>
      <c r="C127" s="2" t="s">
        <v>623</v>
      </c>
      <c r="D127" s="39" t="n">
        <v>50</v>
      </c>
      <c r="E127" s="2" t="s">
        <v>65</v>
      </c>
      <c r="F127" s="2" t="s">
        <v>226</v>
      </c>
      <c r="G127" s="2" t="s">
        <v>624</v>
      </c>
      <c r="H127" s="2" t="s">
        <v>218</v>
      </c>
      <c r="I127" s="2" t="s">
        <v>228</v>
      </c>
      <c r="J127" s="2" t="s">
        <v>188</v>
      </c>
      <c r="K127" s="2" t="s">
        <v>625</v>
      </c>
      <c r="L127" s="2" t="s">
        <v>268</v>
      </c>
    </row>
    <row r="128" customFormat="false" ht="15" hidden="false" customHeight="false" outlineLevel="0" collapsed="false">
      <c r="A128" s="2" t="s">
        <v>628</v>
      </c>
      <c r="B128" s="10" t="s">
        <v>629</v>
      </c>
      <c r="C128" s="2" t="s">
        <v>623</v>
      </c>
      <c r="D128" s="39" t="n">
        <v>5</v>
      </c>
      <c r="E128" s="2" t="s">
        <v>65</v>
      </c>
      <c r="F128" s="2" t="s">
        <v>226</v>
      </c>
      <c r="G128" s="2" t="s">
        <v>624</v>
      </c>
      <c r="H128" s="2" t="s">
        <v>218</v>
      </c>
      <c r="I128" s="2" t="s">
        <v>228</v>
      </c>
      <c r="J128" s="2" t="s">
        <v>188</v>
      </c>
      <c r="K128" s="2" t="s">
        <v>625</v>
      </c>
      <c r="L128" s="2" t="s">
        <v>268</v>
      </c>
    </row>
    <row r="129" customFormat="false" ht="15" hidden="false" customHeight="false" outlineLevel="0" collapsed="false">
      <c r="A129" s="2" t="s">
        <v>630</v>
      </c>
      <c r="B129" s="10" t="s">
        <v>631</v>
      </c>
      <c r="C129" s="2" t="s">
        <v>623</v>
      </c>
      <c r="D129" s="39" t="n">
        <v>25</v>
      </c>
      <c r="E129" s="2" t="s">
        <v>65</v>
      </c>
      <c r="F129" s="2" t="s">
        <v>226</v>
      </c>
      <c r="G129" s="2" t="s">
        <v>624</v>
      </c>
      <c r="H129" s="2" t="s">
        <v>218</v>
      </c>
      <c r="I129" s="2" t="s">
        <v>228</v>
      </c>
      <c r="J129" s="2" t="s">
        <v>188</v>
      </c>
      <c r="K129" s="2" t="s">
        <v>625</v>
      </c>
      <c r="L129" s="2" t="s">
        <v>268</v>
      </c>
    </row>
    <row r="130" customFormat="false" ht="15" hidden="false" customHeight="false" outlineLevel="0" collapsed="false">
      <c r="A130" s="2" t="s">
        <v>632</v>
      </c>
      <c r="B130" s="10" t="s">
        <v>633</v>
      </c>
      <c r="C130" s="2" t="s">
        <v>623</v>
      </c>
      <c r="D130" s="39" t="n">
        <v>2</v>
      </c>
      <c r="E130" s="2" t="s">
        <v>65</v>
      </c>
      <c r="F130" s="2" t="s">
        <v>226</v>
      </c>
      <c r="G130" s="2" t="s">
        <v>624</v>
      </c>
      <c r="H130" s="2" t="s">
        <v>218</v>
      </c>
      <c r="I130" s="2" t="s">
        <v>228</v>
      </c>
      <c r="J130" s="2" t="s">
        <v>188</v>
      </c>
      <c r="K130" s="2" t="s">
        <v>625</v>
      </c>
      <c r="L130" s="2" t="s">
        <v>268</v>
      </c>
    </row>
    <row r="131" customFormat="false" ht="15" hidden="false" customHeight="false" outlineLevel="0" collapsed="false">
      <c r="A131" s="2" t="s">
        <v>634</v>
      </c>
      <c r="B131" s="10" t="s">
        <v>635</v>
      </c>
      <c r="C131" s="2" t="s">
        <v>623</v>
      </c>
      <c r="D131" s="39" t="n">
        <v>10</v>
      </c>
      <c r="E131" s="2" t="s">
        <v>65</v>
      </c>
      <c r="F131" s="2" t="s">
        <v>226</v>
      </c>
      <c r="G131" s="2" t="s">
        <v>624</v>
      </c>
      <c r="H131" s="2" t="s">
        <v>218</v>
      </c>
      <c r="I131" s="2" t="s">
        <v>228</v>
      </c>
      <c r="J131" s="2" t="s">
        <v>188</v>
      </c>
      <c r="K131" s="2" t="s">
        <v>625</v>
      </c>
      <c r="L131" s="2" t="s">
        <v>268</v>
      </c>
    </row>
    <row r="132" customFormat="false" ht="15" hidden="false" customHeight="false" outlineLevel="0" collapsed="false">
      <c r="A132" s="2" t="s">
        <v>636</v>
      </c>
      <c r="B132" s="10" t="s">
        <v>637</v>
      </c>
      <c r="C132" s="2" t="s">
        <v>623</v>
      </c>
      <c r="D132" s="39" t="n">
        <v>1</v>
      </c>
      <c r="E132" s="2" t="s">
        <v>65</v>
      </c>
      <c r="F132" s="2" t="s">
        <v>226</v>
      </c>
      <c r="G132" s="2" t="s">
        <v>624</v>
      </c>
      <c r="H132" s="2" t="s">
        <v>218</v>
      </c>
      <c r="I132" s="2" t="s">
        <v>228</v>
      </c>
      <c r="J132" s="2" t="s">
        <v>188</v>
      </c>
      <c r="K132" s="2" t="s">
        <v>625</v>
      </c>
      <c r="L132" s="2" t="s">
        <v>268</v>
      </c>
    </row>
    <row r="133" customFormat="false" ht="15" hidden="false" customHeight="false" outlineLevel="0" collapsed="false">
      <c r="A133" s="2" t="s">
        <v>638</v>
      </c>
      <c r="B133" s="10" t="s">
        <v>639</v>
      </c>
      <c r="C133" s="2" t="s">
        <v>623</v>
      </c>
      <c r="D133" s="39" t="n">
        <v>5</v>
      </c>
      <c r="E133" s="2" t="s">
        <v>65</v>
      </c>
      <c r="F133" s="2" t="s">
        <v>226</v>
      </c>
      <c r="G133" s="2" t="s">
        <v>624</v>
      </c>
      <c r="H133" s="2" t="s">
        <v>218</v>
      </c>
      <c r="I133" s="2" t="s">
        <v>228</v>
      </c>
      <c r="J133" s="2" t="s">
        <v>188</v>
      </c>
      <c r="K133" s="2" t="s">
        <v>625</v>
      </c>
      <c r="L133" s="2" t="s">
        <v>268</v>
      </c>
    </row>
    <row r="134" customFormat="false" ht="15" hidden="false" customHeight="false" outlineLevel="0" collapsed="false">
      <c r="A134" s="2" t="s">
        <v>640</v>
      </c>
      <c r="B134" s="10" t="s">
        <v>641</v>
      </c>
      <c r="C134" s="2" t="s">
        <v>623</v>
      </c>
      <c r="D134" s="39" t="n">
        <v>0.25</v>
      </c>
      <c r="E134" s="2" t="s">
        <v>65</v>
      </c>
      <c r="F134" s="2" t="s">
        <v>226</v>
      </c>
      <c r="G134" s="2" t="s">
        <v>624</v>
      </c>
      <c r="H134" s="2" t="s">
        <v>218</v>
      </c>
      <c r="I134" s="2" t="s">
        <v>228</v>
      </c>
      <c r="J134" s="2" t="s">
        <v>188</v>
      </c>
      <c r="K134" s="2" t="s">
        <v>625</v>
      </c>
      <c r="L134" s="2" t="s">
        <v>268</v>
      </c>
    </row>
    <row r="135" customFormat="false" ht="15" hidden="false" customHeight="false" outlineLevel="0" collapsed="false">
      <c r="A135" s="2" t="s">
        <v>642</v>
      </c>
      <c r="B135" s="10" t="s">
        <v>643</v>
      </c>
      <c r="C135" s="2" t="s">
        <v>623</v>
      </c>
      <c r="D135" s="39" t="n">
        <v>0.5</v>
      </c>
      <c r="E135" s="2" t="s">
        <v>65</v>
      </c>
      <c r="F135" s="2" t="s">
        <v>226</v>
      </c>
      <c r="G135" s="2" t="s">
        <v>624</v>
      </c>
      <c r="H135" s="2" t="s">
        <v>218</v>
      </c>
      <c r="I135" s="2" t="s">
        <v>228</v>
      </c>
      <c r="J135" s="2" t="s">
        <v>188</v>
      </c>
      <c r="K135" s="2" t="s">
        <v>625</v>
      </c>
      <c r="L135" s="2" t="s">
        <v>268</v>
      </c>
    </row>
    <row r="136" customFormat="false" ht="15" hidden="false" customHeight="false" outlineLevel="0" collapsed="false">
      <c r="A136" s="2" t="s">
        <v>644</v>
      </c>
      <c r="B136" s="10" t="s">
        <v>645</v>
      </c>
      <c r="C136" s="2" t="s">
        <v>623</v>
      </c>
      <c r="D136" s="39" t="n">
        <v>0.5</v>
      </c>
      <c r="E136" s="2" t="s">
        <v>65</v>
      </c>
      <c r="F136" s="2" t="s">
        <v>226</v>
      </c>
      <c r="G136" s="2" t="s">
        <v>624</v>
      </c>
      <c r="H136" s="2" t="s">
        <v>218</v>
      </c>
      <c r="I136" s="2" t="s">
        <v>228</v>
      </c>
      <c r="J136" s="2" t="s">
        <v>188</v>
      </c>
      <c r="K136" s="2" t="s">
        <v>625</v>
      </c>
      <c r="L136" s="2" t="s">
        <v>268</v>
      </c>
    </row>
    <row r="137" customFormat="false" ht="15" hidden="false" customHeight="false" outlineLevel="0" collapsed="false">
      <c r="A137" s="2" t="s">
        <v>646</v>
      </c>
      <c r="B137" s="10" t="s">
        <v>647</v>
      </c>
      <c r="C137" s="2" t="s">
        <v>623</v>
      </c>
      <c r="D137" s="39" t="n">
        <v>2</v>
      </c>
      <c r="E137" s="2" t="s">
        <v>65</v>
      </c>
      <c r="F137" s="2" t="s">
        <v>226</v>
      </c>
      <c r="G137" s="2" t="s">
        <v>624</v>
      </c>
      <c r="H137" s="2" t="s">
        <v>218</v>
      </c>
      <c r="I137" s="2" t="s">
        <v>228</v>
      </c>
      <c r="J137" s="2" t="s">
        <v>188</v>
      </c>
      <c r="K137" s="2" t="s">
        <v>625</v>
      </c>
      <c r="L137" s="2" t="s">
        <v>268</v>
      </c>
    </row>
    <row r="138" customFormat="false" ht="15" hidden="false" customHeight="false" outlineLevel="0" collapsed="false">
      <c r="A138" s="2" t="s">
        <v>648</v>
      </c>
      <c r="B138" s="10" t="s">
        <v>649</v>
      </c>
      <c r="C138" s="2" t="s">
        <v>650</v>
      </c>
      <c r="D138" s="38" t="n">
        <v>13386</v>
      </c>
      <c r="E138" s="2" t="s">
        <v>651</v>
      </c>
      <c r="F138" s="2" t="s">
        <v>652</v>
      </c>
      <c r="G138" s="2" t="s">
        <v>653</v>
      </c>
      <c r="H138" s="2" t="s">
        <v>218</v>
      </c>
      <c r="I138" s="2" t="s">
        <v>219</v>
      </c>
      <c r="J138" s="2" t="s">
        <v>284</v>
      </c>
      <c r="K138" s="2" t="s">
        <v>654</v>
      </c>
      <c r="L138" s="2" t="s">
        <v>655</v>
      </c>
    </row>
    <row r="139" customFormat="false" ht="15" hidden="false" customHeight="false" outlineLevel="0" collapsed="false">
      <c r="A139" s="2" t="s">
        <v>656</v>
      </c>
      <c r="B139" s="10" t="s">
        <v>657</v>
      </c>
      <c r="C139" s="2" t="s">
        <v>658</v>
      </c>
      <c r="D139" s="38" t="n">
        <v>26156</v>
      </c>
      <c r="E139" s="2" t="s">
        <v>651</v>
      </c>
      <c r="F139" s="2" t="s">
        <v>652</v>
      </c>
      <c r="G139" s="2" t="s">
        <v>659</v>
      </c>
      <c r="H139" s="2" t="s">
        <v>218</v>
      </c>
      <c r="I139" s="2" t="s">
        <v>219</v>
      </c>
      <c r="J139" s="2" t="s">
        <v>284</v>
      </c>
      <c r="K139" s="2" t="s">
        <v>654</v>
      </c>
      <c r="L139" s="2" t="s">
        <v>600</v>
      </c>
    </row>
    <row r="140" customFormat="false" ht="15" hidden="false" customHeight="false" outlineLevel="0" collapsed="false">
      <c r="A140" s="2" t="s">
        <v>660</v>
      </c>
      <c r="B140" s="10" t="s">
        <v>661</v>
      </c>
      <c r="C140" s="2" t="s">
        <v>658</v>
      </c>
      <c r="D140" s="38" t="n">
        <v>9087</v>
      </c>
      <c r="E140" s="2" t="s">
        <v>651</v>
      </c>
      <c r="F140" s="2" t="s">
        <v>652</v>
      </c>
      <c r="G140" s="2" t="s">
        <v>659</v>
      </c>
      <c r="H140" s="2" t="s">
        <v>218</v>
      </c>
      <c r="I140" s="2" t="s">
        <v>219</v>
      </c>
      <c r="J140" s="2" t="s">
        <v>284</v>
      </c>
      <c r="K140" s="2" t="s">
        <v>654</v>
      </c>
      <c r="L140" s="2" t="s">
        <v>600</v>
      </c>
    </row>
    <row r="141" customFormat="false" ht="15" hidden="false" customHeight="false" outlineLevel="0" collapsed="false">
      <c r="A141" s="2" t="s">
        <v>662</v>
      </c>
      <c r="B141" s="10" t="s">
        <v>663</v>
      </c>
      <c r="C141" s="2" t="s">
        <v>664</v>
      </c>
      <c r="D141" s="38" t="n">
        <v>5842</v>
      </c>
      <c r="E141" s="2" t="s">
        <v>651</v>
      </c>
      <c r="F141" s="2" t="s">
        <v>665</v>
      </c>
      <c r="G141" s="2" t="s">
        <v>666</v>
      </c>
      <c r="H141" s="2" t="s">
        <v>218</v>
      </c>
      <c r="I141" s="2" t="s">
        <v>219</v>
      </c>
      <c r="J141" s="2" t="s">
        <v>284</v>
      </c>
      <c r="K141" s="2" t="s">
        <v>654</v>
      </c>
      <c r="L141" s="2" t="s">
        <v>600</v>
      </c>
    </row>
    <row r="142" customFormat="false" ht="15" hidden="false" customHeight="false" outlineLevel="0" collapsed="false">
      <c r="A142" s="2" t="s">
        <v>667</v>
      </c>
      <c r="B142" s="10" t="s">
        <v>668</v>
      </c>
      <c r="C142" s="2" t="s">
        <v>664</v>
      </c>
      <c r="D142" s="38" t="n">
        <v>2907</v>
      </c>
      <c r="E142" s="2" t="s">
        <v>651</v>
      </c>
      <c r="F142" s="2" t="s">
        <v>665</v>
      </c>
      <c r="G142" s="2" t="s">
        <v>666</v>
      </c>
      <c r="H142" s="2" t="s">
        <v>218</v>
      </c>
      <c r="I142" s="2" t="s">
        <v>219</v>
      </c>
      <c r="J142" s="2" t="s">
        <v>284</v>
      </c>
      <c r="K142" s="2" t="s">
        <v>654</v>
      </c>
      <c r="L142" s="2" t="s">
        <v>600</v>
      </c>
    </row>
    <row r="143" customFormat="false" ht="15" hidden="false" customHeight="false" outlineLevel="0" collapsed="false">
      <c r="A143" s="2" t="s">
        <v>669</v>
      </c>
      <c r="B143" s="10" t="s">
        <v>670</v>
      </c>
      <c r="C143" s="2" t="s">
        <v>671</v>
      </c>
      <c r="D143" s="38" t="n">
        <v>224</v>
      </c>
      <c r="E143" s="2" t="s">
        <v>651</v>
      </c>
      <c r="F143" s="2" t="s">
        <v>665</v>
      </c>
      <c r="G143" s="2" t="s">
        <v>672</v>
      </c>
      <c r="H143" s="2" t="s">
        <v>218</v>
      </c>
      <c r="I143" s="2" t="s">
        <v>219</v>
      </c>
      <c r="J143" s="2" t="s">
        <v>284</v>
      </c>
      <c r="K143" s="2" t="s">
        <v>654</v>
      </c>
      <c r="L143" s="2" t="s">
        <v>655</v>
      </c>
    </row>
    <row r="144" customFormat="false" ht="15" hidden="false" customHeight="false" outlineLevel="0" collapsed="false">
      <c r="A144" s="2" t="s">
        <v>673</v>
      </c>
      <c r="B144" s="10" t="s">
        <v>674</v>
      </c>
      <c r="C144" s="2" t="s">
        <v>671</v>
      </c>
      <c r="D144" s="38" t="n">
        <v>170</v>
      </c>
      <c r="E144" s="2" t="s">
        <v>651</v>
      </c>
      <c r="F144" s="2" t="s">
        <v>665</v>
      </c>
      <c r="G144" s="2" t="s">
        <v>672</v>
      </c>
      <c r="H144" s="2" t="s">
        <v>218</v>
      </c>
      <c r="I144" s="2" t="s">
        <v>219</v>
      </c>
      <c r="J144" s="2" t="s">
        <v>284</v>
      </c>
      <c r="K144" s="2" t="s">
        <v>654</v>
      </c>
      <c r="L144" s="2" t="s">
        <v>600</v>
      </c>
    </row>
    <row r="145" customFormat="false" ht="15" hidden="false" customHeight="false" outlineLevel="0" collapsed="false">
      <c r="A145" s="2" t="s">
        <v>675</v>
      </c>
      <c r="B145" s="10" t="s">
        <v>676</v>
      </c>
      <c r="C145" s="2" t="s">
        <v>671</v>
      </c>
      <c r="D145" s="38" t="n">
        <v>138</v>
      </c>
      <c r="E145" s="2" t="s">
        <v>651</v>
      </c>
      <c r="F145" s="2" t="s">
        <v>665</v>
      </c>
      <c r="G145" s="2" t="s">
        <v>672</v>
      </c>
      <c r="H145" s="2" t="s">
        <v>218</v>
      </c>
      <c r="I145" s="2" t="s">
        <v>219</v>
      </c>
      <c r="J145" s="2" t="s">
        <v>284</v>
      </c>
      <c r="K145" s="2" t="s">
        <v>654</v>
      </c>
      <c r="L145" s="2" t="s">
        <v>600</v>
      </c>
    </row>
    <row r="146" customFormat="false" ht="15" hidden="false" customHeight="false" outlineLevel="0" collapsed="false">
      <c r="A146" s="2" t="s">
        <v>677</v>
      </c>
      <c r="B146" s="10" t="s">
        <v>678</v>
      </c>
      <c r="C146" s="2" t="s">
        <v>679</v>
      </c>
      <c r="D146" s="44" t="n">
        <v>25</v>
      </c>
      <c r="E146" s="2" t="s">
        <v>73</v>
      </c>
      <c r="F146" s="2" t="s">
        <v>680</v>
      </c>
      <c r="G146" s="2" t="s">
        <v>681</v>
      </c>
      <c r="H146" s="2" t="s">
        <v>218</v>
      </c>
      <c r="I146" s="2" t="s">
        <v>219</v>
      </c>
      <c r="J146" s="2" t="s">
        <v>284</v>
      </c>
      <c r="K146" s="2" t="s">
        <v>682</v>
      </c>
      <c r="L146" s="2" t="s">
        <v>221</v>
      </c>
    </row>
    <row r="147" customFormat="false" ht="15" hidden="false" customHeight="false" outlineLevel="0" collapsed="false">
      <c r="A147" s="2" t="s">
        <v>683</v>
      </c>
      <c r="B147" s="10" t="s">
        <v>684</v>
      </c>
      <c r="C147" s="2" t="s">
        <v>685</v>
      </c>
      <c r="D147" s="44" t="n">
        <v>75</v>
      </c>
      <c r="E147" s="2" t="s">
        <v>73</v>
      </c>
      <c r="F147" s="2" t="s">
        <v>680</v>
      </c>
      <c r="G147" s="2" t="s">
        <v>686</v>
      </c>
      <c r="H147" s="2" t="s">
        <v>218</v>
      </c>
      <c r="I147" s="2" t="s">
        <v>219</v>
      </c>
      <c r="J147" s="2" t="s">
        <v>284</v>
      </c>
      <c r="K147" s="2" t="s">
        <v>682</v>
      </c>
      <c r="L147" s="2" t="s">
        <v>221</v>
      </c>
    </row>
    <row r="148" customFormat="false" ht="15" hidden="false" customHeight="false" outlineLevel="0" collapsed="false">
      <c r="A148" s="2" t="s">
        <v>687</v>
      </c>
      <c r="B148" s="10" t="s">
        <v>688</v>
      </c>
      <c r="C148" s="2" t="s">
        <v>689</v>
      </c>
      <c r="D148" s="39" t="n">
        <v>0.5</v>
      </c>
      <c r="E148" s="2" t="s">
        <v>73</v>
      </c>
      <c r="F148" s="2" t="s">
        <v>587</v>
      </c>
      <c r="G148" s="2" t="s">
        <v>690</v>
      </c>
      <c r="H148" s="2" t="s">
        <v>186</v>
      </c>
      <c r="I148" s="2" t="s">
        <v>187</v>
      </c>
      <c r="J148" s="2" t="s">
        <v>284</v>
      </c>
      <c r="K148" s="2" t="s">
        <v>691</v>
      </c>
      <c r="L148" s="2" t="s">
        <v>221</v>
      </c>
    </row>
    <row r="149" customFormat="false" ht="15" hidden="false" customHeight="false" outlineLevel="0" collapsed="false">
      <c r="A149" s="2" t="s">
        <v>692</v>
      </c>
      <c r="B149" s="10" t="s">
        <v>693</v>
      </c>
      <c r="C149" s="2" t="s">
        <v>689</v>
      </c>
      <c r="D149" s="39" t="n">
        <v>1.5</v>
      </c>
      <c r="E149" s="2" t="s">
        <v>73</v>
      </c>
      <c r="F149" s="2" t="s">
        <v>587</v>
      </c>
      <c r="G149" s="2" t="s">
        <v>690</v>
      </c>
      <c r="H149" s="2" t="s">
        <v>186</v>
      </c>
      <c r="I149" s="2" t="s">
        <v>187</v>
      </c>
      <c r="J149" s="2" t="s">
        <v>284</v>
      </c>
      <c r="K149" s="2" t="s">
        <v>691</v>
      </c>
      <c r="L149" s="2" t="s">
        <v>221</v>
      </c>
    </row>
    <row r="150" customFormat="false" ht="15" hidden="false" customHeight="false" outlineLevel="0" collapsed="false">
      <c r="A150" s="2" t="s">
        <v>694</v>
      </c>
      <c r="B150" s="10" t="s">
        <v>695</v>
      </c>
      <c r="C150" s="2" t="s">
        <v>696</v>
      </c>
      <c r="D150" s="39" t="n">
        <v>1.12</v>
      </c>
      <c r="E150" s="2" t="s">
        <v>73</v>
      </c>
      <c r="F150" s="2" t="s">
        <v>697</v>
      </c>
      <c r="G150" s="2" t="s">
        <v>698</v>
      </c>
      <c r="H150" s="2" t="s">
        <v>186</v>
      </c>
      <c r="I150" s="2" t="s">
        <v>259</v>
      </c>
      <c r="J150" s="2" t="s">
        <v>333</v>
      </c>
      <c r="K150" s="2" t="s">
        <v>699</v>
      </c>
      <c r="L150" s="2" t="s">
        <v>273</v>
      </c>
    </row>
    <row r="151" customFormat="false" ht="15" hidden="false" customHeight="false" outlineLevel="0" collapsed="false">
      <c r="A151" s="2" t="s">
        <v>700</v>
      </c>
      <c r="B151" s="10" t="s">
        <v>701</v>
      </c>
      <c r="C151" s="2" t="s">
        <v>702</v>
      </c>
      <c r="D151" s="39" t="n">
        <v>1.38</v>
      </c>
      <c r="E151" s="2" t="s">
        <v>73</v>
      </c>
      <c r="F151" s="2" t="s">
        <v>697</v>
      </c>
      <c r="G151" s="2" t="s">
        <v>703</v>
      </c>
      <c r="H151" s="2" t="s">
        <v>186</v>
      </c>
      <c r="I151" s="2" t="s">
        <v>259</v>
      </c>
      <c r="J151" s="2" t="s">
        <v>333</v>
      </c>
      <c r="K151" s="2" t="s">
        <v>699</v>
      </c>
      <c r="L151" s="2" t="s">
        <v>273</v>
      </c>
    </row>
    <row r="152" customFormat="false" ht="15" hidden="false" customHeight="false" outlineLevel="0" collapsed="false">
      <c r="A152" s="2" t="s">
        <v>704</v>
      </c>
      <c r="B152" s="10" t="s">
        <v>705</v>
      </c>
      <c r="C152" s="2" t="s">
        <v>706</v>
      </c>
      <c r="D152" s="39" t="n">
        <v>0.3</v>
      </c>
      <c r="E152" s="2" t="s">
        <v>73</v>
      </c>
      <c r="F152" s="2" t="s">
        <v>216</v>
      </c>
      <c r="G152" s="2" t="s">
        <v>707</v>
      </c>
      <c r="H152" s="2" t="s">
        <v>186</v>
      </c>
      <c r="I152" s="2" t="s">
        <v>187</v>
      </c>
      <c r="J152" s="2" t="s">
        <v>333</v>
      </c>
      <c r="K152" s="2" t="s">
        <v>708</v>
      </c>
      <c r="L152" s="2" t="s">
        <v>221</v>
      </c>
    </row>
    <row r="153" customFormat="false" ht="15" hidden="false" customHeight="false" outlineLevel="0" collapsed="false">
      <c r="A153" s="2" t="s">
        <v>709</v>
      </c>
      <c r="B153" s="10" t="s">
        <v>710</v>
      </c>
      <c r="C153" s="2" t="s">
        <v>706</v>
      </c>
      <c r="D153" s="39" t="n">
        <v>0.76</v>
      </c>
      <c r="E153" s="2" t="s">
        <v>73</v>
      </c>
      <c r="F153" s="2" t="s">
        <v>216</v>
      </c>
      <c r="G153" s="2" t="s">
        <v>707</v>
      </c>
      <c r="H153" s="2" t="s">
        <v>186</v>
      </c>
      <c r="I153" s="2" t="s">
        <v>187</v>
      </c>
      <c r="J153" s="2" t="s">
        <v>333</v>
      </c>
      <c r="K153" s="2" t="s">
        <v>708</v>
      </c>
      <c r="L153" s="2" t="s">
        <v>221</v>
      </c>
    </row>
    <row r="154" customFormat="false" ht="15" hidden="false" customHeight="false" outlineLevel="0" collapsed="false">
      <c r="A154" s="2" t="s">
        <v>711</v>
      </c>
      <c r="B154" s="10" t="s">
        <v>712</v>
      </c>
      <c r="C154" s="2" t="s">
        <v>713</v>
      </c>
      <c r="D154" s="39" t="n">
        <v>1.5</v>
      </c>
      <c r="E154" s="2" t="s">
        <v>62</v>
      </c>
      <c r="F154" s="2" t="s">
        <v>714</v>
      </c>
      <c r="G154" s="2" t="s">
        <v>715</v>
      </c>
      <c r="H154" s="2" t="s">
        <v>716</v>
      </c>
      <c r="I154" s="2" t="s">
        <v>259</v>
      </c>
      <c r="J154" s="2" t="s">
        <v>284</v>
      </c>
      <c r="K154" s="2" t="s">
        <v>717</v>
      </c>
      <c r="L154" s="2" t="s">
        <v>221</v>
      </c>
    </row>
    <row r="155" customFormat="false" ht="15" hidden="false" customHeight="false" outlineLevel="0" collapsed="false">
      <c r="A155" s="2" t="s">
        <v>718</v>
      </c>
      <c r="B155" s="10" t="s">
        <v>719</v>
      </c>
      <c r="C155" s="2" t="s">
        <v>720</v>
      </c>
      <c r="D155" s="38" t="n">
        <v>1000</v>
      </c>
      <c r="E155" s="2" t="s">
        <v>133</v>
      </c>
      <c r="F155" s="2" t="s">
        <v>714</v>
      </c>
      <c r="G155" s="2" t="s">
        <v>460</v>
      </c>
      <c r="H155" s="2" t="s">
        <v>716</v>
      </c>
      <c r="I155" s="2" t="s">
        <v>259</v>
      </c>
      <c r="J155" s="2" t="s">
        <v>284</v>
      </c>
      <c r="K155" s="2" t="s">
        <v>717</v>
      </c>
      <c r="L155" s="2" t="s">
        <v>221</v>
      </c>
    </row>
    <row r="156" customFormat="false" ht="15" hidden="false" customHeight="false" outlineLevel="0" collapsed="false">
      <c r="A156" s="2" t="s">
        <v>721</v>
      </c>
      <c r="B156" s="10" t="s">
        <v>722</v>
      </c>
      <c r="C156" s="2" t="s">
        <v>723</v>
      </c>
      <c r="D156" s="38" t="n">
        <v>2</v>
      </c>
      <c r="E156" s="2" t="s">
        <v>36</v>
      </c>
      <c r="F156" s="2" t="s">
        <v>714</v>
      </c>
      <c r="G156" s="2" t="s">
        <v>724</v>
      </c>
      <c r="H156" s="2" t="s">
        <v>716</v>
      </c>
      <c r="I156" s="2" t="s">
        <v>259</v>
      </c>
      <c r="J156" s="2" t="s">
        <v>284</v>
      </c>
      <c r="K156" s="2" t="s">
        <v>717</v>
      </c>
      <c r="L156" s="2" t="s">
        <v>221</v>
      </c>
    </row>
    <row r="157" customFormat="false" ht="15" hidden="false" customHeight="false" outlineLevel="0" collapsed="false">
      <c r="A157" s="2" t="s">
        <v>725</v>
      </c>
      <c r="B157" s="10" t="s">
        <v>726</v>
      </c>
      <c r="C157" s="2" t="s">
        <v>727</v>
      </c>
      <c r="D157" s="37" t="n">
        <v>50</v>
      </c>
      <c r="E157" s="2" t="s">
        <v>73</v>
      </c>
      <c r="F157" s="2" t="s">
        <v>728</v>
      </c>
      <c r="G157" s="2" t="s">
        <v>729</v>
      </c>
      <c r="H157" s="2" t="s">
        <v>218</v>
      </c>
      <c r="I157" s="2" t="s">
        <v>228</v>
      </c>
      <c r="J157" s="2" t="s">
        <v>284</v>
      </c>
      <c r="K157" s="2" t="s">
        <v>730</v>
      </c>
      <c r="L157" s="2" t="s">
        <v>221</v>
      </c>
    </row>
    <row r="158" customFormat="false" ht="15" hidden="false" customHeight="false" outlineLevel="0" collapsed="false">
      <c r="A158" s="2" t="s">
        <v>731</v>
      </c>
      <c r="B158" s="10" t="s">
        <v>732</v>
      </c>
      <c r="C158" s="2" t="s">
        <v>733</v>
      </c>
      <c r="D158" s="37" t="n">
        <v>70</v>
      </c>
      <c r="E158" s="2" t="s">
        <v>73</v>
      </c>
      <c r="F158" s="2" t="s">
        <v>728</v>
      </c>
      <c r="G158" s="2" t="s">
        <v>326</v>
      </c>
      <c r="H158" s="2" t="s">
        <v>218</v>
      </c>
      <c r="I158" s="2" t="s">
        <v>228</v>
      </c>
      <c r="J158" s="2" t="s">
        <v>284</v>
      </c>
      <c r="K158" s="2" t="s">
        <v>730</v>
      </c>
      <c r="L158" s="2" t="s">
        <v>221</v>
      </c>
    </row>
    <row r="159" customFormat="false" ht="15" hidden="false" customHeight="false" outlineLevel="0" collapsed="false">
      <c r="A159" s="2" t="s">
        <v>734</v>
      </c>
      <c r="B159" s="10" t="s">
        <v>735</v>
      </c>
      <c r="C159" s="2" t="s">
        <v>736</v>
      </c>
      <c r="D159" s="37" t="n">
        <v>203</v>
      </c>
      <c r="E159" s="2" t="s">
        <v>62</v>
      </c>
      <c r="F159" s="2" t="s">
        <v>737</v>
      </c>
      <c r="G159" s="2" t="s">
        <v>738</v>
      </c>
      <c r="H159" s="2" t="s">
        <v>218</v>
      </c>
      <c r="I159" s="2" t="s">
        <v>228</v>
      </c>
      <c r="J159" s="2" t="s">
        <v>284</v>
      </c>
      <c r="K159" s="2" t="s">
        <v>730</v>
      </c>
      <c r="L159" s="2" t="s">
        <v>273</v>
      </c>
    </row>
    <row r="160" customFormat="false" ht="15" hidden="false" customHeight="false" outlineLevel="0" collapsed="false">
      <c r="A160" s="2" t="s">
        <v>739</v>
      </c>
      <c r="B160" s="10" t="s">
        <v>740</v>
      </c>
      <c r="C160" s="2" t="s">
        <v>741</v>
      </c>
      <c r="D160" s="37" t="n">
        <v>250</v>
      </c>
      <c r="E160" s="2" t="s">
        <v>62</v>
      </c>
      <c r="F160" s="2" t="s">
        <v>742</v>
      </c>
      <c r="G160" s="2" t="s">
        <v>743</v>
      </c>
      <c r="H160" s="2" t="s">
        <v>186</v>
      </c>
      <c r="I160" s="2" t="s">
        <v>259</v>
      </c>
      <c r="J160" s="2" t="s">
        <v>284</v>
      </c>
      <c r="K160" s="2" t="s">
        <v>730</v>
      </c>
      <c r="L160" s="2" t="s">
        <v>273</v>
      </c>
    </row>
    <row r="161" customFormat="false" ht="15" hidden="false" customHeight="false" outlineLevel="0" collapsed="false">
      <c r="A161" s="2" t="s">
        <v>744</v>
      </c>
      <c r="B161" s="10" t="s">
        <v>745</v>
      </c>
      <c r="C161" s="2" t="s">
        <v>746</v>
      </c>
      <c r="D161" s="37" t="n">
        <v>1000</v>
      </c>
      <c r="E161" s="2" t="s">
        <v>73</v>
      </c>
      <c r="F161" s="2" t="s">
        <v>216</v>
      </c>
      <c r="G161" s="2" t="s">
        <v>747</v>
      </c>
      <c r="H161" s="2" t="s">
        <v>186</v>
      </c>
      <c r="I161" s="2" t="s">
        <v>187</v>
      </c>
      <c r="J161" s="2" t="s">
        <v>333</v>
      </c>
      <c r="K161" s="2" t="s">
        <v>748</v>
      </c>
      <c r="L161" s="2" t="s">
        <v>221</v>
      </c>
    </row>
    <row r="162" customFormat="false" ht="15" hidden="false" customHeight="false" outlineLevel="0" collapsed="false">
      <c r="A162" s="2" t="s">
        <v>749</v>
      </c>
      <c r="B162" s="10" t="s">
        <v>750</v>
      </c>
      <c r="C162" s="2" t="s">
        <v>751</v>
      </c>
      <c r="D162" s="37" t="n">
        <v>3000</v>
      </c>
      <c r="E162" s="2" t="s">
        <v>73</v>
      </c>
      <c r="F162" s="2" t="s">
        <v>216</v>
      </c>
      <c r="G162" s="2" t="s">
        <v>326</v>
      </c>
      <c r="H162" s="2" t="s">
        <v>186</v>
      </c>
      <c r="I162" s="2" t="s">
        <v>187</v>
      </c>
      <c r="J162" s="2" t="s">
        <v>333</v>
      </c>
      <c r="K162" s="2" t="s">
        <v>748</v>
      </c>
      <c r="L162" s="2" t="s">
        <v>221</v>
      </c>
    </row>
    <row r="163" customFormat="false" ht="15" hidden="false" customHeight="false" outlineLevel="0" collapsed="false">
      <c r="A163" s="2" t="s">
        <v>752</v>
      </c>
      <c r="B163" s="10" t="s">
        <v>753</v>
      </c>
      <c r="C163" s="2" t="s">
        <v>754</v>
      </c>
      <c r="D163" s="28" t="n">
        <v>55</v>
      </c>
      <c r="E163" s="2" t="s">
        <v>73</v>
      </c>
      <c r="F163" s="2" t="s">
        <v>216</v>
      </c>
      <c r="G163" s="2" t="s">
        <v>755</v>
      </c>
      <c r="H163" s="2" t="s">
        <v>516</v>
      </c>
      <c r="I163" s="2" t="s">
        <v>187</v>
      </c>
      <c r="J163" s="2" t="s">
        <v>284</v>
      </c>
      <c r="K163" s="2" t="s">
        <v>756</v>
      </c>
      <c r="L163" s="2" t="s">
        <v>273</v>
      </c>
    </row>
    <row r="164" customFormat="false" ht="15" hidden="false" customHeight="false" outlineLevel="0" collapsed="false">
      <c r="A164" s="2" t="s">
        <v>757</v>
      </c>
      <c r="B164" s="10" t="s">
        <v>758</v>
      </c>
      <c r="C164" s="2" t="s">
        <v>754</v>
      </c>
      <c r="D164" s="28" t="n">
        <v>115</v>
      </c>
      <c r="E164" s="2" t="s">
        <v>73</v>
      </c>
      <c r="F164" s="2" t="s">
        <v>216</v>
      </c>
      <c r="G164" s="2" t="s">
        <v>755</v>
      </c>
      <c r="H164" s="2" t="s">
        <v>516</v>
      </c>
      <c r="I164" s="2" t="s">
        <v>187</v>
      </c>
      <c r="J164" s="2" t="s">
        <v>284</v>
      </c>
      <c r="K164" s="2" t="s">
        <v>756</v>
      </c>
      <c r="L164" s="2" t="s">
        <v>273</v>
      </c>
    </row>
    <row r="165" customFormat="false" ht="15" hidden="false" customHeight="false" outlineLevel="0" collapsed="false">
      <c r="A165" s="2" t="s">
        <v>759</v>
      </c>
      <c r="B165" s="10" t="s">
        <v>760</v>
      </c>
      <c r="C165" s="2" t="s">
        <v>761</v>
      </c>
      <c r="D165" s="18" t="n">
        <v>0.03</v>
      </c>
      <c r="E165" s="2" t="s">
        <v>29</v>
      </c>
      <c r="F165" s="2" t="s">
        <v>216</v>
      </c>
      <c r="G165" s="2" t="s">
        <v>309</v>
      </c>
      <c r="H165" s="2" t="s">
        <v>186</v>
      </c>
      <c r="I165" s="2" t="s">
        <v>309</v>
      </c>
      <c r="J165" s="2" t="s">
        <v>284</v>
      </c>
      <c r="K165" s="2" t="s">
        <v>762</v>
      </c>
      <c r="L165" s="2" t="s">
        <v>221</v>
      </c>
    </row>
    <row r="166" customFormat="false" ht="15" hidden="false" customHeight="false" outlineLevel="0" collapsed="false">
      <c r="A166" s="2" t="s">
        <v>763</v>
      </c>
      <c r="B166" s="10" t="s">
        <v>764</v>
      </c>
      <c r="C166" s="2" t="s">
        <v>765</v>
      </c>
      <c r="D166" s="18" t="n">
        <v>0.08</v>
      </c>
      <c r="E166" s="2" t="s">
        <v>29</v>
      </c>
      <c r="F166" s="2" t="s">
        <v>216</v>
      </c>
      <c r="G166" s="2" t="s">
        <v>309</v>
      </c>
      <c r="H166" s="2" t="s">
        <v>186</v>
      </c>
      <c r="I166" s="2" t="s">
        <v>309</v>
      </c>
      <c r="J166" s="2" t="s">
        <v>284</v>
      </c>
      <c r="K166" s="2" t="s">
        <v>309</v>
      </c>
      <c r="L166" s="2" t="s">
        <v>221</v>
      </c>
    </row>
    <row r="167" customFormat="false" ht="15" hidden="false" customHeight="false" outlineLevel="0" collapsed="false">
      <c r="A167" s="2" t="s">
        <v>766</v>
      </c>
      <c r="B167" s="10" t="s">
        <v>767</v>
      </c>
      <c r="C167" s="2" t="s">
        <v>768</v>
      </c>
      <c r="D167" s="37" t="n">
        <v>1500</v>
      </c>
      <c r="E167" s="2" t="s">
        <v>62</v>
      </c>
      <c r="F167" s="2" t="s">
        <v>407</v>
      </c>
      <c r="G167" s="2" t="s">
        <v>769</v>
      </c>
      <c r="H167" s="2" t="s">
        <v>218</v>
      </c>
      <c r="I167" s="2" t="s">
        <v>219</v>
      </c>
      <c r="J167" s="2" t="s">
        <v>284</v>
      </c>
      <c r="K167" s="2" t="s">
        <v>770</v>
      </c>
      <c r="L167" s="2" t="s">
        <v>221</v>
      </c>
    </row>
    <row r="168" customFormat="false" ht="15" hidden="false" customHeight="false" outlineLevel="0" collapsed="false">
      <c r="A168" s="2" t="s">
        <v>771</v>
      </c>
      <c r="B168" s="10" t="s">
        <v>772</v>
      </c>
      <c r="C168" s="2" t="s">
        <v>773</v>
      </c>
      <c r="D168" s="37" t="n">
        <v>3000</v>
      </c>
      <c r="E168" s="2" t="s">
        <v>62</v>
      </c>
      <c r="F168" s="2" t="s">
        <v>774</v>
      </c>
      <c r="G168" s="2" t="s">
        <v>775</v>
      </c>
      <c r="H168" s="2" t="s">
        <v>218</v>
      </c>
      <c r="I168" s="2" t="s">
        <v>219</v>
      </c>
      <c r="J168" s="2" t="s">
        <v>284</v>
      </c>
      <c r="K168" s="2" t="s">
        <v>770</v>
      </c>
      <c r="L168" s="2" t="s">
        <v>273</v>
      </c>
    </row>
    <row r="169" customFormat="false" ht="15" hidden="false" customHeight="false" outlineLevel="0" collapsed="false">
      <c r="A169" s="2" t="s">
        <v>776</v>
      </c>
      <c r="B169" s="10" t="s">
        <v>777</v>
      </c>
      <c r="C169" s="2" t="s">
        <v>778</v>
      </c>
      <c r="D169" s="28" t="n">
        <v>500</v>
      </c>
      <c r="E169" s="2" t="s">
        <v>62</v>
      </c>
      <c r="F169" s="2" t="s">
        <v>216</v>
      </c>
      <c r="G169" s="2" t="s">
        <v>309</v>
      </c>
      <c r="H169" s="2" t="s">
        <v>186</v>
      </c>
      <c r="I169" s="2" t="s">
        <v>309</v>
      </c>
      <c r="J169" s="2" t="s">
        <v>284</v>
      </c>
      <c r="K169" s="2" t="s">
        <v>779</v>
      </c>
      <c r="L169" s="2" t="s">
        <v>221</v>
      </c>
    </row>
    <row r="170" customFormat="false" ht="15" hidden="false" customHeight="false" outlineLevel="0" collapsed="false">
      <c r="A170" s="2" t="s">
        <v>780</v>
      </c>
      <c r="B170" s="10" t="s">
        <v>781</v>
      </c>
      <c r="C170" s="2" t="s">
        <v>765</v>
      </c>
      <c r="D170" s="28" t="n">
        <v>1500</v>
      </c>
      <c r="E170" s="2" t="s">
        <v>62</v>
      </c>
      <c r="F170" s="2" t="s">
        <v>216</v>
      </c>
      <c r="G170" s="2" t="s">
        <v>309</v>
      </c>
      <c r="H170" s="2" t="s">
        <v>186</v>
      </c>
      <c r="I170" s="2" t="s">
        <v>309</v>
      </c>
      <c r="J170" s="2" t="s">
        <v>284</v>
      </c>
      <c r="K170" s="2" t="s">
        <v>309</v>
      </c>
      <c r="L170" s="2" t="s">
        <v>221</v>
      </c>
    </row>
    <row r="171" customFormat="false" ht="15" hidden="false" customHeight="false" outlineLevel="0" collapsed="false">
      <c r="A171" s="2" t="s">
        <v>782</v>
      </c>
      <c r="B171" s="10" t="s">
        <v>783</v>
      </c>
      <c r="C171" s="2" t="s">
        <v>765</v>
      </c>
      <c r="D171" s="28" t="n">
        <v>20</v>
      </c>
      <c r="E171" s="2" t="s">
        <v>73</v>
      </c>
      <c r="F171" s="2" t="s">
        <v>216</v>
      </c>
      <c r="G171" s="2" t="s">
        <v>309</v>
      </c>
      <c r="H171" s="2" t="s">
        <v>186</v>
      </c>
      <c r="I171" s="2" t="s">
        <v>309</v>
      </c>
      <c r="J171" s="2" t="s">
        <v>284</v>
      </c>
      <c r="K171" s="2" t="s">
        <v>309</v>
      </c>
      <c r="L171" s="2" t="s">
        <v>221</v>
      </c>
    </row>
    <row r="172" customFormat="false" ht="15" hidden="false" customHeight="false" outlineLevel="0" collapsed="false">
      <c r="A172" s="2" t="s">
        <v>784</v>
      </c>
      <c r="B172" s="10" t="s">
        <v>785</v>
      </c>
      <c r="C172" s="2" t="s">
        <v>765</v>
      </c>
      <c r="D172" s="28" t="n">
        <v>50</v>
      </c>
      <c r="E172" s="2" t="s">
        <v>73</v>
      </c>
      <c r="F172" s="2" t="s">
        <v>216</v>
      </c>
      <c r="G172" s="2" t="s">
        <v>309</v>
      </c>
      <c r="H172" s="2" t="s">
        <v>186</v>
      </c>
      <c r="I172" s="2" t="s">
        <v>309</v>
      </c>
      <c r="J172" s="2" t="s">
        <v>284</v>
      </c>
      <c r="K172" s="2" t="s">
        <v>309</v>
      </c>
      <c r="L172" s="2" t="s">
        <v>221</v>
      </c>
    </row>
    <row r="173" customFormat="false" ht="15" hidden="false" customHeight="false" outlineLevel="0" collapsed="false">
      <c r="A173" s="2" t="s">
        <v>786</v>
      </c>
      <c r="B173" s="10" t="s">
        <v>787</v>
      </c>
      <c r="C173" s="2" t="s">
        <v>788</v>
      </c>
      <c r="D173" s="40" t="n">
        <v>0.349</v>
      </c>
      <c r="E173" s="2" t="s">
        <v>29</v>
      </c>
      <c r="F173" s="2" t="s">
        <v>216</v>
      </c>
      <c r="G173" s="2" t="s">
        <v>789</v>
      </c>
      <c r="H173" s="2" t="s">
        <v>186</v>
      </c>
      <c r="I173" s="2" t="s">
        <v>187</v>
      </c>
      <c r="J173" s="2" t="s">
        <v>333</v>
      </c>
      <c r="K173" s="2" t="s">
        <v>790</v>
      </c>
      <c r="L173" s="2" t="s">
        <v>791</v>
      </c>
    </row>
    <row r="174" customFormat="false" ht="15" hidden="false" customHeight="false" outlineLevel="0" collapsed="false">
      <c r="A174" s="2" t="s">
        <v>792</v>
      </c>
      <c r="B174" s="10" t="s">
        <v>793</v>
      </c>
      <c r="C174" s="2" t="s">
        <v>788</v>
      </c>
      <c r="D174" s="40" t="n">
        <v>0.348</v>
      </c>
      <c r="E174" s="2" t="s">
        <v>29</v>
      </c>
      <c r="F174" s="2" t="s">
        <v>216</v>
      </c>
      <c r="G174" s="2" t="s">
        <v>789</v>
      </c>
      <c r="H174" s="2" t="s">
        <v>186</v>
      </c>
      <c r="I174" s="2" t="s">
        <v>187</v>
      </c>
      <c r="J174" s="2" t="s">
        <v>333</v>
      </c>
      <c r="K174" s="2" t="s">
        <v>790</v>
      </c>
      <c r="L174" s="2" t="s">
        <v>791</v>
      </c>
    </row>
    <row r="175" customFormat="false" ht="15" hidden="false" customHeight="false" outlineLevel="0" collapsed="false">
      <c r="A175" s="2" t="s">
        <v>794</v>
      </c>
      <c r="B175" s="10" t="s">
        <v>795</v>
      </c>
      <c r="C175" s="2" t="s">
        <v>788</v>
      </c>
      <c r="D175" s="40" t="n">
        <v>0.303</v>
      </c>
      <c r="E175" s="2" t="s">
        <v>29</v>
      </c>
      <c r="F175" s="2" t="s">
        <v>216</v>
      </c>
      <c r="G175" s="2" t="s">
        <v>789</v>
      </c>
      <c r="H175" s="2" t="s">
        <v>186</v>
      </c>
      <c r="I175" s="2" t="s">
        <v>187</v>
      </c>
      <c r="J175" s="2" t="s">
        <v>333</v>
      </c>
      <c r="K175" s="2" t="s">
        <v>790</v>
      </c>
      <c r="L175" s="2" t="s">
        <v>791</v>
      </c>
    </row>
    <row r="176" customFormat="false" ht="15" hidden="false" customHeight="false" outlineLevel="0" collapsed="false">
      <c r="A176" s="2" t="s">
        <v>796</v>
      </c>
      <c r="B176" s="10" t="s">
        <v>797</v>
      </c>
      <c r="C176" s="2" t="s">
        <v>798</v>
      </c>
      <c r="D176" s="18" t="n">
        <v>0.2</v>
      </c>
      <c r="E176" s="2" t="s">
        <v>29</v>
      </c>
      <c r="F176" s="2" t="s">
        <v>216</v>
      </c>
      <c r="G176" s="2" t="s">
        <v>309</v>
      </c>
      <c r="H176" s="2" t="s">
        <v>186</v>
      </c>
      <c r="I176" s="2" t="s">
        <v>309</v>
      </c>
      <c r="J176" s="2" t="s">
        <v>284</v>
      </c>
      <c r="K176" s="2" t="s">
        <v>799</v>
      </c>
      <c r="L176" s="2" t="s">
        <v>221</v>
      </c>
    </row>
    <row r="177" customFormat="false" ht="15" hidden="false" customHeight="false" outlineLevel="0" collapsed="false">
      <c r="A177" s="2" t="s">
        <v>800</v>
      </c>
      <c r="B177" s="10" t="s">
        <v>801</v>
      </c>
      <c r="C177" s="2" t="s">
        <v>765</v>
      </c>
      <c r="D177" s="18" t="n">
        <v>0.4</v>
      </c>
      <c r="E177" s="2" t="s">
        <v>29</v>
      </c>
      <c r="F177" s="2" t="s">
        <v>216</v>
      </c>
      <c r="G177" s="2" t="s">
        <v>309</v>
      </c>
      <c r="H177" s="2" t="s">
        <v>186</v>
      </c>
      <c r="I177" s="2" t="s">
        <v>309</v>
      </c>
      <c r="J177" s="2" t="s">
        <v>284</v>
      </c>
      <c r="K177" s="2" t="s">
        <v>309</v>
      </c>
      <c r="L177" s="2" t="s">
        <v>221</v>
      </c>
    </row>
    <row r="178" customFormat="false" ht="15" hidden="false" customHeight="false" outlineLevel="0" collapsed="false">
      <c r="A178" s="2" t="s">
        <v>802</v>
      </c>
      <c r="B178" s="10" t="s">
        <v>803</v>
      </c>
      <c r="C178" s="2" t="s">
        <v>765</v>
      </c>
      <c r="D178" s="18" t="n">
        <v>0.6</v>
      </c>
      <c r="E178" s="2" t="s">
        <v>29</v>
      </c>
      <c r="F178" s="2" t="s">
        <v>216</v>
      </c>
      <c r="G178" s="2" t="s">
        <v>309</v>
      </c>
      <c r="H178" s="2" t="s">
        <v>186</v>
      </c>
      <c r="I178" s="2" t="s">
        <v>309</v>
      </c>
      <c r="J178" s="2" t="s">
        <v>284</v>
      </c>
      <c r="K178" s="2" t="s">
        <v>309</v>
      </c>
      <c r="L178" s="2" t="s">
        <v>221</v>
      </c>
    </row>
    <row r="179" customFormat="false" ht="15" hidden="false" customHeight="false" outlineLevel="0" collapsed="false">
      <c r="A179" s="2" t="s">
        <v>804</v>
      </c>
      <c r="B179" s="10" t="s">
        <v>805</v>
      </c>
      <c r="C179" s="2" t="s">
        <v>806</v>
      </c>
      <c r="D179" s="37" t="n">
        <v>58000</v>
      </c>
      <c r="E179" s="2" t="s">
        <v>62</v>
      </c>
      <c r="F179" s="2" t="s">
        <v>609</v>
      </c>
      <c r="G179" s="2" t="s">
        <v>807</v>
      </c>
      <c r="H179" s="2" t="s">
        <v>218</v>
      </c>
      <c r="I179" s="2" t="s">
        <v>228</v>
      </c>
      <c r="J179" s="2" t="s">
        <v>333</v>
      </c>
      <c r="K179" s="2" t="s">
        <v>808</v>
      </c>
      <c r="L179" s="2" t="s">
        <v>809</v>
      </c>
    </row>
    <row r="180" customFormat="false" ht="15" hidden="false" customHeight="false" outlineLevel="0" collapsed="false">
      <c r="A180" s="2" t="s">
        <v>810</v>
      </c>
      <c r="B180" s="10" t="s">
        <v>811</v>
      </c>
      <c r="C180" s="2" t="s">
        <v>812</v>
      </c>
      <c r="D180" s="37" t="n">
        <v>115000</v>
      </c>
      <c r="E180" s="2" t="s">
        <v>62</v>
      </c>
      <c r="F180" s="2" t="s">
        <v>609</v>
      </c>
      <c r="G180" s="2" t="s">
        <v>813</v>
      </c>
      <c r="H180" s="2" t="s">
        <v>218</v>
      </c>
      <c r="I180" s="2" t="s">
        <v>228</v>
      </c>
      <c r="J180" s="2" t="s">
        <v>333</v>
      </c>
      <c r="K180" s="2" t="s">
        <v>808</v>
      </c>
      <c r="L180" s="2" t="s">
        <v>809</v>
      </c>
    </row>
    <row r="181" customFormat="false" ht="15" hidden="false" customHeight="false" outlineLevel="0" collapsed="false">
      <c r="A181" s="2" t="s">
        <v>814</v>
      </c>
      <c r="B181" s="10" t="s">
        <v>815</v>
      </c>
      <c r="C181" s="2" t="s">
        <v>812</v>
      </c>
      <c r="D181" s="37" t="n">
        <v>230000</v>
      </c>
      <c r="E181" s="2" t="s">
        <v>62</v>
      </c>
      <c r="F181" s="2" t="s">
        <v>609</v>
      </c>
      <c r="G181" s="2" t="s">
        <v>813</v>
      </c>
      <c r="H181" s="2" t="s">
        <v>218</v>
      </c>
      <c r="I181" s="2" t="s">
        <v>228</v>
      </c>
      <c r="J181" s="2" t="s">
        <v>333</v>
      </c>
      <c r="K181" s="2" t="s">
        <v>808</v>
      </c>
      <c r="L181" s="2" t="s">
        <v>809</v>
      </c>
    </row>
    <row r="182" customFormat="false" ht="15" hidden="false" customHeight="false" outlineLevel="0" collapsed="false">
      <c r="A182" s="2" t="s">
        <v>816</v>
      </c>
      <c r="B182" s="10" t="s">
        <v>817</v>
      </c>
      <c r="C182" s="2" t="s">
        <v>818</v>
      </c>
      <c r="D182" s="45" t="n">
        <v>2029</v>
      </c>
      <c r="E182" s="2" t="s">
        <v>155</v>
      </c>
      <c r="F182" s="2" t="s">
        <v>216</v>
      </c>
      <c r="G182" s="2" t="s">
        <v>819</v>
      </c>
      <c r="H182" s="2" t="s">
        <v>186</v>
      </c>
      <c r="I182" s="2" t="s">
        <v>309</v>
      </c>
      <c r="J182" s="2" t="s">
        <v>284</v>
      </c>
      <c r="K182" s="2" t="s">
        <v>820</v>
      </c>
      <c r="L182" s="2" t="s">
        <v>435</v>
      </c>
    </row>
    <row r="183" customFormat="false" ht="15" hidden="false" customHeight="false" outlineLevel="0" collapsed="false">
      <c r="A183" s="2" t="s">
        <v>821</v>
      </c>
      <c r="B183" s="10" t="s">
        <v>822</v>
      </c>
      <c r="C183" s="2" t="s">
        <v>823</v>
      </c>
      <c r="D183" s="28" t="n">
        <v>1000</v>
      </c>
      <c r="E183" s="2" t="s">
        <v>73</v>
      </c>
      <c r="F183" s="2" t="s">
        <v>216</v>
      </c>
      <c r="G183" s="2" t="s">
        <v>824</v>
      </c>
      <c r="H183" s="2" t="s">
        <v>186</v>
      </c>
      <c r="I183" s="2" t="s">
        <v>309</v>
      </c>
      <c r="J183" s="2" t="s">
        <v>284</v>
      </c>
      <c r="K183" s="2" t="s">
        <v>355</v>
      </c>
      <c r="L183" s="2" t="s">
        <v>221</v>
      </c>
    </row>
    <row r="184" customFormat="false" ht="15" hidden="false" customHeight="false" outlineLevel="0" collapsed="false">
      <c r="A184" s="2" t="s">
        <v>825</v>
      </c>
      <c r="B184" s="10" t="s">
        <v>826</v>
      </c>
      <c r="C184" s="2" t="s">
        <v>827</v>
      </c>
      <c r="D184" s="28" t="n">
        <v>3000</v>
      </c>
      <c r="E184" s="2" t="s">
        <v>73</v>
      </c>
      <c r="F184" s="2" t="s">
        <v>216</v>
      </c>
      <c r="G184" s="2" t="s">
        <v>326</v>
      </c>
      <c r="H184" s="2" t="s">
        <v>186</v>
      </c>
      <c r="I184" s="2" t="s">
        <v>309</v>
      </c>
      <c r="J184" s="2" t="s">
        <v>284</v>
      </c>
      <c r="K184" s="2" t="s">
        <v>355</v>
      </c>
      <c r="L184" s="2" t="s">
        <v>221</v>
      </c>
    </row>
    <row r="185" customFormat="false" ht="15" hidden="false" customHeight="false" outlineLevel="0" collapsed="false">
      <c r="A185" s="2" t="s">
        <v>828</v>
      </c>
      <c r="B185" s="10" t="s">
        <v>829</v>
      </c>
      <c r="C185" s="2" t="s">
        <v>354</v>
      </c>
      <c r="D185" s="18" t="n">
        <v>0.3</v>
      </c>
      <c r="E185" s="2" t="s">
        <v>29</v>
      </c>
      <c r="F185" s="2" t="s">
        <v>216</v>
      </c>
      <c r="G185" s="2" t="s">
        <v>309</v>
      </c>
      <c r="H185" s="2" t="s">
        <v>186</v>
      </c>
      <c r="I185" s="2" t="s">
        <v>309</v>
      </c>
      <c r="J185" s="2" t="s">
        <v>284</v>
      </c>
      <c r="K185" s="2" t="s">
        <v>355</v>
      </c>
      <c r="L185" s="2" t="s">
        <v>221</v>
      </c>
    </row>
    <row r="186" customFormat="false" ht="15" hidden="false" customHeight="false" outlineLevel="0" collapsed="false">
      <c r="A186" s="34" t="s">
        <v>830</v>
      </c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</row>
    <row r="187" customFormat="false" ht="15" hidden="false" customHeight="false" outlineLevel="0" collapsed="false">
      <c r="A187" s="2" t="s">
        <v>831</v>
      </c>
      <c r="B187" s="10" t="s">
        <v>832</v>
      </c>
      <c r="C187" s="2" t="s">
        <v>833</v>
      </c>
      <c r="D187" s="37" t="n">
        <v>41311</v>
      </c>
      <c r="E187" s="2" t="s">
        <v>62</v>
      </c>
      <c r="F187" s="2" t="s">
        <v>834</v>
      </c>
      <c r="G187" s="2" t="s">
        <v>835</v>
      </c>
      <c r="H187" s="2" t="s">
        <v>218</v>
      </c>
      <c r="I187" s="2" t="s">
        <v>228</v>
      </c>
      <c r="J187" s="2" t="s">
        <v>284</v>
      </c>
      <c r="K187" s="2" t="s">
        <v>163</v>
      </c>
      <c r="L187" s="2" t="s">
        <v>836</v>
      </c>
    </row>
    <row r="188" customFormat="false" ht="15" hidden="false" customHeight="false" outlineLevel="0" collapsed="false">
      <c r="A188" s="2" t="s">
        <v>837</v>
      </c>
      <c r="B188" s="10" t="s">
        <v>838</v>
      </c>
      <c r="C188" s="2" t="s">
        <v>839</v>
      </c>
      <c r="D188" s="37" t="n">
        <v>16055</v>
      </c>
      <c r="E188" s="2" t="s">
        <v>62</v>
      </c>
      <c r="F188" s="2" t="s">
        <v>593</v>
      </c>
      <c r="G188" s="2" t="s">
        <v>835</v>
      </c>
      <c r="H188" s="2" t="s">
        <v>218</v>
      </c>
      <c r="I188" s="2" t="s">
        <v>228</v>
      </c>
      <c r="J188" s="2" t="s">
        <v>284</v>
      </c>
      <c r="K188" s="2" t="s">
        <v>163</v>
      </c>
      <c r="L188" s="2" t="s">
        <v>836</v>
      </c>
    </row>
    <row r="189" customFormat="false" ht="15" hidden="false" customHeight="false" outlineLevel="0" collapsed="false">
      <c r="A189" s="2" t="s">
        <v>840</v>
      </c>
      <c r="B189" s="10" t="s">
        <v>841</v>
      </c>
      <c r="C189" s="2" t="s">
        <v>839</v>
      </c>
      <c r="D189" s="37" t="n">
        <v>3201</v>
      </c>
      <c r="E189" s="2" t="s">
        <v>62</v>
      </c>
      <c r="F189" s="2" t="s">
        <v>593</v>
      </c>
      <c r="G189" s="2" t="s">
        <v>835</v>
      </c>
      <c r="H189" s="2" t="s">
        <v>218</v>
      </c>
      <c r="I189" s="2" t="s">
        <v>228</v>
      </c>
      <c r="J189" s="2" t="s">
        <v>284</v>
      </c>
      <c r="K189" s="2" t="s">
        <v>163</v>
      </c>
      <c r="L189" s="2" t="s">
        <v>842</v>
      </c>
    </row>
    <row r="190" customFormat="false" ht="15" hidden="false" customHeight="false" outlineLevel="0" collapsed="false">
      <c r="A190" s="2" t="s">
        <v>843</v>
      </c>
      <c r="B190" s="10" t="s">
        <v>844</v>
      </c>
      <c r="C190" s="2" t="s">
        <v>839</v>
      </c>
      <c r="D190" s="37" t="n">
        <v>6355</v>
      </c>
      <c r="E190" s="2" t="s">
        <v>62</v>
      </c>
      <c r="F190" s="2" t="s">
        <v>593</v>
      </c>
      <c r="G190" s="2" t="s">
        <v>835</v>
      </c>
      <c r="H190" s="2" t="s">
        <v>218</v>
      </c>
      <c r="I190" s="2" t="s">
        <v>228</v>
      </c>
      <c r="J190" s="2" t="s">
        <v>284</v>
      </c>
      <c r="K190" s="2" t="s">
        <v>163</v>
      </c>
      <c r="L190" s="2" t="s">
        <v>842</v>
      </c>
    </row>
    <row r="191" customFormat="false" ht="15" hidden="false" customHeight="false" outlineLevel="0" collapsed="false">
      <c r="A191" s="2" t="s">
        <v>845</v>
      </c>
      <c r="B191" s="10" t="s">
        <v>846</v>
      </c>
      <c r="C191" s="2" t="s">
        <v>847</v>
      </c>
      <c r="D191" s="37" t="n">
        <v>818</v>
      </c>
      <c r="E191" s="2" t="s">
        <v>62</v>
      </c>
      <c r="F191" s="2" t="s">
        <v>848</v>
      </c>
      <c r="G191" s="2" t="s">
        <v>835</v>
      </c>
      <c r="H191" s="2" t="s">
        <v>218</v>
      </c>
      <c r="I191" s="2" t="s">
        <v>228</v>
      </c>
      <c r="J191" s="2" t="s">
        <v>333</v>
      </c>
      <c r="K191" s="2" t="s">
        <v>163</v>
      </c>
      <c r="L191" s="2" t="s">
        <v>842</v>
      </c>
    </row>
    <row r="192" customFormat="false" ht="15" hidden="false" customHeight="false" outlineLevel="0" collapsed="false">
      <c r="A192" s="2" t="s">
        <v>849</v>
      </c>
      <c r="B192" s="10" t="s">
        <v>850</v>
      </c>
      <c r="C192" s="2" t="s">
        <v>847</v>
      </c>
      <c r="D192" s="37" t="n">
        <v>2469</v>
      </c>
      <c r="E192" s="2" t="s">
        <v>62</v>
      </c>
      <c r="F192" s="2" t="s">
        <v>848</v>
      </c>
      <c r="G192" s="2" t="s">
        <v>835</v>
      </c>
      <c r="H192" s="2" t="s">
        <v>218</v>
      </c>
      <c r="I192" s="2" t="s">
        <v>228</v>
      </c>
      <c r="J192" s="2" t="s">
        <v>333</v>
      </c>
      <c r="K192" s="2" t="s">
        <v>163</v>
      </c>
      <c r="L192" s="2" t="s">
        <v>842</v>
      </c>
    </row>
    <row r="193" customFormat="false" ht="15" hidden="false" customHeight="false" outlineLevel="0" collapsed="false">
      <c r="A193" s="2" t="s">
        <v>851</v>
      </c>
      <c r="B193" s="10" t="s">
        <v>852</v>
      </c>
      <c r="C193" s="2" t="s">
        <v>853</v>
      </c>
      <c r="D193" s="37" t="n">
        <v>2560</v>
      </c>
      <c r="E193" s="2" t="s">
        <v>62</v>
      </c>
      <c r="F193" s="2" t="s">
        <v>854</v>
      </c>
      <c r="G193" s="2" t="s">
        <v>855</v>
      </c>
      <c r="H193" s="2" t="s">
        <v>218</v>
      </c>
      <c r="I193" s="2" t="s">
        <v>219</v>
      </c>
      <c r="J193" s="2" t="s">
        <v>333</v>
      </c>
      <c r="K193" s="2" t="s">
        <v>856</v>
      </c>
      <c r="L193" s="2" t="s">
        <v>842</v>
      </c>
    </row>
    <row r="194" customFormat="false" ht="15" hidden="false" customHeight="false" outlineLevel="0" collapsed="false">
      <c r="A194" s="2" t="s">
        <v>857</v>
      </c>
      <c r="B194" s="10" t="s">
        <v>858</v>
      </c>
      <c r="C194" s="2" t="s">
        <v>853</v>
      </c>
      <c r="D194" s="37" t="n">
        <v>1260</v>
      </c>
      <c r="E194" s="2" t="s">
        <v>62</v>
      </c>
      <c r="F194" s="2" t="s">
        <v>854</v>
      </c>
      <c r="G194" s="2" t="s">
        <v>855</v>
      </c>
      <c r="H194" s="2" t="s">
        <v>218</v>
      </c>
      <c r="I194" s="2" t="s">
        <v>219</v>
      </c>
      <c r="J194" s="2" t="s">
        <v>333</v>
      </c>
      <c r="K194" s="2" t="s">
        <v>856</v>
      </c>
      <c r="L194" s="2" t="s">
        <v>842</v>
      </c>
    </row>
    <row r="195" customFormat="false" ht="15" hidden="false" customHeight="false" outlineLevel="0" collapsed="false">
      <c r="A195" s="2" t="s">
        <v>859</v>
      </c>
      <c r="B195" s="10" t="s">
        <v>860</v>
      </c>
      <c r="C195" s="2" t="s">
        <v>853</v>
      </c>
      <c r="D195" s="37" t="n">
        <v>18400</v>
      </c>
      <c r="E195" s="2" t="s">
        <v>62</v>
      </c>
      <c r="F195" s="2" t="s">
        <v>854</v>
      </c>
      <c r="G195" s="2" t="s">
        <v>855</v>
      </c>
      <c r="H195" s="2" t="s">
        <v>218</v>
      </c>
      <c r="I195" s="2" t="s">
        <v>219</v>
      </c>
      <c r="J195" s="2" t="s">
        <v>333</v>
      </c>
      <c r="K195" s="2" t="s">
        <v>856</v>
      </c>
      <c r="L195" s="2" t="s">
        <v>842</v>
      </c>
    </row>
    <row r="196" customFormat="false" ht="15" hidden="false" customHeight="false" outlineLevel="0" collapsed="false">
      <c r="A196" s="2" t="s">
        <v>861</v>
      </c>
      <c r="B196" s="10" t="s">
        <v>862</v>
      </c>
      <c r="C196" s="2" t="s">
        <v>863</v>
      </c>
      <c r="D196" s="37" t="n">
        <v>250000</v>
      </c>
      <c r="E196" s="2" t="s">
        <v>62</v>
      </c>
      <c r="F196" s="2" t="s">
        <v>864</v>
      </c>
      <c r="G196" s="2" t="s">
        <v>865</v>
      </c>
      <c r="H196" s="2" t="s">
        <v>218</v>
      </c>
      <c r="I196" s="2" t="s">
        <v>219</v>
      </c>
      <c r="J196" s="2" t="s">
        <v>284</v>
      </c>
      <c r="K196" s="2" t="s">
        <v>163</v>
      </c>
      <c r="L196" s="2" t="s">
        <v>842</v>
      </c>
    </row>
    <row r="197" customFormat="false" ht="15" hidden="false" customHeight="false" outlineLevel="0" collapsed="false">
      <c r="A197" s="2" t="s">
        <v>866</v>
      </c>
      <c r="B197" s="10" t="s">
        <v>867</v>
      </c>
      <c r="C197" s="2" t="s">
        <v>868</v>
      </c>
      <c r="D197" s="37" t="n">
        <v>7000</v>
      </c>
      <c r="E197" s="2" t="s">
        <v>62</v>
      </c>
      <c r="F197" s="2" t="s">
        <v>393</v>
      </c>
      <c r="G197" s="2" t="s">
        <v>869</v>
      </c>
      <c r="H197" s="2" t="s">
        <v>218</v>
      </c>
      <c r="I197" s="2" t="s">
        <v>219</v>
      </c>
      <c r="J197" s="2" t="s">
        <v>284</v>
      </c>
      <c r="K197" s="2" t="s">
        <v>870</v>
      </c>
      <c r="L197" s="2" t="s">
        <v>871</v>
      </c>
    </row>
    <row r="198" customFormat="false" ht="15" hidden="false" customHeight="false" outlineLevel="0" collapsed="false">
      <c r="A198" s="2" t="s">
        <v>872</v>
      </c>
      <c r="B198" s="10" t="s">
        <v>873</v>
      </c>
      <c r="C198" s="2" t="s">
        <v>874</v>
      </c>
      <c r="D198" s="37" t="n">
        <v>8000</v>
      </c>
      <c r="E198" s="2" t="s">
        <v>62</v>
      </c>
      <c r="F198" s="2" t="s">
        <v>393</v>
      </c>
      <c r="G198" s="2" t="s">
        <v>875</v>
      </c>
      <c r="H198" s="2" t="s">
        <v>186</v>
      </c>
      <c r="I198" s="2" t="s">
        <v>876</v>
      </c>
      <c r="J198" s="2" t="s">
        <v>284</v>
      </c>
      <c r="K198" s="2" t="s">
        <v>877</v>
      </c>
      <c r="L198" s="2" t="s">
        <v>871</v>
      </c>
    </row>
    <row r="199" customFormat="false" ht="15" hidden="false" customHeight="false" outlineLevel="0" collapsed="false">
      <c r="A199" s="2" t="s">
        <v>878</v>
      </c>
      <c r="B199" s="10" t="s">
        <v>879</v>
      </c>
      <c r="C199" s="2" t="s">
        <v>880</v>
      </c>
      <c r="D199" s="37" t="n">
        <v>32000</v>
      </c>
      <c r="E199" s="2" t="s">
        <v>62</v>
      </c>
      <c r="F199" s="2" t="s">
        <v>881</v>
      </c>
      <c r="G199" s="2" t="s">
        <v>882</v>
      </c>
      <c r="H199" s="2" t="s">
        <v>218</v>
      </c>
      <c r="I199" s="2" t="s">
        <v>219</v>
      </c>
      <c r="J199" s="2" t="s">
        <v>284</v>
      </c>
      <c r="K199" s="2" t="s">
        <v>870</v>
      </c>
      <c r="L199" s="2" t="s">
        <v>842</v>
      </c>
    </row>
    <row r="200" customFormat="false" ht="15" hidden="false" customHeight="false" outlineLevel="0" collapsed="false">
      <c r="A200" s="2" t="s">
        <v>883</v>
      </c>
      <c r="B200" s="10" t="s">
        <v>884</v>
      </c>
      <c r="C200" s="2" t="s">
        <v>885</v>
      </c>
      <c r="D200" s="38" t="n">
        <v>40</v>
      </c>
      <c r="E200" s="2" t="s">
        <v>133</v>
      </c>
      <c r="F200" s="2" t="s">
        <v>886</v>
      </c>
      <c r="G200" s="2" t="s">
        <v>887</v>
      </c>
      <c r="H200" s="2" t="s">
        <v>218</v>
      </c>
      <c r="I200" s="2" t="s">
        <v>219</v>
      </c>
      <c r="J200" s="2" t="s">
        <v>333</v>
      </c>
      <c r="K200" s="2" t="s">
        <v>870</v>
      </c>
      <c r="L200" s="2" t="s">
        <v>842</v>
      </c>
    </row>
    <row r="201" customFormat="false" ht="15" hidden="false" customHeight="false" outlineLevel="0" collapsed="false">
      <c r="A201" s="2" t="s">
        <v>888</v>
      </c>
      <c r="B201" s="10" t="s">
        <v>889</v>
      </c>
      <c r="C201" s="2" t="s">
        <v>890</v>
      </c>
      <c r="D201" s="37" t="n">
        <v>2000</v>
      </c>
      <c r="E201" s="2" t="s">
        <v>62</v>
      </c>
      <c r="F201" s="2" t="s">
        <v>891</v>
      </c>
      <c r="G201" s="2" t="s">
        <v>887</v>
      </c>
      <c r="H201" s="2" t="s">
        <v>218</v>
      </c>
      <c r="I201" s="2" t="s">
        <v>219</v>
      </c>
      <c r="J201" s="2" t="s">
        <v>284</v>
      </c>
      <c r="K201" s="2" t="s">
        <v>892</v>
      </c>
      <c r="L201" s="2" t="s">
        <v>836</v>
      </c>
    </row>
    <row r="202" customFormat="false" ht="15" hidden="false" customHeight="false" outlineLevel="0" collapsed="false">
      <c r="A202" s="2" t="s">
        <v>893</v>
      </c>
      <c r="B202" s="10" t="s">
        <v>894</v>
      </c>
      <c r="C202" s="2" t="s">
        <v>890</v>
      </c>
      <c r="D202" s="37" t="n">
        <v>10000</v>
      </c>
      <c r="E202" s="2" t="s">
        <v>62</v>
      </c>
      <c r="F202" s="2" t="s">
        <v>891</v>
      </c>
      <c r="G202" s="2" t="s">
        <v>887</v>
      </c>
      <c r="H202" s="2" t="s">
        <v>218</v>
      </c>
      <c r="I202" s="2" t="s">
        <v>219</v>
      </c>
      <c r="J202" s="2" t="s">
        <v>284</v>
      </c>
      <c r="K202" s="2" t="s">
        <v>892</v>
      </c>
      <c r="L202" s="2" t="s">
        <v>842</v>
      </c>
    </row>
    <row r="203" customFormat="false" ht="15" hidden="false" customHeight="false" outlineLevel="0" collapsed="false">
      <c r="A203" s="2" t="s">
        <v>895</v>
      </c>
      <c r="B203" s="10" t="s">
        <v>896</v>
      </c>
      <c r="C203" s="2" t="s">
        <v>897</v>
      </c>
      <c r="D203" s="37" t="n">
        <v>40000</v>
      </c>
      <c r="E203" s="2" t="s">
        <v>62</v>
      </c>
      <c r="F203" s="2" t="s">
        <v>359</v>
      </c>
      <c r="G203" s="2" t="s">
        <v>898</v>
      </c>
      <c r="H203" s="2" t="s">
        <v>186</v>
      </c>
      <c r="I203" s="2" t="s">
        <v>259</v>
      </c>
      <c r="J203" s="2" t="s">
        <v>188</v>
      </c>
      <c r="K203" s="2" t="s">
        <v>892</v>
      </c>
      <c r="L203" s="2" t="s">
        <v>842</v>
      </c>
    </row>
    <row r="204" customFormat="false" ht="15" hidden="false" customHeight="false" outlineLevel="0" collapsed="false">
      <c r="A204" s="2" t="s">
        <v>899</v>
      </c>
      <c r="B204" s="10" t="s">
        <v>900</v>
      </c>
      <c r="C204" s="2" t="s">
        <v>901</v>
      </c>
      <c r="D204" s="38" t="n">
        <v>200</v>
      </c>
      <c r="E204" s="2" t="s">
        <v>133</v>
      </c>
      <c r="F204" s="2" t="s">
        <v>902</v>
      </c>
      <c r="G204" s="2" t="s">
        <v>887</v>
      </c>
      <c r="H204" s="2" t="s">
        <v>218</v>
      </c>
      <c r="I204" s="2" t="s">
        <v>219</v>
      </c>
      <c r="J204" s="2" t="s">
        <v>333</v>
      </c>
      <c r="K204" s="2" t="s">
        <v>892</v>
      </c>
      <c r="L204" s="2" t="s">
        <v>842</v>
      </c>
    </row>
    <row r="205" customFormat="false" ht="15" hidden="false" customHeight="false" outlineLevel="0" collapsed="false">
      <c r="A205" s="2" t="s">
        <v>903</v>
      </c>
      <c r="B205" s="10" t="s">
        <v>904</v>
      </c>
      <c r="C205" s="2" t="s">
        <v>905</v>
      </c>
      <c r="D205" s="37" t="n">
        <v>100</v>
      </c>
      <c r="E205" s="2" t="s">
        <v>62</v>
      </c>
      <c r="F205" s="2" t="s">
        <v>216</v>
      </c>
      <c r="G205" s="2" t="s">
        <v>906</v>
      </c>
      <c r="H205" s="2" t="s">
        <v>186</v>
      </c>
      <c r="I205" s="2" t="s">
        <v>219</v>
      </c>
      <c r="J205" s="2" t="s">
        <v>188</v>
      </c>
      <c r="K205" s="2" t="s">
        <v>892</v>
      </c>
      <c r="L205" s="2" t="s">
        <v>842</v>
      </c>
    </row>
    <row r="206" customFormat="false" ht="15" hidden="false" customHeight="false" outlineLevel="0" collapsed="false">
      <c r="A206" s="2" t="s">
        <v>907</v>
      </c>
      <c r="B206" s="10" t="s">
        <v>908</v>
      </c>
      <c r="C206" s="2" t="s">
        <v>909</v>
      </c>
      <c r="D206" s="37" t="n">
        <v>2155</v>
      </c>
      <c r="E206" s="2" t="s">
        <v>62</v>
      </c>
      <c r="F206" s="2" t="s">
        <v>910</v>
      </c>
      <c r="G206" s="2" t="s">
        <v>887</v>
      </c>
      <c r="H206" s="2" t="s">
        <v>218</v>
      </c>
      <c r="I206" s="2" t="s">
        <v>219</v>
      </c>
      <c r="J206" s="2" t="s">
        <v>284</v>
      </c>
      <c r="K206" s="2" t="s">
        <v>911</v>
      </c>
      <c r="L206" s="2" t="s">
        <v>836</v>
      </c>
    </row>
    <row r="207" customFormat="false" ht="15" hidden="false" customHeight="false" outlineLevel="0" collapsed="false">
      <c r="A207" s="2" t="s">
        <v>912</v>
      </c>
      <c r="B207" s="10" t="s">
        <v>913</v>
      </c>
      <c r="C207" s="2" t="s">
        <v>914</v>
      </c>
      <c r="D207" s="37" t="n">
        <v>8000</v>
      </c>
      <c r="E207" s="2" t="s">
        <v>62</v>
      </c>
      <c r="F207" s="2" t="s">
        <v>216</v>
      </c>
      <c r="G207" s="2" t="s">
        <v>887</v>
      </c>
      <c r="H207" s="2" t="s">
        <v>218</v>
      </c>
      <c r="I207" s="2" t="s">
        <v>219</v>
      </c>
      <c r="J207" s="2" t="s">
        <v>284</v>
      </c>
      <c r="K207" s="2" t="s">
        <v>911</v>
      </c>
      <c r="L207" s="2" t="s">
        <v>842</v>
      </c>
    </row>
    <row r="208" customFormat="false" ht="15" hidden="false" customHeight="false" outlineLevel="0" collapsed="false">
      <c r="A208" s="2" t="s">
        <v>915</v>
      </c>
      <c r="B208" s="10" t="s">
        <v>916</v>
      </c>
      <c r="C208" s="2" t="s">
        <v>917</v>
      </c>
      <c r="D208" s="37" t="n">
        <v>25000</v>
      </c>
      <c r="E208" s="2" t="s">
        <v>62</v>
      </c>
      <c r="F208" s="2" t="s">
        <v>918</v>
      </c>
      <c r="G208" s="2" t="s">
        <v>887</v>
      </c>
      <c r="H208" s="2" t="s">
        <v>218</v>
      </c>
      <c r="I208" s="2" t="s">
        <v>219</v>
      </c>
      <c r="J208" s="2" t="s">
        <v>188</v>
      </c>
      <c r="K208" s="2" t="s">
        <v>911</v>
      </c>
      <c r="L208" s="2" t="s">
        <v>842</v>
      </c>
    </row>
    <row r="209" customFormat="false" ht="15" hidden="false" customHeight="false" outlineLevel="0" collapsed="false">
      <c r="A209" s="2" t="s">
        <v>919</v>
      </c>
      <c r="B209" s="10" t="s">
        <v>920</v>
      </c>
      <c r="C209" s="2" t="s">
        <v>914</v>
      </c>
      <c r="D209" s="38" t="n">
        <v>200</v>
      </c>
      <c r="E209" s="2" t="s">
        <v>133</v>
      </c>
      <c r="F209" s="2" t="s">
        <v>216</v>
      </c>
      <c r="G209" s="2" t="s">
        <v>887</v>
      </c>
      <c r="H209" s="2" t="s">
        <v>218</v>
      </c>
      <c r="I209" s="2" t="s">
        <v>219</v>
      </c>
      <c r="J209" s="2" t="s">
        <v>333</v>
      </c>
      <c r="K209" s="2" t="s">
        <v>911</v>
      </c>
      <c r="L209" s="2" t="s">
        <v>842</v>
      </c>
    </row>
    <row r="210" customFormat="false" ht="15" hidden="false" customHeight="false" outlineLevel="0" collapsed="false">
      <c r="A210" s="2" t="s">
        <v>921</v>
      </c>
      <c r="B210" s="10" t="s">
        <v>922</v>
      </c>
      <c r="C210" s="2" t="s">
        <v>923</v>
      </c>
      <c r="D210" s="37" t="n">
        <v>7492</v>
      </c>
      <c r="E210" s="2" t="s">
        <v>62</v>
      </c>
      <c r="F210" s="2" t="s">
        <v>924</v>
      </c>
      <c r="G210" s="2" t="s">
        <v>887</v>
      </c>
      <c r="H210" s="2" t="s">
        <v>218</v>
      </c>
      <c r="I210" s="2" t="s">
        <v>219</v>
      </c>
      <c r="J210" s="2" t="s">
        <v>284</v>
      </c>
      <c r="K210" s="2" t="s">
        <v>925</v>
      </c>
      <c r="L210" s="2" t="s">
        <v>836</v>
      </c>
    </row>
    <row r="211" customFormat="false" ht="15" hidden="false" customHeight="false" outlineLevel="0" collapsed="false">
      <c r="A211" s="2" t="s">
        <v>926</v>
      </c>
      <c r="B211" s="10" t="s">
        <v>927</v>
      </c>
      <c r="C211" s="2" t="s">
        <v>928</v>
      </c>
      <c r="D211" s="37" t="n">
        <v>830</v>
      </c>
      <c r="E211" s="2" t="s">
        <v>62</v>
      </c>
      <c r="F211" s="2" t="s">
        <v>929</v>
      </c>
      <c r="G211" s="2" t="s">
        <v>887</v>
      </c>
      <c r="H211" s="2" t="s">
        <v>218</v>
      </c>
      <c r="I211" s="2" t="s">
        <v>219</v>
      </c>
      <c r="J211" s="2" t="s">
        <v>284</v>
      </c>
      <c r="K211" s="2" t="s">
        <v>925</v>
      </c>
      <c r="L211" s="2" t="s">
        <v>842</v>
      </c>
    </row>
    <row r="212" customFormat="false" ht="15" hidden="false" customHeight="false" outlineLevel="0" collapsed="false">
      <c r="A212" s="2" t="s">
        <v>930</v>
      </c>
      <c r="B212" s="10" t="s">
        <v>931</v>
      </c>
      <c r="C212" s="2" t="s">
        <v>932</v>
      </c>
      <c r="D212" s="37" t="n">
        <v>24374</v>
      </c>
      <c r="E212" s="2" t="s">
        <v>62</v>
      </c>
      <c r="F212" s="2" t="s">
        <v>924</v>
      </c>
      <c r="G212" s="2" t="s">
        <v>882</v>
      </c>
      <c r="H212" s="2" t="s">
        <v>218</v>
      </c>
      <c r="I212" s="2" t="s">
        <v>219</v>
      </c>
      <c r="J212" s="2" t="s">
        <v>188</v>
      </c>
      <c r="K212" s="2" t="s">
        <v>925</v>
      </c>
      <c r="L212" s="2" t="s">
        <v>842</v>
      </c>
    </row>
    <row r="213" customFormat="false" ht="15" hidden="false" customHeight="false" outlineLevel="0" collapsed="false">
      <c r="A213" s="2" t="s">
        <v>933</v>
      </c>
      <c r="B213" s="10" t="s">
        <v>934</v>
      </c>
      <c r="C213" s="2" t="s">
        <v>935</v>
      </c>
      <c r="D213" s="38" t="n">
        <v>900</v>
      </c>
      <c r="E213" s="2" t="s">
        <v>133</v>
      </c>
      <c r="F213" s="2" t="s">
        <v>216</v>
      </c>
      <c r="G213" s="2" t="s">
        <v>887</v>
      </c>
      <c r="H213" s="2" t="s">
        <v>218</v>
      </c>
      <c r="I213" s="2" t="s">
        <v>219</v>
      </c>
      <c r="J213" s="2" t="s">
        <v>333</v>
      </c>
      <c r="K213" s="2" t="s">
        <v>925</v>
      </c>
      <c r="L213" s="2" t="s">
        <v>842</v>
      </c>
    </row>
    <row r="214" customFormat="false" ht="15" hidden="false" customHeight="false" outlineLevel="0" collapsed="false">
      <c r="A214" s="2" t="s">
        <v>936</v>
      </c>
      <c r="B214" s="10" t="s">
        <v>937</v>
      </c>
      <c r="C214" s="2" t="s">
        <v>938</v>
      </c>
      <c r="D214" s="37" t="n">
        <v>1167</v>
      </c>
      <c r="E214" s="2" t="s">
        <v>62</v>
      </c>
      <c r="F214" s="2" t="s">
        <v>216</v>
      </c>
      <c r="G214" s="2" t="s">
        <v>939</v>
      </c>
      <c r="H214" s="2" t="s">
        <v>186</v>
      </c>
      <c r="I214" s="2" t="s">
        <v>219</v>
      </c>
      <c r="J214" s="2" t="s">
        <v>188</v>
      </c>
      <c r="K214" s="2" t="s">
        <v>925</v>
      </c>
      <c r="L214" s="2" t="s">
        <v>842</v>
      </c>
    </row>
    <row r="215" customFormat="false" ht="15" hidden="false" customHeight="false" outlineLevel="0" collapsed="false">
      <c r="A215" s="2" t="s">
        <v>940</v>
      </c>
      <c r="B215" s="10" t="s">
        <v>941</v>
      </c>
      <c r="C215" s="2" t="s">
        <v>942</v>
      </c>
      <c r="D215" s="37" t="n">
        <v>300</v>
      </c>
      <c r="E215" s="2" t="s">
        <v>62</v>
      </c>
      <c r="F215" s="2" t="s">
        <v>943</v>
      </c>
      <c r="G215" s="2" t="s">
        <v>887</v>
      </c>
      <c r="H215" s="2" t="s">
        <v>218</v>
      </c>
      <c r="I215" s="2" t="s">
        <v>219</v>
      </c>
      <c r="J215" s="2" t="s">
        <v>284</v>
      </c>
      <c r="K215" s="2" t="s">
        <v>944</v>
      </c>
      <c r="L215" s="2" t="s">
        <v>842</v>
      </c>
    </row>
    <row r="216" customFormat="false" ht="15" hidden="false" customHeight="false" outlineLevel="0" collapsed="false">
      <c r="A216" s="2" t="s">
        <v>945</v>
      </c>
      <c r="B216" s="10" t="s">
        <v>946</v>
      </c>
      <c r="C216" s="2" t="s">
        <v>942</v>
      </c>
      <c r="D216" s="37" t="n">
        <v>1300</v>
      </c>
      <c r="E216" s="2" t="s">
        <v>62</v>
      </c>
      <c r="F216" s="2" t="s">
        <v>943</v>
      </c>
      <c r="G216" s="2" t="s">
        <v>887</v>
      </c>
      <c r="H216" s="2" t="s">
        <v>218</v>
      </c>
      <c r="I216" s="2" t="s">
        <v>219</v>
      </c>
      <c r="J216" s="2" t="s">
        <v>284</v>
      </c>
      <c r="K216" s="2" t="s">
        <v>944</v>
      </c>
      <c r="L216" s="2" t="s">
        <v>842</v>
      </c>
    </row>
    <row r="217" customFormat="false" ht="15" hidden="false" customHeight="false" outlineLevel="0" collapsed="false">
      <c r="A217" s="2" t="s">
        <v>947</v>
      </c>
      <c r="B217" s="10" t="s">
        <v>948</v>
      </c>
      <c r="C217" s="2" t="s">
        <v>949</v>
      </c>
      <c r="D217" s="38" t="n">
        <v>48</v>
      </c>
      <c r="E217" s="2" t="s">
        <v>133</v>
      </c>
      <c r="F217" s="2" t="s">
        <v>950</v>
      </c>
      <c r="G217" s="2" t="s">
        <v>887</v>
      </c>
      <c r="H217" s="2" t="s">
        <v>218</v>
      </c>
      <c r="I217" s="2" t="s">
        <v>219</v>
      </c>
      <c r="J217" s="2" t="s">
        <v>333</v>
      </c>
      <c r="K217" s="2" t="s">
        <v>944</v>
      </c>
      <c r="L217" s="2" t="s">
        <v>842</v>
      </c>
    </row>
    <row r="218" customFormat="false" ht="15" hidden="false" customHeight="false" outlineLevel="0" collapsed="false">
      <c r="A218" s="2" t="s">
        <v>951</v>
      </c>
      <c r="B218" s="10" t="s">
        <v>952</v>
      </c>
      <c r="C218" s="2" t="s">
        <v>953</v>
      </c>
      <c r="D218" s="37" t="n">
        <v>480</v>
      </c>
      <c r="E218" s="2" t="s">
        <v>62</v>
      </c>
      <c r="F218" s="2" t="s">
        <v>954</v>
      </c>
      <c r="G218" s="2" t="s">
        <v>887</v>
      </c>
      <c r="H218" s="2" t="s">
        <v>218</v>
      </c>
      <c r="I218" s="2" t="s">
        <v>219</v>
      </c>
      <c r="J218" s="2" t="s">
        <v>284</v>
      </c>
      <c r="K218" s="2" t="s">
        <v>955</v>
      </c>
      <c r="L218" s="2" t="s">
        <v>842</v>
      </c>
    </row>
    <row r="219" customFormat="false" ht="15" hidden="false" customHeight="false" outlineLevel="0" collapsed="false">
      <c r="A219" s="2" t="s">
        <v>956</v>
      </c>
      <c r="B219" s="10" t="s">
        <v>957</v>
      </c>
      <c r="C219" s="2" t="s">
        <v>953</v>
      </c>
      <c r="D219" s="37" t="n">
        <v>4480</v>
      </c>
      <c r="E219" s="2" t="s">
        <v>62</v>
      </c>
      <c r="F219" s="2" t="s">
        <v>954</v>
      </c>
      <c r="G219" s="2" t="s">
        <v>887</v>
      </c>
      <c r="H219" s="2" t="s">
        <v>218</v>
      </c>
      <c r="I219" s="2" t="s">
        <v>219</v>
      </c>
      <c r="J219" s="2" t="s">
        <v>284</v>
      </c>
      <c r="K219" s="2" t="s">
        <v>955</v>
      </c>
      <c r="L219" s="2" t="s">
        <v>842</v>
      </c>
    </row>
    <row r="220" customFormat="false" ht="15" hidden="false" customHeight="false" outlineLevel="0" collapsed="false">
      <c r="A220" s="2" t="s">
        <v>958</v>
      </c>
      <c r="B220" s="10" t="s">
        <v>959</v>
      </c>
      <c r="C220" s="2" t="s">
        <v>960</v>
      </c>
      <c r="D220" s="38" t="n">
        <v>25</v>
      </c>
      <c r="E220" s="2" t="s">
        <v>133</v>
      </c>
      <c r="F220" s="2" t="s">
        <v>216</v>
      </c>
      <c r="G220" s="2" t="s">
        <v>961</v>
      </c>
      <c r="H220" s="2" t="s">
        <v>218</v>
      </c>
      <c r="I220" s="2" t="s">
        <v>219</v>
      </c>
      <c r="J220" s="2" t="s">
        <v>333</v>
      </c>
      <c r="K220" s="2" t="s">
        <v>955</v>
      </c>
      <c r="L220" s="2" t="s">
        <v>842</v>
      </c>
    </row>
    <row r="221" customFormat="false" ht="15" hidden="false" customHeight="false" outlineLevel="0" collapsed="false">
      <c r="A221" s="2" t="s">
        <v>962</v>
      </c>
      <c r="B221" s="10" t="s">
        <v>963</v>
      </c>
      <c r="C221" s="2" t="s">
        <v>964</v>
      </c>
      <c r="D221" s="37" t="n">
        <v>125000</v>
      </c>
      <c r="E221" s="2" t="s">
        <v>62</v>
      </c>
      <c r="F221" s="2" t="s">
        <v>965</v>
      </c>
      <c r="G221" s="2" t="s">
        <v>966</v>
      </c>
      <c r="H221" s="2" t="s">
        <v>218</v>
      </c>
      <c r="I221" s="2" t="s">
        <v>219</v>
      </c>
      <c r="J221" s="2" t="s">
        <v>333</v>
      </c>
      <c r="K221" s="2" t="s">
        <v>967</v>
      </c>
      <c r="L221" s="2" t="s">
        <v>842</v>
      </c>
    </row>
    <row r="222" customFormat="false" ht="15" hidden="false" customHeight="false" outlineLevel="0" collapsed="false">
      <c r="A222" s="2" t="s">
        <v>968</v>
      </c>
      <c r="B222" s="10" t="s">
        <v>969</v>
      </c>
      <c r="C222" s="2" t="s">
        <v>964</v>
      </c>
      <c r="D222" s="37" t="n">
        <v>145000</v>
      </c>
      <c r="E222" s="2" t="s">
        <v>62</v>
      </c>
      <c r="F222" s="2" t="s">
        <v>965</v>
      </c>
      <c r="G222" s="2" t="s">
        <v>966</v>
      </c>
      <c r="H222" s="2" t="s">
        <v>218</v>
      </c>
      <c r="I222" s="2" t="s">
        <v>219</v>
      </c>
      <c r="J222" s="2" t="s">
        <v>333</v>
      </c>
      <c r="K222" s="2" t="s">
        <v>967</v>
      </c>
      <c r="L222" s="2" t="s">
        <v>842</v>
      </c>
    </row>
    <row r="223" customFormat="false" ht="15" hidden="false" customHeight="false" outlineLevel="0" collapsed="false">
      <c r="A223" s="2" t="s">
        <v>970</v>
      </c>
      <c r="B223" s="10" t="s">
        <v>971</v>
      </c>
      <c r="C223" s="2" t="s">
        <v>972</v>
      </c>
      <c r="D223" s="37" t="n">
        <v>14300</v>
      </c>
      <c r="E223" s="2" t="s">
        <v>62</v>
      </c>
      <c r="F223" s="2" t="s">
        <v>973</v>
      </c>
      <c r="G223" s="2" t="s">
        <v>974</v>
      </c>
      <c r="H223" s="2" t="s">
        <v>218</v>
      </c>
      <c r="I223" s="2" t="s">
        <v>219</v>
      </c>
      <c r="J223" s="2" t="s">
        <v>284</v>
      </c>
      <c r="K223" s="2" t="s">
        <v>967</v>
      </c>
      <c r="L223" s="2" t="s">
        <v>842</v>
      </c>
    </row>
    <row r="224" customFormat="false" ht="15" hidden="false" customHeight="false" outlineLevel="0" collapsed="false">
      <c r="A224" s="2" t="s">
        <v>975</v>
      </c>
      <c r="B224" s="10" t="s">
        <v>976</v>
      </c>
      <c r="C224" s="2" t="s">
        <v>977</v>
      </c>
      <c r="D224" s="37" t="n">
        <v>100</v>
      </c>
      <c r="E224" s="2" t="s">
        <v>62</v>
      </c>
      <c r="F224" s="2" t="s">
        <v>680</v>
      </c>
      <c r="G224" s="2" t="s">
        <v>978</v>
      </c>
      <c r="H224" s="2" t="s">
        <v>218</v>
      </c>
      <c r="I224" s="2" t="s">
        <v>219</v>
      </c>
      <c r="J224" s="2" t="s">
        <v>284</v>
      </c>
      <c r="K224" s="2" t="s">
        <v>682</v>
      </c>
      <c r="L224" s="2" t="s">
        <v>842</v>
      </c>
    </row>
    <row r="225" customFormat="false" ht="15" hidden="false" customHeight="false" outlineLevel="0" collapsed="false">
      <c r="A225" s="2" t="s">
        <v>979</v>
      </c>
      <c r="B225" s="10" t="s">
        <v>980</v>
      </c>
      <c r="C225" s="2" t="s">
        <v>981</v>
      </c>
      <c r="D225" s="44" t="n">
        <v>6</v>
      </c>
      <c r="E225" s="2" t="s">
        <v>982</v>
      </c>
      <c r="F225" s="2" t="s">
        <v>983</v>
      </c>
      <c r="G225" s="2" t="s">
        <v>984</v>
      </c>
      <c r="H225" s="2" t="s">
        <v>218</v>
      </c>
      <c r="I225" s="2" t="s">
        <v>228</v>
      </c>
      <c r="J225" s="2" t="s">
        <v>284</v>
      </c>
      <c r="K225" s="2" t="s">
        <v>985</v>
      </c>
      <c r="L225" s="2" t="s">
        <v>842</v>
      </c>
    </row>
    <row r="226" customFormat="false" ht="15" hidden="false" customHeight="false" outlineLevel="0" collapsed="false">
      <c r="A226" s="2" t="s">
        <v>986</v>
      </c>
      <c r="B226" s="10" t="s">
        <v>987</v>
      </c>
      <c r="C226" s="2" t="s">
        <v>988</v>
      </c>
      <c r="D226" s="37" t="n">
        <v>124254</v>
      </c>
      <c r="E226" s="2" t="s">
        <v>62</v>
      </c>
      <c r="F226" s="2" t="s">
        <v>989</v>
      </c>
      <c r="G226" s="2" t="s">
        <v>990</v>
      </c>
      <c r="H226" s="2" t="s">
        <v>186</v>
      </c>
      <c r="I226" s="2" t="s">
        <v>219</v>
      </c>
      <c r="J226" s="2" t="s">
        <v>284</v>
      </c>
      <c r="K226" s="2" t="s">
        <v>991</v>
      </c>
      <c r="L226" s="2" t="s">
        <v>836</v>
      </c>
    </row>
    <row r="227" customFormat="false" ht="15" hidden="false" customHeight="false" outlineLevel="0" collapsed="false">
      <c r="A227" s="2" t="s">
        <v>992</v>
      </c>
      <c r="B227" s="10" t="s">
        <v>993</v>
      </c>
      <c r="C227" s="2" t="s">
        <v>994</v>
      </c>
      <c r="D227" s="37" t="n">
        <v>324100</v>
      </c>
      <c r="E227" s="2" t="s">
        <v>62</v>
      </c>
      <c r="F227" s="2" t="s">
        <v>226</v>
      </c>
      <c r="G227" s="2" t="s">
        <v>995</v>
      </c>
      <c r="H227" s="2" t="s">
        <v>293</v>
      </c>
      <c r="I227" s="2" t="s">
        <v>996</v>
      </c>
      <c r="J227" s="2" t="s">
        <v>284</v>
      </c>
      <c r="K227" s="2" t="s">
        <v>997</v>
      </c>
      <c r="L227" s="2" t="s">
        <v>842</v>
      </c>
    </row>
    <row r="228" customFormat="false" ht="15" hidden="false" customHeight="false" outlineLevel="0" collapsed="false">
      <c r="A228" s="2" t="s">
        <v>998</v>
      </c>
      <c r="B228" s="10" t="s">
        <v>999</v>
      </c>
      <c r="C228" s="2" t="s">
        <v>1000</v>
      </c>
      <c r="D228" s="28" t="n">
        <v>524100</v>
      </c>
      <c r="E228" s="2" t="s">
        <v>62</v>
      </c>
      <c r="F228" s="2" t="s">
        <v>226</v>
      </c>
      <c r="G228" s="2" t="s">
        <v>1001</v>
      </c>
      <c r="H228" s="2" t="s">
        <v>186</v>
      </c>
      <c r="I228" s="2" t="s">
        <v>1002</v>
      </c>
      <c r="J228" s="2" t="s">
        <v>284</v>
      </c>
      <c r="K228" s="2" t="s">
        <v>1003</v>
      </c>
      <c r="L228" s="2" t="s">
        <v>842</v>
      </c>
    </row>
    <row r="229" customFormat="false" ht="15" hidden="false" customHeight="false" outlineLevel="0" collapsed="false">
      <c r="A229" s="2" t="s">
        <v>1004</v>
      </c>
      <c r="B229" s="10" t="s">
        <v>1005</v>
      </c>
      <c r="C229" s="2" t="s">
        <v>1006</v>
      </c>
      <c r="D229" s="37" t="n">
        <v>65000</v>
      </c>
      <c r="E229" s="2" t="s">
        <v>73</v>
      </c>
      <c r="F229" s="2" t="s">
        <v>1007</v>
      </c>
      <c r="G229" s="2" t="s">
        <v>1008</v>
      </c>
      <c r="H229" s="2" t="s">
        <v>218</v>
      </c>
      <c r="I229" s="2" t="s">
        <v>219</v>
      </c>
      <c r="J229" s="2" t="s">
        <v>333</v>
      </c>
      <c r="K229" s="2" t="s">
        <v>1009</v>
      </c>
      <c r="L229" s="2" t="s">
        <v>842</v>
      </c>
    </row>
    <row r="230" customFormat="false" ht="15" hidden="false" customHeight="false" outlineLevel="0" collapsed="false">
      <c r="A230" s="2" t="s">
        <v>1010</v>
      </c>
      <c r="B230" s="10" t="s">
        <v>1011</v>
      </c>
      <c r="C230" s="2" t="s">
        <v>1012</v>
      </c>
      <c r="D230" s="37" t="n">
        <v>4730</v>
      </c>
      <c r="E230" s="2" t="s">
        <v>62</v>
      </c>
      <c r="F230" s="2" t="s">
        <v>848</v>
      </c>
      <c r="G230" s="2" t="s">
        <v>1013</v>
      </c>
      <c r="H230" s="2" t="s">
        <v>218</v>
      </c>
      <c r="I230" s="2" t="s">
        <v>219</v>
      </c>
      <c r="J230" s="2" t="s">
        <v>333</v>
      </c>
      <c r="K230" s="2" t="s">
        <v>1014</v>
      </c>
      <c r="L230" s="2" t="s">
        <v>842</v>
      </c>
    </row>
    <row r="231" customFormat="false" ht="15" hidden="false" customHeight="false" outlineLevel="0" collapsed="false">
      <c r="A231" s="2" t="s">
        <v>1015</v>
      </c>
      <c r="B231" s="10" t="s">
        <v>1016</v>
      </c>
      <c r="C231" s="2" t="s">
        <v>1017</v>
      </c>
      <c r="D231" s="37" t="n">
        <v>11600</v>
      </c>
      <c r="E231" s="2" t="s">
        <v>62</v>
      </c>
      <c r="F231" s="2" t="s">
        <v>854</v>
      </c>
      <c r="G231" s="2" t="s">
        <v>1018</v>
      </c>
      <c r="H231" s="2" t="s">
        <v>218</v>
      </c>
      <c r="I231" s="2" t="s">
        <v>219</v>
      </c>
      <c r="J231" s="2" t="s">
        <v>333</v>
      </c>
      <c r="K231" s="2" t="s">
        <v>1019</v>
      </c>
      <c r="L231" s="2" t="s">
        <v>842</v>
      </c>
    </row>
    <row r="232" customFormat="false" ht="15" hidden="false" customHeight="false" outlineLevel="0" collapsed="false">
      <c r="A232" s="2" t="s">
        <v>1020</v>
      </c>
      <c r="B232" s="10" t="s">
        <v>1021</v>
      </c>
      <c r="C232" s="2" t="s">
        <v>1022</v>
      </c>
      <c r="D232" s="37" t="n">
        <v>559</v>
      </c>
      <c r="E232" s="2" t="s">
        <v>62</v>
      </c>
      <c r="F232" s="2" t="s">
        <v>854</v>
      </c>
      <c r="G232" s="2" t="s">
        <v>1023</v>
      </c>
      <c r="H232" s="2" t="s">
        <v>1024</v>
      </c>
      <c r="I232" s="2" t="s">
        <v>1025</v>
      </c>
      <c r="J232" s="2" t="s">
        <v>333</v>
      </c>
      <c r="K232" s="2" t="s">
        <v>1026</v>
      </c>
      <c r="L232" s="2" t="s">
        <v>842</v>
      </c>
    </row>
    <row r="233" customFormat="false" ht="15" hidden="false" customHeight="false" outlineLevel="0" collapsed="false">
      <c r="A233" s="2" t="s">
        <v>1027</v>
      </c>
      <c r="B233" s="10" t="s">
        <v>1028</v>
      </c>
      <c r="C233" s="2" t="s">
        <v>1029</v>
      </c>
      <c r="D233" s="38" t="n">
        <v>5000</v>
      </c>
      <c r="E233" s="2" t="s">
        <v>133</v>
      </c>
      <c r="F233" s="2" t="s">
        <v>1030</v>
      </c>
      <c r="G233" s="2" t="s">
        <v>887</v>
      </c>
      <c r="H233" s="2" t="s">
        <v>218</v>
      </c>
      <c r="I233" s="2" t="s">
        <v>219</v>
      </c>
      <c r="J233" s="2" t="s">
        <v>333</v>
      </c>
      <c r="K233" s="2" t="s">
        <v>1031</v>
      </c>
      <c r="L233" s="2" t="s">
        <v>842</v>
      </c>
    </row>
    <row r="234" customFormat="false" ht="15" hidden="false" customHeight="false" outlineLevel="0" collapsed="false">
      <c r="A234" s="2" t="s">
        <v>1032</v>
      </c>
      <c r="B234" s="10" t="s">
        <v>1033</v>
      </c>
      <c r="C234" s="2" t="s">
        <v>1034</v>
      </c>
      <c r="D234" s="37" t="n">
        <v>965000</v>
      </c>
      <c r="E234" s="2" t="s">
        <v>62</v>
      </c>
      <c r="F234" s="2" t="s">
        <v>989</v>
      </c>
      <c r="G234" s="2" t="s">
        <v>1035</v>
      </c>
      <c r="H234" s="2" t="s">
        <v>218</v>
      </c>
      <c r="I234" s="2" t="s">
        <v>219</v>
      </c>
      <c r="J234" s="2" t="s">
        <v>188</v>
      </c>
      <c r="K234" s="2" t="s">
        <v>1036</v>
      </c>
      <c r="L234" s="2" t="s">
        <v>842</v>
      </c>
    </row>
    <row r="235" customFormat="false" ht="15" hidden="false" customHeight="false" outlineLevel="0" collapsed="false">
      <c r="A235" s="2" t="s">
        <v>1037</v>
      </c>
      <c r="B235" s="10" t="s">
        <v>1038</v>
      </c>
      <c r="C235" s="2" t="s">
        <v>1039</v>
      </c>
      <c r="D235" s="28" t="n">
        <v>12000</v>
      </c>
      <c r="E235" s="2" t="s">
        <v>62</v>
      </c>
      <c r="F235" s="2" t="s">
        <v>226</v>
      </c>
      <c r="G235" s="2" t="s">
        <v>1040</v>
      </c>
      <c r="H235" s="2" t="s">
        <v>186</v>
      </c>
      <c r="I235" s="2" t="s">
        <v>1041</v>
      </c>
      <c r="J235" s="2" t="s">
        <v>284</v>
      </c>
      <c r="K235" s="2" t="s">
        <v>1042</v>
      </c>
      <c r="L235" s="2" t="s">
        <v>809</v>
      </c>
    </row>
    <row r="236" customFormat="false" ht="15" hidden="false" customHeight="false" outlineLevel="0" collapsed="false">
      <c r="A236" s="2" t="s">
        <v>1043</v>
      </c>
      <c r="B236" s="10" t="s">
        <v>1044</v>
      </c>
      <c r="C236" s="2" t="s">
        <v>1045</v>
      </c>
      <c r="D236" s="28" t="n">
        <v>20000</v>
      </c>
      <c r="E236" s="2" t="s">
        <v>62</v>
      </c>
      <c r="F236" s="2" t="s">
        <v>226</v>
      </c>
      <c r="G236" s="2" t="s">
        <v>1046</v>
      </c>
      <c r="H236" s="2" t="s">
        <v>186</v>
      </c>
      <c r="I236" s="2" t="s">
        <v>1041</v>
      </c>
      <c r="J236" s="2" t="s">
        <v>284</v>
      </c>
      <c r="K236" s="2" t="s">
        <v>293</v>
      </c>
      <c r="L236" s="2" t="s">
        <v>809</v>
      </c>
    </row>
    <row r="237" customFormat="false" ht="15" hidden="false" customHeight="false" outlineLevel="0" collapsed="false">
      <c r="A237" s="2" t="s">
        <v>1047</v>
      </c>
      <c r="B237" s="10" t="s">
        <v>1048</v>
      </c>
      <c r="C237" s="2" t="s">
        <v>1049</v>
      </c>
      <c r="D237" s="46" t="n">
        <v>181216.5</v>
      </c>
      <c r="E237" s="2" t="s">
        <v>62</v>
      </c>
      <c r="F237" s="2" t="s">
        <v>834</v>
      </c>
      <c r="G237" s="2" t="s">
        <v>990</v>
      </c>
      <c r="H237" s="2" t="s">
        <v>186</v>
      </c>
      <c r="I237" s="2" t="s">
        <v>219</v>
      </c>
      <c r="J237" s="2" t="s">
        <v>284</v>
      </c>
      <c r="K237" s="2" t="s">
        <v>1050</v>
      </c>
      <c r="L237" s="2" t="s">
        <v>842</v>
      </c>
    </row>
    <row r="238" customFormat="false" ht="15" hidden="false" customHeight="false" outlineLevel="0" collapsed="false">
      <c r="A238" s="2" t="s">
        <v>1051</v>
      </c>
      <c r="B238" s="10" t="s">
        <v>1052</v>
      </c>
      <c r="C238" s="2" t="s">
        <v>1053</v>
      </c>
      <c r="D238" s="37" t="n">
        <v>480400</v>
      </c>
      <c r="E238" s="2" t="s">
        <v>62</v>
      </c>
      <c r="F238" s="2" t="s">
        <v>226</v>
      </c>
      <c r="G238" s="2" t="s">
        <v>1054</v>
      </c>
      <c r="H238" s="2" t="s">
        <v>293</v>
      </c>
      <c r="I238" s="2" t="s">
        <v>1055</v>
      </c>
      <c r="J238" s="2" t="s">
        <v>284</v>
      </c>
      <c r="K238" s="2" t="s">
        <v>1056</v>
      </c>
      <c r="L238" s="2" t="s">
        <v>842</v>
      </c>
    </row>
    <row r="239" customFormat="false" ht="15" hidden="false" customHeight="false" outlineLevel="0" collapsed="false">
      <c r="A239" s="2" t="s">
        <v>1057</v>
      </c>
      <c r="B239" s="10" t="s">
        <v>1058</v>
      </c>
      <c r="C239" s="2" t="s">
        <v>1059</v>
      </c>
      <c r="D239" s="37" t="n">
        <v>40000</v>
      </c>
      <c r="E239" s="2" t="s">
        <v>73</v>
      </c>
      <c r="F239" s="2" t="s">
        <v>1060</v>
      </c>
      <c r="G239" s="2" t="s">
        <v>1061</v>
      </c>
      <c r="H239" s="2" t="s">
        <v>218</v>
      </c>
      <c r="I239" s="2" t="s">
        <v>219</v>
      </c>
      <c r="J239" s="2" t="s">
        <v>333</v>
      </c>
      <c r="K239" s="2" t="s">
        <v>1062</v>
      </c>
      <c r="L239" s="2" t="s">
        <v>842</v>
      </c>
    </row>
    <row r="240" customFormat="false" ht="15" hidden="false" customHeight="false" outlineLevel="0" collapsed="false">
      <c r="A240" s="2" t="s">
        <v>1063</v>
      </c>
      <c r="B240" s="10" t="s">
        <v>1064</v>
      </c>
      <c r="C240" s="2" t="s">
        <v>1065</v>
      </c>
      <c r="D240" s="37" t="n">
        <v>12400</v>
      </c>
      <c r="E240" s="2" t="s">
        <v>62</v>
      </c>
      <c r="F240" s="2" t="s">
        <v>1066</v>
      </c>
      <c r="G240" s="2" t="s">
        <v>1067</v>
      </c>
      <c r="H240" s="2" t="s">
        <v>218</v>
      </c>
      <c r="I240" s="2" t="s">
        <v>219</v>
      </c>
      <c r="J240" s="2" t="s">
        <v>333</v>
      </c>
      <c r="K240" s="2" t="s">
        <v>1068</v>
      </c>
      <c r="L240" s="2" t="s">
        <v>842</v>
      </c>
    </row>
    <row r="241" customFormat="false" ht="15" hidden="false" customHeight="false" outlineLevel="0" collapsed="false">
      <c r="A241" s="2" t="s">
        <v>1069</v>
      </c>
      <c r="B241" s="10" t="s">
        <v>1070</v>
      </c>
      <c r="C241" s="2" t="s">
        <v>1071</v>
      </c>
      <c r="D241" s="37" t="n">
        <v>21600</v>
      </c>
      <c r="E241" s="2" t="s">
        <v>62</v>
      </c>
      <c r="F241" s="2" t="s">
        <v>1066</v>
      </c>
      <c r="G241" s="2" t="s">
        <v>1072</v>
      </c>
      <c r="H241" s="2" t="s">
        <v>218</v>
      </c>
      <c r="I241" s="2" t="s">
        <v>219</v>
      </c>
      <c r="J241" s="2" t="s">
        <v>333</v>
      </c>
      <c r="K241" s="2" t="s">
        <v>1068</v>
      </c>
      <c r="L241" s="2" t="s">
        <v>842</v>
      </c>
    </row>
    <row r="242" customFormat="false" ht="15" hidden="false" customHeight="false" outlineLevel="0" collapsed="false">
      <c r="A242" s="2" t="s">
        <v>1073</v>
      </c>
      <c r="B242" s="10" t="s">
        <v>1074</v>
      </c>
      <c r="C242" s="2" t="s">
        <v>1075</v>
      </c>
      <c r="D242" s="38" t="n">
        <v>4500</v>
      </c>
      <c r="E242" s="2" t="s">
        <v>133</v>
      </c>
      <c r="F242" s="2" t="s">
        <v>1076</v>
      </c>
      <c r="G242" s="2" t="s">
        <v>1077</v>
      </c>
      <c r="H242" s="2" t="s">
        <v>218</v>
      </c>
      <c r="I242" s="2" t="s">
        <v>219</v>
      </c>
      <c r="J242" s="2" t="s">
        <v>333</v>
      </c>
      <c r="K242" s="2" t="s">
        <v>1078</v>
      </c>
      <c r="L242" s="2" t="s">
        <v>842</v>
      </c>
    </row>
    <row r="243" customFormat="false" ht="15" hidden="false" customHeight="false" outlineLevel="0" collapsed="false">
      <c r="A243" s="2" t="s">
        <v>1079</v>
      </c>
      <c r="B243" s="10" t="s">
        <v>1080</v>
      </c>
      <c r="C243" s="2" t="s">
        <v>1081</v>
      </c>
      <c r="D243" s="38" t="n">
        <v>8000</v>
      </c>
      <c r="E243" s="2" t="s">
        <v>133</v>
      </c>
      <c r="F243" s="2" t="s">
        <v>1082</v>
      </c>
      <c r="G243" s="2" t="s">
        <v>1083</v>
      </c>
      <c r="H243" s="2" t="s">
        <v>186</v>
      </c>
      <c r="I243" s="2" t="s">
        <v>259</v>
      </c>
      <c r="J243" s="2" t="s">
        <v>333</v>
      </c>
      <c r="K243" s="2" t="s">
        <v>1084</v>
      </c>
      <c r="L243" s="2" t="s">
        <v>842</v>
      </c>
    </row>
    <row r="244" customFormat="false" ht="15" hidden="false" customHeight="false" outlineLevel="0" collapsed="false">
      <c r="A244" s="2" t="s">
        <v>1085</v>
      </c>
      <c r="B244" s="10" t="s">
        <v>1086</v>
      </c>
      <c r="C244" s="2" t="s">
        <v>1087</v>
      </c>
      <c r="D244" s="37" t="n">
        <v>852000</v>
      </c>
      <c r="E244" s="2" t="s">
        <v>62</v>
      </c>
      <c r="F244" s="2" t="s">
        <v>834</v>
      </c>
      <c r="G244" s="2" t="s">
        <v>1088</v>
      </c>
      <c r="H244" s="2" t="s">
        <v>218</v>
      </c>
      <c r="I244" s="2" t="s">
        <v>219</v>
      </c>
      <c r="J244" s="2" t="s">
        <v>188</v>
      </c>
      <c r="K244" s="2" t="s">
        <v>1089</v>
      </c>
      <c r="L244" s="2" t="s">
        <v>842</v>
      </c>
    </row>
    <row r="246" customFormat="false" ht="15" hidden="false" customHeight="false" outlineLevel="0" collapsed="false">
      <c r="A246" s="2" t="s">
        <v>1090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9" min="4" style="1" width="14"/>
    <col collapsed="false" customWidth="true" hidden="false" outlineLevel="0" max="10" min="10" style="1" width="40"/>
  </cols>
  <sheetData>
    <row r="1" customFormat="false" ht="15" hidden="false" customHeight="false" outlineLevel="0" collapsed="false">
      <c r="A1" s="2" t="s">
        <v>1091</v>
      </c>
    </row>
    <row r="3" customFormat="false" ht="15" hidden="false" customHeight="false" outlineLevel="0" collapsed="false">
      <c r="A3" s="34" t="s">
        <v>1092</v>
      </c>
      <c r="B3" s="35"/>
      <c r="C3" s="35"/>
      <c r="D3" s="35"/>
      <c r="E3" s="35"/>
      <c r="F3" s="35"/>
      <c r="G3" s="35"/>
      <c r="H3" s="35"/>
      <c r="I3" s="35"/>
      <c r="J3" s="35"/>
    </row>
    <row r="4" customFormat="false" ht="15" hidden="false" customHeight="false" outlineLevel="0" collapsed="false">
      <c r="A4" s="47" t="s">
        <v>1093</v>
      </c>
      <c r="B4" s="47" t="s">
        <v>12</v>
      </c>
      <c r="C4" s="47" t="s">
        <v>1094</v>
      </c>
      <c r="D4" s="48" t="str">
        <f aca="false">00_Assumptions!$D$3</f>
        <v>Y1</v>
      </c>
      <c r="E4" s="48" t="str">
        <f aca="false">00_Assumptions!$E$3</f>
        <v>Y2</v>
      </c>
      <c r="F4" s="48" t="str">
        <f aca="false">00_Assumptions!$F$3</f>
        <v>Y3</v>
      </c>
      <c r="G4" s="48" t="str">
        <f aca="false">00_Assumptions!$G$3</f>
        <v>Y4</v>
      </c>
      <c r="H4" s="48" t="str">
        <f aca="false">00_Assumptions!$H$3</f>
        <v>Y5</v>
      </c>
    </row>
    <row r="5" customFormat="false" ht="15" hidden="false" customHeight="false" outlineLevel="0" collapsed="false">
      <c r="A5" s="10" t="s">
        <v>1095</v>
      </c>
      <c r="B5" s="2" t="s">
        <v>115</v>
      </c>
      <c r="C5" s="2" t="s">
        <v>1096</v>
      </c>
      <c r="D5" s="14" t="n">
        <f aca="false">00_Assumptions!$D$55</f>
        <v>25000</v>
      </c>
      <c r="E5" s="14" t="n">
        <f aca="false">00_Assumptions!$E$55</f>
        <v>37500</v>
      </c>
      <c r="F5" s="14" t="n">
        <f aca="false">00_Assumptions!$F$55</f>
        <v>50000</v>
      </c>
      <c r="G5" s="14" t="n">
        <f aca="false">00_Assumptions!$G$55</f>
        <v>50000</v>
      </c>
      <c r="H5" s="14" t="n">
        <f aca="false">00_Assumptions!$H$55</f>
        <v>50000</v>
      </c>
    </row>
    <row r="6" customFormat="false" ht="15" hidden="false" customHeight="false" outlineLevel="0" collapsed="false">
      <c r="A6" s="10" t="s">
        <v>1097</v>
      </c>
      <c r="B6" s="2" t="s">
        <v>115</v>
      </c>
      <c r="C6" s="2" t="s">
        <v>1098</v>
      </c>
      <c r="D6" s="14" t="n">
        <f aca="false">00_Assumptions!$D$60</f>
        <v>0</v>
      </c>
      <c r="E6" s="14" t="n">
        <f aca="false">00_Assumptions!$E$60</f>
        <v>0</v>
      </c>
      <c r="F6" s="14" t="n">
        <f aca="false">00_Assumptions!$F$60</f>
        <v>0</v>
      </c>
      <c r="G6" s="14" t="n">
        <f aca="false">00_Assumptions!$G$60</f>
        <v>0</v>
      </c>
      <c r="H6" s="14" t="n">
        <f aca="false">00_Assumptions!$H$60</f>
        <v>0</v>
      </c>
    </row>
    <row r="7" customFormat="false" ht="15" hidden="false" customHeight="false" outlineLevel="0" collapsed="false">
      <c r="A7" s="10" t="s">
        <v>1099</v>
      </c>
      <c r="B7" s="2" t="s">
        <v>115</v>
      </c>
      <c r="C7" s="2" t="s">
        <v>293</v>
      </c>
      <c r="D7" s="49" t="n">
        <f aca="false">D6</f>
        <v>0</v>
      </c>
      <c r="E7" s="49" t="n">
        <f aca="false">E6-D6</f>
        <v>0</v>
      </c>
      <c r="F7" s="49" t="n">
        <f aca="false">F6-E6</f>
        <v>0</v>
      </c>
      <c r="G7" s="49" t="n">
        <f aca="false">G6-F6</f>
        <v>0</v>
      </c>
      <c r="H7" s="49" t="n">
        <f aca="false">H6-G6</f>
        <v>0</v>
      </c>
    </row>
    <row r="8" customFormat="false" ht="15" hidden="false" customHeight="false" outlineLevel="0" collapsed="false">
      <c r="A8" s="10" t="s">
        <v>1100</v>
      </c>
      <c r="B8" s="2" t="s">
        <v>183</v>
      </c>
      <c r="C8" s="2" t="s">
        <v>1101</v>
      </c>
      <c r="D8" s="14" t="n">
        <f aca="false">00_Assumptions!$D$11</f>
        <v>0</v>
      </c>
      <c r="E8" s="14" t="n">
        <f aca="false">00_Assumptions!$D$11</f>
        <v>0</v>
      </c>
      <c r="F8" s="14" t="n">
        <f aca="false">00_Assumptions!$D$11</f>
        <v>0</v>
      </c>
      <c r="G8" s="14" t="n">
        <f aca="false">00_Assumptions!$D$11</f>
        <v>0</v>
      </c>
      <c r="H8" s="14" t="n">
        <f aca="false">00_Assumptions!$D$11</f>
        <v>0</v>
      </c>
    </row>
    <row r="9" customFormat="false" ht="15" hidden="false" customHeight="false" outlineLevel="0" collapsed="false">
      <c r="A9" s="3" t="s">
        <v>1102</v>
      </c>
      <c r="B9" s="2" t="s">
        <v>62</v>
      </c>
      <c r="C9" s="2" t="s">
        <v>1103</v>
      </c>
      <c r="D9" s="8" t="n">
        <f aca="false">D7*D8/00_Assumptions!$E$50</f>
        <v>0</v>
      </c>
      <c r="E9" s="8" t="n">
        <f aca="false">E7*E8/00_Assumptions!$E$50</f>
        <v>0</v>
      </c>
      <c r="F9" s="8" t="n">
        <f aca="false">F7*F8/00_Assumptions!$E$50</f>
        <v>0</v>
      </c>
      <c r="G9" s="8" t="n">
        <f aca="false">G7*G8/00_Assumptions!$E$50</f>
        <v>0</v>
      </c>
      <c r="H9" s="8" t="n">
        <f aca="false">H7*H8/00_Assumptions!$E$50</f>
        <v>0</v>
      </c>
    </row>
    <row r="10" customFormat="false" ht="15" hidden="false" customHeight="false" outlineLevel="0" collapsed="false">
      <c r="A10" s="10" t="s">
        <v>1104</v>
      </c>
      <c r="B10" s="2" t="s">
        <v>62</v>
      </c>
      <c r="C10" s="2" t="s">
        <v>1105</v>
      </c>
      <c r="D10" s="29" t="n">
        <f aca="false">D9*00_Assumptions!$D$18</f>
        <v>0</v>
      </c>
      <c r="E10" s="29" t="n">
        <f aca="false">E9*00_Assumptions!$D$18</f>
        <v>0</v>
      </c>
      <c r="F10" s="29" t="n">
        <f aca="false">F9*00_Assumptions!$D$18</f>
        <v>0</v>
      </c>
      <c r="G10" s="29" t="n">
        <f aca="false">G9*00_Assumptions!$D$18</f>
        <v>0</v>
      </c>
      <c r="H10" s="29" t="n">
        <f aca="false">H9*00_Assumptions!$D$18</f>
        <v>0</v>
      </c>
    </row>
    <row r="11" customFormat="false" ht="15" hidden="false" customHeight="false" outlineLevel="0" collapsed="false">
      <c r="A11" s="10" t="s">
        <v>1106</v>
      </c>
      <c r="B11" s="2" t="s">
        <v>62</v>
      </c>
      <c r="C11" s="2" t="s">
        <v>1107</v>
      </c>
      <c r="D11" s="29" t="n">
        <f aca="false">(D9+D10)*00_Assumptions!$D$19</f>
        <v>0</v>
      </c>
      <c r="E11" s="29" t="n">
        <f aca="false">(E9+E10)*00_Assumptions!$D$19</f>
        <v>0</v>
      </c>
      <c r="F11" s="29" t="n">
        <f aca="false">(F9+F10)*00_Assumptions!$D$19</f>
        <v>0</v>
      </c>
      <c r="G11" s="29" t="n">
        <f aca="false">(G9+G10)*00_Assumptions!$D$19</f>
        <v>0</v>
      </c>
      <c r="H11" s="29" t="n">
        <f aca="false">(H9+H10)*00_Assumptions!$D$19</f>
        <v>0</v>
      </c>
    </row>
    <row r="12" customFormat="false" ht="15" hidden="false" customHeight="false" outlineLevel="0" collapsed="false">
      <c r="A12" s="10" t="s">
        <v>1108</v>
      </c>
      <c r="B12" s="2" t="s">
        <v>26</v>
      </c>
      <c r="C12" s="2" t="s">
        <v>1109</v>
      </c>
      <c r="D12" s="17" t="n">
        <f aca="false">00_Assumptions!$D$12</f>
        <v>2.4</v>
      </c>
      <c r="E12" s="17" t="n">
        <f aca="false">00_Assumptions!$D$12</f>
        <v>2.4</v>
      </c>
      <c r="F12" s="17" t="n">
        <f aca="false">00_Assumptions!$D$12</f>
        <v>2.4</v>
      </c>
      <c r="G12" s="17" t="n">
        <f aca="false">00_Assumptions!$D$12</f>
        <v>2.4</v>
      </c>
      <c r="H12" s="17" t="n">
        <f aca="false">00_Assumptions!$D$12</f>
        <v>2.4</v>
      </c>
    </row>
    <row r="13" customFormat="false" ht="15" hidden="false" customHeight="false" outlineLevel="0" collapsed="false">
      <c r="A13" s="10" t="s">
        <v>1110</v>
      </c>
      <c r="B13" s="2" t="s">
        <v>29</v>
      </c>
      <c r="C13" s="2" t="s">
        <v>1111</v>
      </c>
      <c r="D13" s="21" t="n">
        <f aca="false">00_Assumptions!$D$13</f>
        <v>0.75</v>
      </c>
      <c r="E13" s="21" t="n">
        <f aca="false">00_Assumptions!$D$13</f>
        <v>0.75</v>
      </c>
      <c r="F13" s="21" t="n">
        <f aca="false">00_Assumptions!$D$13</f>
        <v>0.75</v>
      </c>
      <c r="G13" s="21" t="n">
        <f aca="false">00_Assumptions!$D$13</f>
        <v>0.75</v>
      </c>
      <c r="H13" s="21" t="n">
        <f aca="false">00_Assumptions!$D$13</f>
        <v>0.75</v>
      </c>
    </row>
    <row r="14" customFormat="false" ht="15" hidden="false" customHeight="false" outlineLevel="0" collapsed="false">
      <c r="A14" s="3" t="s">
        <v>1112</v>
      </c>
      <c r="B14" s="2" t="s">
        <v>62</v>
      </c>
      <c r="C14" s="2" t="s">
        <v>105</v>
      </c>
      <c r="D14" s="8" t="n">
        <f aca="false">D5*D12*00_Assumptions!$D$50*D13/00_Assumptions!$E$50</f>
        <v>394.2</v>
      </c>
      <c r="E14" s="8" t="n">
        <f aca="false">E5*E12*00_Assumptions!$D$50*E13/00_Assumptions!$E$50</f>
        <v>591.3</v>
      </c>
      <c r="F14" s="8" t="n">
        <f aca="false">F5*F12*00_Assumptions!$D$50*F13/00_Assumptions!$E$50</f>
        <v>788.4</v>
      </c>
      <c r="G14" s="8" t="n">
        <f aca="false">G5*G12*00_Assumptions!$D$50*G13/00_Assumptions!$E$50</f>
        <v>788.4</v>
      </c>
      <c r="H14" s="8" t="n">
        <f aca="false">H5*H12*00_Assumptions!$D$50*H13/00_Assumptions!$E$50</f>
        <v>788.4</v>
      </c>
    </row>
    <row r="15" customFormat="false" ht="15" hidden="false" customHeight="false" outlineLevel="0" collapsed="false">
      <c r="A15" s="10" t="s">
        <v>1113</v>
      </c>
      <c r="B15" s="2" t="s">
        <v>62</v>
      </c>
      <c r="C15" s="2" t="s">
        <v>1114</v>
      </c>
      <c r="D15" s="29" t="n">
        <f aca="false">(D9)/00_Assumptions!$D$16</f>
        <v>0</v>
      </c>
      <c r="E15" s="29" t="n">
        <f aca="false">(D9+E9)/00_Assumptions!$D$16</f>
        <v>0</v>
      </c>
      <c r="F15" s="29" t="n">
        <f aca="false">(D9+E9+F9)/00_Assumptions!$D$16</f>
        <v>0</v>
      </c>
      <c r="G15" s="29" t="n">
        <f aca="false">(E9+F9+G9)/00_Assumptions!$D$16</f>
        <v>0</v>
      </c>
      <c r="H15" s="29" t="n">
        <f aca="false">(F9+G9+H9)/00_Assumptions!$D$16</f>
        <v>0</v>
      </c>
    </row>
    <row r="16" customFormat="false" ht="15" hidden="false" customHeight="false" outlineLevel="0" collapsed="false">
      <c r="A16" s="10" t="s">
        <v>1115</v>
      </c>
      <c r="B16" s="2" t="s">
        <v>1116</v>
      </c>
      <c r="C16" s="2" t="s">
        <v>1117</v>
      </c>
      <c r="D16" s="50" t="n">
        <f aca="false">00_Assumptions!$K$50</f>
        <v>1</v>
      </c>
      <c r="E16" s="50" t="n">
        <f aca="false">00_Assumptions!$K$50</f>
        <v>1</v>
      </c>
      <c r="F16" s="50" t="n">
        <f aca="false">00_Assumptions!$K$50</f>
        <v>1</v>
      </c>
      <c r="G16" s="50" t="n">
        <f aca="false">00_Assumptions!$K$50</f>
        <v>1</v>
      </c>
      <c r="H16" s="50" t="n">
        <f aca="false">00_Assumptions!$K$50</f>
        <v>1</v>
      </c>
    </row>
    <row r="17" customFormat="false" ht="15" hidden="false" customHeight="false" outlineLevel="0" collapsed="false">
      <c r="A17" s="10" t="s">
        <v>1118</v>
      </c>
      <c r="B17" s="2" t="s">
        <v>62</v>
      </c>
      <c r="C17" s="2" t="s">
        <v>1119</v>
      </c>
      <c r="D17" s="29" t="n">
        <f aca="false">(D9+D10+D11)*00_Assumptions!$D$15</f>
        <v>0</v>
      </c>
      <c r="E17" s="29" t="n">
        <f aca="false">(E9+E10+E11)*00_Assumptions!$D$15</f>
        <v>0</v>
      </c>
      <c r="F17" s="29" t="n">
        <f aca="false">(F9+F10+F11)*00_Assumptions!$D$15</f>
        <v>0</v>
      </c>
      <c r="G17" s="29" t="n">
        <f aca="false">(G9+G10+G11)*00_Assumptions!$D$15</f>
        <v>0</v>
      </c>
      <c r="H17" s="29" t="n">
        <f aca="false">(H9+H10+H11)*00_Assumptions!$D$15</f>
        <v>0</v>
      </c>
    </row>
    <row r="18" customFormat="false" ht="15" hidden="false" customHeight="false" outlineLevel="0" collapsed="false">
      <c r="A18" s="10" t="s">
        <v>1120</v>
      </c>
      <c r="B18" s="2" t="s">
        <v>62</v>
      </c>
      <c r="C18" s="2" t="s">
        <v>1121</v>
      </c>
      <c r="D18" s="29" t="n">
        <f aca="false">00_Assumptions!$L$50</f>
        <v>0</v>
      </c>
      <c r="E18" s="29" t="n">
        <f aca="false">(D17)/00_Assumptions!$D$17</f>
        <v>0</v>
      </c>
      <c r="F18" s="29" t="n">
        <f aca="false">(D17+E17)/00_Assumptions!$D$17</f>
        <v>0</v>
      </c>
      <c r="G18" s="29" t="n">
        <f aca="false">(D17+E17+F17)/00_Assumptions!$D$17</f>
        <v>0</v>
      </c>
      <c r="H18" s="29" t="n">
        <f aca="false">(D17+E17+F17+G17)/00_Assumptions!$D$17</f>
        <v>0</v>
      </c>
    </row>
    <row r="19" customFormat="false" ht="15" hidden="false" customHeight="false" outlineLevel="0" collapsed="false">
      <c r="A19" s="3" t="s">
        <v>1122</v>
      </c>
      <c r="B19" s="2" t="s">
        <v>62</v>
      </c>
      <c r="C19" s="2" t="s">
        <v>293</v>
      </c>
      <c r="D19" s="51" t="n">
        <f aca="false">D17-D18</f>
        <v>0</v>
      </c>
      <c r="E19" s="51" t="n">
        <f aca="false">D19+E17-E18</f>
        <v>0</v>
      </c>
      <c r="F19" s="51" t="n">
        <f aca="false">E19+F17-F18</f>
        <v>0</v>
      </c>
      <c r="G19" s="51" t="n">
        <f aca="false">F19+G17-G18</f>
        <v>0</v>
      </c>
      <c r="H19" s="51" t="n">
        <f aca="false">G19+H17-H18</f>
        <v>0</v>
      </c>
    </row>
    <row r="20" customFormat="false" ht="15" hidden="false" customHeight="false" outlineLevel="0" collapsed="false">
      <c r="A20" s="10" t="s">
        <v>1123</v>
      </c>
      <c r="B20" s="2" t="s">
        <v>29</v>
      </c>
      <c r="C20" s="2" t="s">
        <v>1124</v>
      </c>
      <c r="D20" s="32" t="n">
        <f aca="false">00_Assumptions!$D$48</f>
        <v>0.09375</v>
      </c>
      <c r="E20" s="32" t="n">
        <f aca="false">00_Assumptions!$D$48</f>
        <v>0.09375</v>
      </c>
      <c r="F20" s="32" t="n">
        <f aca="false">00_Assumptions!$D$48</f>
        <v>0.09375</v>
      </c>
      <c r="G20" s="32" t="n">
        <f aca="false">00_Assumptions!$D$48</f>
        <v>0.09375</v>
      </c>
      <c r="H20" s="32" t="n">
        <f aca="false">00_Assumptions!$D$48</f>
        <v>0.09375</v>
      </c>
    </row>
    <row r="21" customFormat="false" ht="15" hidden="false" customHeight="false" outlineLevel="0" collapsed="false">
      <c r="A21" s="10" t="s">
        <v>1125</v>
      </c>
      <c r="B21" s="2" t="s">
        <v>62</v>
      </c>
      <c r="C21" s="2" t="s">
        <v>293</v>
      </c>
      <c r="D21" s="29" t="n">
        <f aca="false">00_Assumptions!$L$50</f>
        <v>0</v>
      </c>
      <c r="E21" s="52" t="n">
        <f aca="false">D19*E20</f>
        <v>0</v>
      </c>
      <c r="F21" s="52" t="n">
        <f aca="false">E19*F20</f>
        <v>0</v>
      </c>
      <c r="G21" s="52" t="n">
        <f aca="false">F19*G20</f>
        <v>0</v>
      </c>
      <c r="H21" s="52" t="n">
        <f aca="false">G19*H20</f>
        <v>0</v>
      </c>
    </row>
    <row r="22" customFormat="false" ht="15" hidden="false" customHeight="false" outlineLevel="0" collapsed="false">
      <c r="A22" s="10" t="s">
        <v>1126</v>
      </c>
      <c r="B22" s="2" t="s">
        <v>45</v>
      </c>
      <c r="C22" s="2" t="s">
        <v>1127</v>
      </c>
      <c r="D22" s="25" t="n">
        <f aca="false">D6/00_Assumptions!$H$50*00_Assumptions!$D$20</f>
        <v>0</v>
      </c>
      <c r="E22" s="25" t="n">
        <f aca="false">E6/00_Assumptions!$H$50*00_Assumptions!$D$20</f>
        <v>0</v>
      </c>
      <c r="F22" s="25" t="n">
        <f aca="false">F6/00_Assumptions!$H$50*00_Assumptions!$D$20</f>
        <v>0</v>
      </c>
      <c r="G22" s="25" t="n">
        <f aca="false">G6/00_Assumptions!$H$50*00_Assumptions!$D$20</f>
        <v>0</v>
      </c>
      <c r="H22" s="25" t="n">
        <f aca="false">H6/00_Assumptions!$H$50*00_Assumptions!$D$20</f>
        <v>0</v>
      </c>
    </row>
    <row r="23" customFormat="false" ht="15" hidden="false" customHeight="false" outlineLevel="0" collapsed="false">
      <c r="A23" s="3" t="s">
        <v>1128</v>
      </c>
      <c r="B23" s="2" t="s">
        <v>62</v>
      </c>
      <c r="C23" s="2" t="s">
        <v>1129</v>
      </c>
      <c r="D23" s="8" t="n">
        <f aca="false">D14+D15*D16+03_Facility!D9+03_Facility!D8</f>
        <v>394.2</v>
      </c>
      <c r="E23" s="8" t="n">
        <f aca="false">E14+E15*E16+03_Facility!E9+03_Facility!E8</f>
        <v>591.3</v>
      </c>
      <c r="F23" s="8" t="n">
        <f aca="false">F14+F15*F16+03_Facility!F9+03_Facility!F8</f>
        <v>788.4</v>
      </c>
      <c r="G23" s="8" t="n">
        <f aca="false">G14+G15*G16+03_Facility!G9+03_Facility!G8</f>
        <v>788.4</v>
      </c>
      <c r="H23" s="8" t="n">
        <f aca="false">H14+H15*H16+03_Facility!H9+03_Facility!H8</f>
        <v>788.4</v>
      </c>
    </row>
    <row r="25" customFormat="false" ht="15" hidden="false" customHeight="false" outlineLevel="0" collapsed="false">
      <c r="A25" s="34" t="s">
        <v>1130</v>
      </c>
      <c r="B25" s="35"/>
      <c r="C25" s="35"/>
      <c r="D25" s="35"/>
      <c r="E25" s="35"/>
      <c r="F25" s="35"/>
      <c r="G25" s="35"/>
      <c r="H25" s="35"/>
      <c r="I25" s="35"/>
      <c r="J25" s="35"/>
    </row>
    <row r="26" customFormat="false" ht="15" hidden="false" customHeight="false" outlineLevel="0" collapsed="false">
      <c r="A26" s="47" t="s">
        <v>1093</v>
      </c>
      <c r="B26" s="47" t="s">
        <v>12</v>
      </c>
      <c r="C26" s="47" t="s">
        <v>1094</v>
      </c>
      <c r="D26" s="48" t="str">
        <f aca="false">00_Assumptions!$D$3</f>
        <v>Y1</v>
      </c>
      <c r="E26" s="48" t="str">
        <f aca="false">00_Assumptions!$E$3</f>
        <v>Y2</v>
      </c>
      <c r="F26" s="48" t="str">
        <f aca="false">00_Assumptions!$F$3</f>
        <v>Y3</v>
      </c>
      <c r="G26" s="48" t="str">
        <f aca="false">00_Assumptions!$G$3</f>
        <v>Y4</v>
      </c>
      <c r="H26" s="48" t="str">
        <f aca="false">00_Assumptions!$H$3</f>
        <v>Y5</v>
      </c>
    </row>
    <row r="27" customFormat="false" ht="15" hidden="false" customHeight="false" outlineLevel="0" collapsed="false">
      <c r="A27" s="10" t="s">
        <v>1095</v>
      </c>
      <c r="B27" s="2" t="s">
        <v>115</v>
      </c>
      <c r="C27" s="2" t="s">
        <v>1096</v>
      </c>
      <c r="D27" s="14" t="n">
        <f aca="false">00_Assumptions!$D$56</f>
        <v>100000</v>
      </c>
      <c r="E27" s="14" t="n">
        <f aca="false">00_Assumptions!$E$56</f>
        <v>87500</v>
      </c>
      <c r="F27" s="14" t="n">
        <f aca="false">00_Assumptions!$F$56</f>
        <v>125000</v>
      </c>
      <c r="G27" s="14" t="n">
        <f aca="false">00_Assumptions!$G$56</f>
        <v>162500</v>
      </c>
      <c r="H27" s="14" t="n">
        <f aca="false">00_Assumptions!$H$56</f>
        <v>200000</v>
      </c>
    </row>
    <row r="28" customFormat="false" ht="15" hidden="false" customHeight="false" outlineLevel="0" collapsed="false">
      <c r="A28" s="10" t="s">
        <v>1097</v>
      </c>
      <c r="B28" s="2" t="s">
        <v>115</v>
      </c>
      <c r="C28" s="2" t="s">
        <v>1098</v>
      </c>
      <c r="D28" s="14" t="n">
        <f aca="false">00_Assumptions!$D$61</f>
        <v>0</v>
      </c>
      <c r="E28" s="14" t="n">
        <f aca="false">00_Assumptions!$E$61</f>
        <v>87500</v>
      </c>
      <c r="F28" s="14" t="n">
        <f aca="false">00_Assumptions!$F$61</f>
        <v>125000</v>
      </c>
      <c r="G28" s="14" t="n">
        <f aca="false">00_Assumptions!$G$61</f>
        <v>162500</v>
      </c>
      <c r="H28" s="14" t="n">
        <f aca="false">00_Assumptions!$H$61</f>
        <v>200000</v>
      </c>
    </row>
    <row r="29" customFormat="false" ht="15" hidden="false" customHeight="false" outlineLevel="0" collapsed="false">
      <c r="A29" s="10" t="s">
        <v>1099</v>
      </c>
      <c r="B29" s="2" t="s">
        <v>115</v>
      </c>
      <c r="C29" s="2" t="s">
        <v>293</v>
      </c>
      <c r="D29" s="49" t="n">
        <f aca="false">D28</f>
        <v>0</v>
      </c>
      <c r="E29" s="49" t="n">
        <f aca="false">E28-D28</f>
        <v>87500</v>
      </c>
      <c r="F29" s="49" t="n">
        <f aca="false">F28-E28</f>
        <v>37500</v>
      </c>
      <c r="G29" s="49" t="n">
        <f aca="false">G28-F28</f>
        <v>37500</v>
      </c>
      <c r="H29" s="49" t="n">
        <f aca="false">H28-G28</f>
        <v>37500</v>
      </c>
    </row>
    <row r="30" customFormat="false" ht="15" hidden="false" customHeight="false" outlineLevel="0" collapsed="false">
      <c r="A30" s="10" t="s">
        <v>1100</v>
      </c>
      <c r="B30" s="2" t="s">
        <v>183</v>
      </c>
      <c r="C30" s="2" t="s">
        <v>1101</v>
      </c>
      <c r="D30" s="14" t="n">
        <f aca="false">00_Assumptions!$E$11</f>
        <v>48611.1111111111</v>
      </c>
      <c r="E30" s="14" t="n">
        <f aca="false">00_Assumptions!$E$11</f>
        <v>48611.1111111111</v>
      </c>
      <c r="F30" s="14" t="n">
        <f aca="false">00_Assumptions!$E$11</f>
        <v>48611.1111111111</v>
      </c>
      <c r="G30" s="14" t="n">
        <f aca="false">00_Assumptions!$E$11</f>
        <v>48611.1111111111</v>
      </c>
      <c r="H30" s="14" t="n">
        <f aca="false">00_Assumptions!$E$11</f>
        <v>48611.1111111111</v>
      </c>
    </row>
    <row r="31" customFormat="false" ht="15" hidden="false" customHeight="false" outlineLevel="0" collapsed="false">
      <c r="A31" s="3" t="s">
        <v>1102</v>
      </c>
      <c r="B31" s="2" t="s">
        <v>62</v>
      </c>
      <c r="C31" s="2" t="s">
        <v>1103</v>
      </c>
      <c r="D31" s="8" t="n">
        <f aca="false">D29*D30/00_Assumptions!$E$50</f>
        <v>0</v>
      </c>
      <c r="E31" s="8" t="n">
        <f aca="false">E29*E30/00_Assumptions!$E$50</f>
        <v>4253.47222222222</v>
      </c>
      <c r="F31" s="8" t="n">
        <f aca="false">F29*F30/00_Assumptions!$E$50</f>
        <v>1822.91666666667</v>
      </c>
      <c r="G31" s="8" t="n">
        <f aca="false">G29*G30/00_Assumptions!$E$50</f>
        <v>1822.91666666667</v>
      </c>
      <c r="H31" s="8" t="n">
        <f aca="false">H29*H30/00_Assumptions!$E$50</f>
        <v>1822.91666666667</v>
      </c>
    </row>
    <row r="32" customFormat="false" ht="15" hidden="false" customHeight="false" outlineLevel="0" collapsed="false">
      <c r="A32" s="10" t="s">
        <v>1104</v>
      </c>
      <c r="B32" s="2" t="s">
        <v>62</v>
      </c>
      <c r="C32" s="2" t="s">
        <v>1105</v>
      </c>
      <c r="D32" s="29" t="n">
        <f aca="false">D31*00_Assumptions!$E$18</f>
        <v>0</v>
      </c>
      <c r="E32" s="29" t="n">
        <f aca="false">E31*00_Assumptions!$E$18</f>
        <v>340.277777777778</v>
      </c>
      <c r="F32" s="29" t="n">
        <f aca="false">F31*00_Assumptions!$E$18</f>
        <v>145.833333333333</v>
      </c>
      <c r="G32" s="29" t="n">
        <f aca="false">G31*00_Assumptions!$E$18</f>
        <v>145.833333333333</v>
      </c>
      <c r="H32" s="29" t="n">
        <f aca="false">H31*00_Assumptions!$E$18</f>
        <v>145.833333333333</v>
      </c>
    </row>
    <row r="33" customFormat="false" ht="15" hidden="false" customHeight="false" outlineLevel="0" collapsed="false">
      <c r="A33" s="10" t="s">
        <v>1106</v>
      </c>
      <c r="B33" s="2" t="s">
        <v>62</v>
      </c>
      <c r="C33" s="2" t="s">
        <v>1107</v>
      </c>
      <c r="D33" s="29" t="n">
        <f aca="false">(D31+D32)*00_Assumptions!$E$19</f>
        <v>0</v>
      </c>
      <c r="E33" s="29" t="n">
        <f aca="false">(E31+E32)*00_Assumptions!$E$19</f>
        <v>137.8125</v>
      </c>
      <c r="F33" s="29" t="n">
        <f aca="false">(F31+F32)*00_Assumptions!$E$19</f>
        <v>59.0625</v>
      </c>
      <c r="G33" s="29" t="n">
        <f aca="false">(G31+G32)*00_Assumptions!$E$19</f>
        <v>59.0625</v>
      </c>
      <c r="H33" s="29" t="n">
        <f aca="false">(H31+H32)*00_Assumptions!$E$19</f>
        <v>59.0625</v>
      </c>
    </row>
    <row r="34" customFormat="false" ht="15" hidden="false" customHeight="false" outlineLevel="0" collapsed="false">
      <c r="A34" s="10" t="s">
        <v>1108</v>
      </c>
      <c r="B34" s="2" t="s">
        <v>26</v>
      </c>
      <c r="C34" s="2" t="s">
        <v>1109</v>
      </c>
      <c r="D34" s="17" t="n">
        <f aca="false">00_Assumptions!$E$12</f>
        <v>3.1</v>
      </c>
      <c r="E34" s="17" t="n">
        <f aca="false">00_Assumptions!$E$12</f>
        <v>3.1</v>
      </c>
      <c r="F34" s="17" t="n">
        <f aca="false">00_Assumptions!$E$12</f>
        <v>3.1</v>
      </c>
      <c r="G34" s="17" t="n">
        <f aca="false">00_Assumptions!$E$12</f>
        <v>3.1</v>
      </c>
      <c r="H34" s="17" t="n">
        <f aca="false">00_Assumptions!$E$12</f>
        <v>3.1</v>
      </c>
    </row>
    <row r="35" customFormat="false" ht="15" hidden="false" customHeight="false" outlineLevel="0" collapsed="false">
      <c r="A35" s="10" t="s">
        <v>1110</v>
      </c>
      <c r="B35" s="2" t="s">
        <v>29</v>
      </c>
      <c r="C35" s="2" t="s">
        <v>1111</v>
      </c>
      <c r="D35" s="21" t="n">
        <f aca="false">00_Assumptions!$E$13</f>
        <v>0.75</v>
      </c>
      <c r="E35" s="21" t="n">
        <f aca="false">00_Assumptions!$E$13</f>
        <v>0.75</v>
      </c>
      <c r="F35" s="21" t="n">
        <f aca="false">00_Assumptions!$E$13</f>
        <v>0.75</v>
      </c>
      <c r="G35" s="21" t="n">
        <f aca="false">00_Assumptions!$E$13</f>
        <v>0.75</v>
      </c>
      <c r="H35" s="21" t="n">
        <f aca="false">00_Assumptions!$E$13</f>
        <v>0.75</v>
      </c>
    </row>
    <row r="36" customFormat="false" ht="15" hidden="false" customHeight="false" outlineLevel="0" collapsed="false">
      <c r="A36" s="3" t="s">
        <v>1112</v>
      </c>
      <c r="B36" s="2" t="s">
        <v>62</v>
      </c>
      <c r="C36" s="2" t="s">
        <v>105</v>
      </c>
      <c r="D36" s="8" t="n">
        <f aca="false">D27*D34*00_Assumptions!$D$50*D35/00_Assumptions!$E$50</f>
        <v>2036.7</v>
      </c>
      <c r="E36" s="8" t="n">
        <f aca="false">E27*E34*00_Assumptions!$D$50*E35/00_Assumptions!$E$50</f>
        <v>1782.1125</v>
      </c>
      <c r="F36" s="8" t="n">
        <f aca="false">F27*F34*00_Assumptions!$D$50*F35/00_Assumptions!$E$50</f>
        <v>2545.875</v>
      </c>
      <c r="G36" s="8" t="n">
        <f aca="false">G27*G34*00_Assumptions!$D$50*G35/00_Assumptions!$E$50</f>
        <v>3309.6375</v>
      </c>
      <c r="H36" s="8" t="n">
        <f aca="false">H27*H34*00_Assumptions!$D$50*H35/00_Assumptions!$E$50</f>
        <v>4073.4</v>
      </c>
    </row>
    <row r="37" customFormat="false" ht="15" hidden="false" customHeight="false" outlineLevel="0" collapsed="false">
      <c r="A37" s="10" t="s">
        <v>1113</v>
      </c>
      <c r="B37" s="2" t="s">
        <v>62</v>
      </c>
      <c r="C37" s="2" t="s">
        <v>1114</v>
      </c>
      <c r="D37" s="29" t="n">
        <f aca="false">(D31)/00_Assumptions!$E$16</f>
        <v>0</v>
      </c>
      <c r="E37" s="29" t="n">
        <f aca="false">(D31+E31)/00_Assumptions!$E$16</f>
        <v>1417.82407407407</v>
      </c>
      <c r="F37" s="29" t="n">
        <f aca="false">(D31+E31+F31)/00_Assumptions!$E$16</f>
        <v>2025.46296296296</v>
      </c>
      <c r="G37" s="29" t="n">
        <f aca="false">(E31+F31+G31)/00_Assumptions!$E$16</f>
        <v>2633.10185185185</v>
      </c>
      <c r="H37" s="29" t="n">
        <f aca="false">(F31+G31+H31)/00_Assumptions!$E$16</f>
        <v>1822.91666666667</v>
      </c>
    </row>
    <row r="38" customFormat="false" ht="15" hidden="false" customHeight="false" outlineLevel="0" collapsed="false">
      <c r="A38" s="10" t="s">
        <v>1115</v>
      </c>
      <c r="B38" s="2" t="s">
        <v>1116</v>
      </c>
      <c r="C38" s="2" t="s">
        <v>1117</v>
      </c>
      <c r="D38" s="50" t="n">
        <f aca="false">00_Assumptions!$K$50</f>
        <v>1</v>
      </c>
      <c r="E38" s="50" t="n">
        <f aca="false">00_Assumptions!$K$50</f>
        <v>1</v>
      </c>
      <c r="F38" s="50" t="n">
        <f aca="false">00_Assumptions!$K$50</f>
        <v>1</v>
      </c>
      <c r="G38" s="50" t="n">
        <f aca="false">00_Assumptions!$K$50</f>
        <v>1</v>
      </c>
      <c r="H38" s="50" t="n">
        <f aca="false">00_Assumptions!$K$50</f>
        <v>1</v>
      </c>
    </row>
    <row r="39" customFormat="false" ht="15" hidden="false" customHeight="false" outlineLevel="0" collapsed="false">
      <c r="A39" s="10" t="s">
        <v>1118</v>
      </c>
      <c r="B39" s="2" t="s">
        <v>62</v>
      </c>
      <c r="C39" s="2" t="s">
        <v>1119</v>
      </c>
      <c r="D39" s="29" t="n">
        <f aca="false">(D31+D32+D33)*00_Assumptions!$E$15</f>
        <v>0</v>
      </c>
      <c r="E39" s="29" t="n">
        <f aca="false">(E31+E32+E33)*00_Assumptions!$E$15</f>
        <v>2838.9375</v>
      </c>
      <c r="F39" s="29" t="n">
        <f aca="false">(F31+F32+F33)*00_Assumptions!$E$15</f>
        <v>1216.6875</v>
      </c>
      <c r="G39" s="29" t="n">
        <f aca="false">(G31+G32+G33)*00_Assumptions!$E$15</f>
        <v>1216.6875</v>
      </c>
      <c r="H39" s="29" t="n">
        <f aca="false">(H31+H32+H33)*00_Assumptions!$E$15</f>
        <v>1216.6875</v>
      </c>
    </row>
    <row r="40" customFormat="false" ht="15" hidden="false" customHeight="false" outlineLevel="0" collapsed="false">
      <c r="A40" s="10" t="s">
        <v>1120</v>
      </c>
      <c r="B40" s="2" t="s">
        <v>62</v>
      </c>
      <c r="C40" s="2" t="s">
        <v>1121</v>
      </c>
      <c r="D40" s="29" t="n">
        <f aca="false">00_Assumptions!$L$50</f>
        <v>0</v>
      </c>
      <c r="E40" s="29" t="n">
        <f aca="false">(D39)/00_Assumptions!$E$17</f>
        <v>0</v>
      </c>
      <c r="F40" s="29" t="n">
        <f aca="false">(D39+E39)/00_Assumptions!$E$17</f>
        <v>709.734375</v>
      </c>
      <c r="G40" s="29" t="n">
        <f aca="false">(D39+E39+F39)/00_Assumptions!$E$17</f>
        <v>1013.90625</v>
      </c>
      <c r="H40" s="29" t="n">
        <f aca="false">(D39+E39+F39+G39)/00_Assumptions!$E$17</f>
        <v>1318.078125</v>
      </c>
    </row>
    <row r="41" customFormat="false" ht="15" hidden="false" customHeight="false" outlineLevel="0" collapsed="false">
      <c r="A41" s="3" t="s">
        <v>1122</v>
      </c>
      <c r="B41" s="2" t="s">
        <v>62</v>
      </c>
      <c r="C41" s="2" t="s">
        <v>293</v>
      </c>
      <c r="D41" s="51" t="n">
        <f aca="false">D39-D40</f>
        <v>0</v>
      </c>
      <c r="E41" s="51" t="n">
        <f aca="false">D41+E39-E40</f>
        <v>2838.9375</v>
      </c>
      <c r="F41" s="51" t="n">
        <f aca="false">E41+F39-F40</f>
        <v>3345.890625</v>
      </c>
      <c r="G41" s="51" t="n">
        <f aca="false">F41+G39-G40</f>
        <v>3548.671875</v>
      </c>
      <c r="H41" s="51" t="n">
        <f aca="false">G41+H39-H40</f>
        <v>3447.28125</v>
      </c>
    </row>
    <row r="42" customFormat="false" ht="15" hidden="false" customHeight="false" outlineLevel="0" collapsed="false">
      <c r="A42" s="10" t="s">
        <v>1123</v>
      </c>
      <c r="B42" s="2" t="s">
        <v>29</v>
      </c>
      <c r="C42" s="2" t="s">
        <v>1124</v>
      </c>
      <c r="D42" s="32" t="n">
        <f aca="false">00_Assumptions!$E$48</f>
        <v>0.09375</v>
      </c>
      <c r="E42" s="32" t="n">
        <f aca="false">00_Assumptions!$E$48</f>
        <v>0.09375</v>
      </c>
      <c r="F42" s="32" t="n">
        <f aca="false">00_Assumptions!$E$48</f>
        <v>0.09375</v>
      </c>
      <c r="G42" s="32" t="n">
        <f aca="false">00_Assumptions!$E$48</f>
        <v>0.09375</v>
      </c>
      <c r="H42" s="32" t="n">
        <f aca="false">00_Assumptions!$E$48</f>
        <v>0.09375</v>
      </c>
    </row>
    <row r="43" customFormat="false" ht="15" hidden="false" customHeight="false" outlineLevel="0" collapsed="false">
      <c r="A43" s="10" t="s">
        <v>1125</v>
      </c>
      <c r="B43" s="2" t="s">
        <v>62</v>
      </c>
      <c r="C43" s="2" t="s">
        <v>293</v>
      </c>
      <c r="D43" s="29" t="n">
        <f aca="false">00_Assumptions!$L$50</f>
        <v>0</v>
      </c>
      <c r="E43" s="52" t="n">
        <f aca="false">D41*E42</f>
        <v>0</v>
      </c>
      <c r="F43" s="52" t="n">
        <f aca="false">E41*F42</f>
        <v>266.150390625</v>
      </c>
      <c r="G43" s="52" t="n">
        <f aca="false">F41*G42</f>
        <v>313.67724609375</v>
      </c>
      <c r="H43" s="52" t="n">
        <f aca="false">G41*H42</f>
        <v>332.68798828125</v>
      </c>
    </row>
    <row r="44" customFormat="false" ht="15" hidden="false" customHeight="false" outlineLevel="0" collapsed="false">
      <c r="A44" s="10" t="s">
        <v>1126</v>
      </c>
      <c r="B44" s="2" t="s">
        <v>45</v>
      </c>
      <c r="C44" s="2" t="s">
        <v>1127</v>
      </c>
      <c r="D44" s="25" t="n">
        <f aca="false">D28/00_Assumptions!$H$50*00_Assumptions!$E$20</f>
        <v>0</v>
      </c>
      <c r="E44" s="25" t="n">
        <f aca="false">E28/00_Assumptions!$H$50*00_Assumptions!$E$20</f>
        <v>183.75</v>
      </c>
      <c r="F44" s="25" t="n">
        <f aca="false">F28/00_Assumptions!$H$50*00_Assumptions!$E$20</f>
        <v>262.5</v>
      </c>
      <c r="G44" s="25" t="n">
        <f aca="false">G28/00_Assumptions!$H$50*00_Assumptions!$E$20</f>
        <v>341.25</v>
      </c>
      <c r="H44" s="25" t="n">
        <f aca="false">H28/00_Assumptions!$H$50*00_Assumptions!$E$20</f>
        <v>420</v>
      </c>
    </row>
    <row r="45" customFormat="false" ht="15" hidden="false" customHeight="false" outlineLevel="0" collapsed="false">
      <c r="A45" s="3" t="s">
        <v>1128</v>
      </c>
      <c r="B45" s="2" t="s">
        <v>62</v>
      </c>
      <c r="C45" s="2" t="s">
        <v>1129</v>
      </c>
      <c r="D45" s="8" t="n">
        <f aca="false">D36+D37*D38+03_Facility!D31+03_Facility!D30</f>
        <v>2036.7</v>
      </c>
      <c r="E45" s="8" t="n">
        <f aca="false">E36+E37*E38+03_Facility!E31+03_Facility!E30</f>
        <v>3615.12818943771</v>
      </c>
      <c r="F45" s="8" t="n">
        <f aca="false">F36+F37*F38+03_Facility!F31+03_Facility!F30</f>
        <v>5164.46884205387</v>
      </c>
      <c r="G45" s="8" t="n">
        <f aca="false">G36+G37*G38+03_Facility!G31+03_Facility!G30</f>
        <v>6713.80949467003</v>
      </c>
      <c r="H45" s="8" t="n">
        <f aca="false">H36+H37*H38+03_Facility!H31+03_Facility!H30</f>
        <v>6845.32607321212</v>
      </c>
    </row>
    <row r="47" customFormat="false" ht="15" hidden="false" customHeight="false" outlineLevel="0" collapsed="false">
      <c r="A47" s="34" t="s">
        <v>1131</v>
      </c>
      <c r="B47" s="35"/>
      <c r="C47" s="35"/>
      <c r="D47" s="35"/>
      <c r="E47" s="35"/>
      <c r="F47" s="35"/>
      <c r="G47" s="35"/>
      <c r="H47" s="35"/>
      <c r="I47" s="35"/>
      <c r="J47" s="35"/>
    </row>
    <row r="48" customFormat="false" ht="15" hidden="false" customHeight="false" outlineLevel="0" collapsed="false">
      <c r="A48" s="47" t="s">
        <v>1093</v>
      </c>
      <c r="B48" s="47" t="s">
        <v>12</v>
      </c>
      <c r="C48" s="47" t="s">
        <v>1094</v>
      </c>
      <c r="D48" s="48" t="str">
        <f aca="false">00_Assumptions!$D$3</f>
        <v>Y1</v>
      </c>
      <c r="E48" s="48" t="str">
        <f aca="false">00_Assumptions!$E$3</f>
        <v>Y2</v>
      </c>
      <c r="F48" s="48" t="str">
        <f aca="false">00_Assumptions!$F$3</f>
        <v>Y3</v>
      </c>
      <c r="G48" s="48" t="str">
        <f aca="false">00_Assumptions!$G$3</f>
        <v>Y4</v>
      </c>
      <c r="H48" s="48" t="str">
        <f aca="false">00_Assumptions!$H$3</f>
        <v>Y5</v>
      </c>
    </row>
    <row r="49" customFormat="false" ht="15" hidden="false" customHeight="false" outlineLevel="0" collapsed="false">
      <c r="A49" s="10" t="s">
        <v>1095</v>
      </c>
      <c r="B49" s="2" t="s">
        <v>115</v>
      </c>
      <c r="C49" s="2" t="s">
        <v>1096</v>
      </c>
      <c r="D49" s="14" t="n">
        <f aca="false">00_Assumptions!$D$57</f>
        <v>50000</v>
      </c>
      <c r="E49" s="14" t="n">
        <f aca="false">00_Assumptions!$E$57</f>
        <v>60000</v>
      </c>
      <c r="F49" s="14" t="n">
        <f aca="false">00_Assumptions!$F$57</f>
        <v>80000</v>
      </c>
      <c r="G49" s="14" t="n">
        <f aca="false">00_Assumptions!$G$57</f>
        <v>119000</v>
      </c>
      <c r="H49" s="14" t="n">
        <f aca="false">00_Assumptions!$H$57</f>
        <v>119000</v>
      </c>
    </row>
    <row r="50" customFormat="false" ht="15" hidden="false" customHeight="false" outlineLevel="0" collapsed="false">
      <c r="A50" s="10" t="s">
        <v>1097</v>
      </c>
      <c r="B50" s="2" t="s">
        <v>115</v>
      </c>
      <c r="C50" s="2" t="s">
        <v>1098</v>
      </c>
      <c r="D50" s="14" t="n">
        <f aca="false">00_Assumptions!$D$62</f>
        <v>0</v>
      </c>
      <c r="E50" s="14" t="n">
        <f aca="false">00_Assumptions!$E$62</f>
        <v>240000</v>
      </c>
      <c r="F50" s="14" t="n">
        <f aca="false">00_Assumptions!$F$62</f>
        <v>320000</v>
      </c>
      <c r="G50" s="14" t="n">
        <f aca="false">00_Assumptions!$G$62</f>
        <v>476000</v>
      </c>
      <c r="H50" s="14" t="n">
        <f aca="false">00_Assumptions!$H$62</f>
        <v>476000</v>
      </c>
    </row>
    <row r="51" customFormat="false" ht="15" hidden="false" customHeight="false" outlineLevel="0" collapsed="false">
      <c r="A51" s="10" t="s">
        <v>1099</v>
      </c>
      <c r="B51" s="2" t="s">
        <v>115</v>
      </c>
      <c r="C51" s="2" t="s">
        <v>293</v>
      </c>
      <c r="D51" s="49" t="n">
        <f aca="false">D50</f>
        <v>0</v>
      </c>
      <c r="E51" s="49" t="n">
        <f aca="false">E50-D50</f>
        <v>240000</v>
      </c>
      <c r="F51" s="49" t="n">
        <f aca="false">F50-E50</f>
        <v>80000</v>
      </c>
      <c r="G51" s="49" t="n">
        <f aca="false">G50-F50</f>
        <v>156000</v>
      </c>
      <c r="H51" s="49" t="n">
        <f aca="false">H50-G50</f>
        <v>0</v>
      </c>
    </row>
    <row r="52" customFormat="false" ht="15" hidden="false" customHeight="false" outlineLevel="0" collapsed="false">
      <c r="A52" s="10" t="s">
        <v>1100</v>
      </c>
      <c r="B52" s="2" t="s">
        <v>183</v>
      </c>
      <c r="C52" s="2" t="s">
        <v>1101</v>
      </c>
      <c r="D52" s="14" t="n">
        <f aca="false">00_Assumptions!$F$11</f>
        <v>34722.2222222222</v>
      </c>
      <c r="E52" s="14" t="n">
        <f aca="false">00_Assumptions!$F$11</f>
        <v>34722.2222222222</v>
      </c>
      <c r="F52" s="14" t="n">
        <f aca="false">00_Assumptions!$F$11</f>
        <v>34722.2222222222</v>
      </c>
      <c r="G52" s="14" t="n">
        <f aca="false">00_Assumptions!$F$11</f>
        <v>34722.2222222222</v>
      </c>
      <c r="H52" s="14" t="n">
        <f aca="false">00_Assumptions!$F$11</f>
        <v>34722.2222222222</v>
      </c>
    </row>
    <row r="53" customFormat="false" ht="15" hidden="false" customHeight="false" outlineLevel="0" collapsed="false">
      <c r="A53" s="3" t="s">
        <v>1102</v>
      </c>
      <c r="B53" s="2" t="s">
        <v>62</v>
      </c>
      <c r="C53" s="2" t="s">
        <v>1103</v>
      </c>
      <c r="D53" s="8" t="n">
        <f aca="false">D51*D52/00_Assumptions!$E$50</f>
        <v>0</v>
      </c>
      <c r="E53" s="8" t="n">
        <f aca="false">E51*E52/00_Assumptions!$E$50</f>
        <v>8333.33333333333</v>
      </c>
      <c r="F53" s="8" t="n">
        <f aca="false">F51*F52/00_Assumptions!$E$50</f>
        <v>2777.77777777778</v>
      </c>
      <c r="G53" s="8" t="n">
        <f aca="false">G51*G52/00_Assumptions!$E$50</f>
        <v>5416.66666666667</v>
      </c>
      <c r="H53" s="8" t="n">
        <f aca="false">H51*H52/00_Assumptions!$E$50</f>
        <v>0</v>
      </c>
    </row>
    <row r="54" customFormat="false" ht="15" hidden="false" customHeight="false" outlineLevel="0" collapsed="false">
      <c r="A54" s="10" t="s">
        <v>1104</v>
      </c>
      <c r="B54" s="2" t="s">
        <v>62</v>
      </c>
      <c r="C54" s="2" t="s">
        <v>1105</v>
      </c>
      <c r="D54" s="29" t="n">
        <f aca="false">D53*00_Assumptions!$F$18</f>
        <v>0</v>
      </c>
      <c r="E54" s="29" t="n">
        <f aca="false">E53*00_Assumptions!$F$18</f>
        <v>666.666666666667</v>
      </c>
      <c r="F54" s="29" t="n">
        <f aca="false">F53*00_Assumptions!$F$18</f>
        <v>222.222222222222</v>
      </c>
      <c r="G54" s="29" t="n">
        <f aca="false">G53*00_Assumptions!$F$18</f>
        <v>433.333333333333</v>
      </c>
      <c r="H54" s="29" t="n">
        <f aca="false">H53*00_Assumptions!$F$18</f>
        <v>0</v>
      </c>
    </row>
    <row r="55" customFormat="false" ht="15" hidden="false" customHeight="false" outlineLevel="0" collapsed="false">
      <c r="A55" s="10" t="s">
        <v>1106</v>
      </c>
      <c r="B55" s="2" t="s">
        <v>62</v>
      </c>
      <c r="C55" s="2" t="s">
        <v>1107</v>
      </c>
      <c r="D55" s="29" t="n">
        <f aca="false">(D53+D54)*00_Assumptions!$F$19</f>
        <v>0</v>
      </c>
      <c r="E55" s="29" t="n">
        <f aca="false">(E53+E54)*00_Assumptions!$F$19</f>
        <v>270</v>
      </c>
      <c r="F55" s="29" t="n">
        <f aca="false">(F53+F54)*00_Assumptions!$F$19</f>
        <v>90</v>
      </c>
      <c r="G55" s="29" t="n">
        <f aca="false">(G53+G54)*00_Assumptions!$F$19</f>
        <v>175.5</v>
      </c>
      <c r="H55" s="29" t="n">
        <f aca="false">(H53+H54)*00_Assumptions!$F$19</f>
        <v>0</v>
      </c>
    </row>
    <row r="56" customFormat="false" ht="15" hidden="false" customHeight="false" outlineLevel="0" collapsed="false">
      <c r="A56" s="10" t="s">
        <v>1108</v>
      </c>
      <c r="B56" s="2" t="s">
        <v>26</v>
      </c>
      <c r="C56" s="2" t="s">
        <v>1109</v>
      </c>
      <c r="D56" s="17" t="n">
        <f aca="false">00_Assumptions!$F$12</f>
        <v>2.4</v>
      </c>
      <c r="E56" s="17" t="n">
        <f aca="false">00_Assumptions!$F$12</f>
        <v>2.4</v>
      </c>
      <c r="F56" s="17" t="n">
        <f aca="false">00_Assumptions!$F$12</f>
        <v>2.4</v>
      </c>
      <c r="G56" s="17" t="n">
        <f aca="false">00_Assumptions!$F$12</f>
        <v>2.4</v>
      </c>
      <c r="H56" s="17" t="n">
        <f aca="false">00_Assumptions!$F$12</f>
        <v>2.4</v>
      </c>
    </row>
    <row r="57" customFormat="false" ht="15" hidden="false" customHeight="false" outlineLevel="0" collapsed="false">
      <c r="A57" s="10" t="s">
        <v>1110</v>
      </c>
      <c r="B57" s="2" t="s">
        <v>29</v>
      </c>
      <c r="C57" s="2" t="s">
        <v>1111</v>
      </c>
      <c r="D57" s="21" t="n">
        <f aca="false">00_Assumptions!$F$13</f>
        <v>0.75</v>
      </c>
      <c r="E57" s="21" t="n">
        <f aca="false">00_Assumptions!$F$13</f>
        <v>0.75</v>
      </c>
      <c r="F57" s="21" t="n">
        <f aca="false">00_Assumptions!$F$13</f>
        <v>0.75</v>
      </c>
      <c r="G57" s="21" t="n">
        <f aca="false">00_Assumptions!$F$13</f>
        <v>0.75</v>
      </c>
      <c r="H57" s="21" t="n">
        <f aca="false">00_Assumptions!$F$13</f>
        <v>0.75</v>
      </c>
    </row>
    <row r="58" customFormat="false" ht="15" hidden="false" customHeight="false" outlineLevel="0" collapsed="false">
      <c r="A58" s="3" t="s">
        <v>1112</v>
      </c>
      <c r="B58" s="2" t="s">
        <v>62</v>
      </c>
      <c r="C58" s="2" t="s">
        <v>105</v>
      </c>
      <c r="D58" s="8" t="n">
        <f aca="false">D49*D56*00_Assumptions!$D$50*D57/00_Assumptions!$E$50</f>
        <v>788.4</v>
      </c>
      <c r="E58" s="8" t="n">
        <f aca="false">E49*E56*00_Assumptions!$D$50*E57/00_Assumptions!$E$50</f>
        <v>946.08</v>
      </c>
      <c r="F58" s="8" t="n">
        <f aca="false">F49*F56*00_Assumptions!$D$50*F57/00_Assumptions!$E$50</f>
        <v>1261.44</v>
      </c>
      <c r="G58" s="8" t="n">
        <f aca="false">G49*G56*00_Assumptions!$D$50*G57/00_Assumptions!$E$50</f>
        <v>1876.392</v>
      </c>
      <c r="H58" s="8" t="n">
        <f aca="false">H49*H56*00_Assumptions!$D$50*H57/00_Assumptions!$E$50</f>
        <v>1876.392</v>
      </c>
    </row>
    <row r="59" customFormat="false" ht="15" hidden="false" customHeight="false" outlineLevel="0" collapsed="false">
      <c r="A59" s="10" t="s">
        <v>1113</v>
      </c>
      <c r="B59" s="2" t="s">
        <v>62</v>
      </c>
      <c r="C59" s="2" t="s">
        <v>1114</v>
      </c>
      <c r="D59" s="29" t="n">
        <f aca="false">(D53)/00_Assumptions!$F$16</f>
        <v>0</v>
      </c>
      <c r="E59" s="29" t="n">
        <f aca="false">(D53+E53)/00_Assumptions!$F$16</f>
        <v>2777.77777777778</v>
      </c>
      <c r="F59" s="29" t="n">
        <f aca="false">(D53+E53+F53)/00_Assumptions!$F$16</f>
        <v>3703.7037037037</v>
      </c>
      <c r="G59" s="29" t="n">
        <f aca="false">(E53+F53+G53)/00_Assumptions!$F$16</f>
        <v>5509.25925925926</v>
      </c>
      <c r="H59" s="29" t="n">
        <f aca="false">(F53+G53+H53)/00_Assumptions!$F$16</f>
        <v>2731.48148148148</v>
      </c>
    </row>
    <row r="60" customFormat="false" ht="15" hidden="false" customHeight="false" outlineLevel="0" collapsed="false">
      <c r="A60" s="10" t="s">
        <v>1115</v>
      </c>
      <c r="B60" s="2" t="s">
        <v>1116</v>
      </c>
      <c r="C60" s="2" t="s">
        <v>1117</v>
      </c>
      <c r="D60" s="50" t="n">
        <f aca="false">00_Assumptions!$K$50</f>
        <v>1</v>
      </c>
      <c r="E60" s="50" t="n">
        <f aca="false">00_Assumptions!$K$50</f>
        <v>1</v>
      </c>
      <c r="F60" s="50" t="n">
        <f aca="false">00_Assumptions!$K$50</f>
        <v>1</v>
      </c>
      <c r="G60" s="50" t="n">
        <f aca="false">00_Assumptions!$K$50</f>
        <v>1</v>
      </c>
      <c r="H60" s="50" t="n">
        <f aca="false">00_Assumptions!$K$50-00_Assumptions!$F$43*(00_Assumptions!$K$50-00_Assumptions!$F$44)</f>
        <v>0.85</v>
      </c>
    </row>
    <row r="61" customFormat="false" ht="15" hidden="false" customHeight="false" outlineLevel="0" collapsed="false">
      <c r="A61" s="10" t="s">
        <v>1118</v>
      </c>
      <c r="B61" s="2" t="s">
        <v>62</v>
      </c>
      <c r="C61" s="2" t="s">
        <v>1119</v>
      </c>
      <c r="D61" s="29" t="n">
        <f aca="false">(D53+D54+D55)*00_Assumptions!$F$15</f>
        <v>0</v>
      </c>
      <c r="E61" s="29" t="n">
        <f aca="false">(E53+E54+E55)*00_Assumptions!$F$15</f>
        <v>5562</v>
      </c>
      <c r="F61" s="29" t="n">
        <f aca="false">(F53+F54+F55)*00_Assumptions!$F$15</f>
        <v>1854</v>
      </c>
      <c r="G61" s="29" t="n">
        <f aca="false">(G53+G54+G55)*00_Assumptions!$F$15</f>
        <v>3615.3</v>
      </c>
      <c r="H61" s="29" t="n">
        <f aca="false">(H53+H54+H55)*00_Assumptions!$F$15</f>
        <v>0</v>
      </c>
    </row>
    <row r="62" customFormat="false" ht="15" hidden="false" customHeight="false" outlineLevel="0" collapsed="false">
      <c r="A62" s="10" t="s">
        <v>1120</v>
      </c>
      <c r="B62" s="2" t="s">
        <v>62</v>
      </c>
      <c r="C62" s="2" t="s">
        <v>1121</v>
      </c>
      <c r="D62" s="29" t="n">
        <f aca="false">00_Assumptions!$L$50</f>
        <v>0</v>
      </c>
      <c r="E62" s="29" t="n">
        <f aca="false">(D61)/00_Assumptions!$F$17</f>
        <v>0</v>
      </c>
      <c r="F62" s="29" t="n">
        <f aca="false">(D61+E61)/00_Assumptions!$F$17</f>
        <v>1390.5</v>
      </c>
      <c r="G62" s="29" t="n">
        <f aca="false">(D61+E61+F61)/00_Assumptions!$F$17</f>
        <v>1854</v>
      </c>
      <c r="H62" s="29" t="n">
        <f aca="false">(D61+E61+F61+G61)/00_Assumptions!$F$17</f>
        <v>2757.825</v>
      </c>
    </row>
    <row r="63" customFormat="false" ht="15" hidden="false" customHeight="false" outlineLevel="0" collapsed="false">
      <c r="A63" s="3" t="s">
        <v>1122</v>
      </c>
      <c r="B63" s="2" t="s">
        <v>62</v>
      </c>
      <c r="C63" s="2" t="s">
        <v>293</v>
      </c>
      <c r="D63" s="51" t="n">
        <f aca="false">D61-D62</f>
        <v>0</v>
      </c>
      <c r="E63" s="51" t="n">
        <f aca="false">D63+E61-E62</f>
        <v>5562</v>
      </c>
      <c r="F63" s="51" t="n">
        <f aca="false">E63+F61-F62</f>
        <v>6025.5</v>
      </c>
      <c r="G63" s="51" t="n">
        <f aca="false">F63+G61-G62</f>
        <v>7786.8</v>
      </c>
      <c r="H63" s="51" t="n">
        <f aca="false">G63+H61-H62</f>
        <v>5028.975</v>
      </c>
    </row>
    <row r="64" customFormat="false" ht="15" hidden="false" customHeight="false" outlineLevel="0" collapsed="false">
      <c r="A64" s="10" t="s">
        <v>1123</v>
      </c>
      <c r="B64" s="2" t="s">
        <v>29</v>
      </c>
      <c r="C64" s="2" t="s">
        <v>1124</v>
      </c>
      <c r="D64" s="32" t="n">
        <f aca="false">00_Assumptions!$F$48</f>
        <v>0.09375</v>
      </c>
      <c r="E64" s="32" t="n">
        <f aca="false">00_Assumptions!$F$48</f>
        <v>0.09375</v>
      </c>
      <c r="F64" s="32" t="n">
        <f aca="false">00_Assumptions!$F$48</f>
        <v>0.09375</v>
      </c>
      <c r="G64" s="32" t="n">
        <f aca="false">00_Assumptions!$F$48</f>
        <v>0.09375</v>
      </c>
      <c r="H64" s="32" t="n">
        <f aca="false">00_Assumptions!$F$48</f>
        <v>0.09375</v>
      </c>
    </row>
    <row r="65" customFormat="false" ht="15" hidden="false" customHeight="false" outlineLevel="0" collapsed="false">
      <c r="A65" s="10" t="s">
        <v>1125</v>
      </c>
      <c r="B65" s="2" t="s">
        <v>62</v>
      </c>
      <c r="C65" s="2" t="s">
        <v>293</v>
      </c>
      <c r="D65" s="29" t="n">
        <f aca="false">00_Assumptions!$L$50</f>
        <v>0</v>
      </c>
      <c r="E65" s="52" t="n">
        <f aca="false">D63*E64</f>
        <v>0</v>
      </c>
      <c r="F65" s="52" t="n">
        <f aca="false">E63*F64</f>
        <v>521.4375</v>
      </c>
      <c r="G65" s="52" t="n">
        <f aca="false">F63*G64</f>
        <v>564.890625</v>
      </c>
      <c r="H65" s="52" t="n">
        <f aca="false">G63*H64</f>
        <v>730.0125</v>
      </c>
    </row>
    <row r="66" customFormat="false" ht="15" hidden="false" customHeight="false" outlineLevel="0" collapsed="false">
      <c r="A66" s="10" t="s">
        <v>1126</v>
      </c>
      <c r="B66" s="2" t="s">
        <v>45</v>
      </c>
      <c r="C66" s="2" t="s">
        <v>1127</v>
      </c>
      <c r="D66" s="25" t="n">
        <f aca="false">D50/00_Assumptions!$H$50*00_Assumptions!$F$20</f>
        <v>0</v>
      </c>
      <c r="E66" s="25" t="n">
        <f aca="false">E50/00_Assumptions!$H$50*00_Assumptions!$F$20</f>
        <v>504</v>
      </c>
      <c r="F66" s="25" t="n">
        <f aca="false">F50/00_Assumptions!$H$50*00_Assumptions!$F$20</f>
        <v>672</v>
      </c>
      <c r="G66" s="25" t="n">
        <f aca="false">G50/00_Assumptions!$H$50*00_Assumptions!$F$20</f>
        <v>999.6</v>
      </c>
      <c r="H66" s="25" t="n">
        <f aca="false">H50/00_Assumptions!$H$50*00_Assumptions!$F$20</f>
        <v>999.6</v>
      </c>
    </row>
    <row r="67" customFormat="false" ht="15" hidden="false" customHeight="false" outlineLevel="0" collapsed="false">
      <c r="A67" s="3" t="s">
        <v>1128</v>
      </c>
      <c r="B67" s="2" t="s">
        <v>62</v>
      </c>
      <c r="C67" s="2" t="s">
        <v>1129</v>
      </c>
      <c r="D67" s="8" t="n">
        <f aca="false">D58+D59*D60+03_Facility!D53+03_Facility!D52</f>
        <v>788.4</v>
      </c>
      <c r="E67" s="8" t="n">
        <f aca="false">E58+E59*E60+03_Facility!E53+03_Facility!E52</f>
        <v>3927.21452017778</v>
      </c>
      <c r="F67" s="8" t="n">
        <f aca="false">F58+F59*F60+03_Facility!F53+03_Facility!F52</f>
        <v>5236.2860269037</v>
      </c>
      <c r="G67" s="8" t="n">
        <f aca="false">G58+G59*G60+03_Facility!G53+03_Facility!G52</f>
        <v>7788.97546501926</v>
      </c>
      <c r="H67" s="8" t="n">
        <f aca="false">H58+H59*H60+03_Facility!H53+03_Facility!H52</f>
        <v>4601.47546501926</v>
      </c>
    </row>
    <row r="69" customFormat="false" ht="15" hidden="false" customHeight="false" outlineLevel="0" collapsed="false">
      <c r="A69" s="2" t="s">
        <v>1132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9" min="4" style="1" width="14"/>
    <col collapsed="false" customWidth="true" hidden="false" outlineLevel="0" max="10" min="10" style="1" width="40"/>
  </cols>
  <sheetData>
    <row r="1" customFormat="false" ht="15" hidden="false" customHeight="false" outlineLevel="0" collapsed="false">
      <c r="A1" s="2" t="s">
        <v>1133</v>
      </c>
    </row>
    <row r="3" customFormat="false" ht="15" hidden="false" customHeight="false" outlineLevel="0" collapsed="false">
      <c r="A3" s="34" t="s">
        <v>1134</v>
      </c>
      <c r="B3" s="35"/>
      <c r="C3" s="35"/>
      <c r="D3" s="35"/>
      <c r="E3" s="35"/>
      <c r="F3" s="35"/>
      <c r="G3" s="35"/>
      <c r="H3" s="35"/>
      <c r="I3" s="35"/>
      <c r="J3" s="35"/>
    </row>
    <row r="4" customFormat="false" ht="15" hidden="false" customHeight="false" outlineLevel="0" collapsed="false">
      <c r="A4" s="47" t="s">
        <v>1093</v>
      </c>
      <c r="B4" s="47" t="s">
        <v>12</v>
      </c>
      <c r="C4" s="47" t="s">
        <v>1094</v>
      </c>
      <c r="D4" s="48" t="str">
        <f aca="false">00_Assumptions!$D$3</f>
        <v>Y1</v>
      </c>
      <c r="E4" s="48" t="str">
        <f aca="false">00_Assumptions!$E$3</f>
        <v>Y2</v>
      </c>
      <c r="F4" s="48" t="str">
        <f aca="false">00_Assumptions!$F$3</f>
        <v>Y3</v>
      </c>
      <c r="G4" s="48" t="str">
        <f aca="false">00_Assumptions!$G$3</f>
        <v>Y4</v>
      </c>
      <c r="H4" s="48" t="str">
        <f aca="false">00_Assumptions!$H$3</f>
        <v>Y5</v>
      </c>
    </row>
    <row r="5" customFormat="false" ht="15" hidden="false" customHeight="false" outlineLevel="0" collapsed="false">
      <c r="A5" s="10" t="s">
        <v>1135</v>
      </c>
      <c r="B5" s="2" t="s">
        <v>45</v>
      </c>
      <c r="C5" s="2" t="s">
        <v>1136</v>
      </c>
      <c r="D5" s="25" t="n">
        <f aca="false">02_Compute!D22</f>
        <v>0</v>
      </c>
      <c r="E5" s="25" t="n">
        <f aca="false">02_Compute!E22</f>
        <v>0</v>
      </c>
      <c r="F5" s="25" t="n">
        <f aca="false">02_Compute!F22</f>
        <v>0</v>
      </c>
      <c r="G5" s="25" t="n">
        <f aca="false">02_Compute!G22</f>
        <v>0</v>
      </c>
      <c r="H5" s="25" t="n">
        <f aca="false">02_Compute!H22</f>
        <v>0</v>
      </c>
    </row>
    <row r="6" customFormat="false" ht="15" hidden="false" customHeight="false" outlineLevel="0" collapsed="false">
      <c r="A6" s="10" t="s">
        <v>1137</v>
      </c>
      <c r="B6" s="2" t="s">
        <v>330</v>
      </c>
      <c r="C6" s="2" t="s">
        <v>1138</v>
      </c>
      <c r="D6" s="25" t="n">
        <f aca="false">IF(SW_GF_REGION="Texas",01_Data!$D$47,IF(SW_GF_REGION="Virginia",01_Data!$D$53,IF(SW_GF_REGION="Ohio",01_Data!$D$54,01_Data!$D$56)))</f>
        <v>65.8</v>
      </c>
      <c r="E6" s="25" t="n">
        <f aca="false">IF(SW_GF_REGION="Texas",01_Data!$D$47,IF(SW_GF_REGION="Virginia",01_Data!$D$53,IF(SW_GF_REGION="Ohio",01_Data!$D$54,01_Data!$D$56)))</f>
        <v>65.8</v>
      </c>
      <c r="F6" s="25" t="n">
        <f aca="false">IF(SW_GF_REGION="Texas",01_Data!$D$47,IF(SW_GF_REGION="Virginia",01_Data!$D$53,IF(SW_GF_REGION="Ohio",01_Data!$D$54,01_Data!$D$56)))</f>
        <v>65.8</v>
      </c>
      <c r="G6" s="25" t="n">
        <f aca="false">IF(SW_GF_REGION="Texas",01_Data!$D$47,IF(SW_GF_REGION="Virginia",01_Data!$D$53,IF(SW_GF_REGION="Ohio",01_Data!$D$54,01_Data!$D$56)))</f>
        <v>65.8</v>
      </c>
      <c r="H6" s="25" t="n">
        <f aca="false">IF(SW_GF_REGION="Texas",01_Data!$D$47,IF(SW_GF_REGION="Virginia",01_Data!$D$53,IF(SW_GF_REGION="Ohio",01_Data!$D$54,01_Data!$D$56)))</f>
        <v>65.8</v>
      </c>
    </row>
    <row r="7" customFormat="false" ht="15" hidden="false" customHeight="false" outlineLevel="0" collapsed="false">
      <c r="A7" s="10" t="s">
        <v>47</v>
      </c>
      <c r="B7" s="2" t="s">
        <v>29</v>
      </c>
      <c r="C7" s="2" t="s">
        <v>1139</v>
      </c>
      <c r="D7" s="21" t="n">
        <f aca="false">00_Assumptions!$D$21</f>
        <v>0.7</v>
      </c>
      <c r="E7" s="21" t="n">
        <f aca="false">00_Assumptions!$D$21</f>
        <v>0.7</v>
      </c>
      <c r="F7" s="21" t="n">
        <f aca="false">00_Assumptions!$D$21</f>
        <v>0.7</v>
      </c>
      <c r="G7" s="21" t="n">
        <f aca="false">00_Assumptions!$D$21</f>
        <v>0.7</v>
      </c>
      <c r="H7" s="21" t="n">
        <f aca="false">00_Assumptions!$D$21</f>
        <v>0.7</v>
      </c>
    </row>
    <row r="8" customFormat="false" ht="15" hidden="false" customHeight="false" outlineLevel="0" collapsed="false">
      <c r="A8" s="3" t="s">
        <v>1140</v>
      </c>
      <c r="B8" s="2" t="s">
        <v>62</v>
      </c>
      <c r="C8" s="2" t="s">
        <v>1141</v>
      </c>
      <c r="D8" s="8" t="n">
        <f aca="false">D5*00_Assumptions!$D$50*D7*D6/00_Assumptions!$E$50</f>
        <v>0</v>
      </c>
      <c r="E8" s="8" t="n">
        <f aca="false">E5*00_Assumptions!$D$50*E7*E6/00_Assumptions!$E$50</f>
        <v>0</v>
      </c>
      <c r="F8" s="8" t="n">
        <f aca="false">F5*00_Assumptions!$D$50*F7*F6/00_Assumptions!$E$50</f>
        <v>0</v>
      </c>
      <c r="G8" s="8" t="n">
        <f aca="false">G5*00_Assumptions!$D$50*G7*G6/00_Assumptions!$E$50</f>
        <v>0</v>
      </c>
      <c r="H8" s="8" t="n">
        <f aca="false">H5*00_Assumptions!$D$50*H7*H6/00_Assumptions!$E$50</f>
        <v>0</v>
      </c>
    </row>
    <row r="9" customFormat="false" ht="15" hidden="false" customHeight="false" outlineLevel="0" collapsed="false">
      <c r="A9" s="3" t="s">
        <v>1142</v>
      </c>
      <c r="B9" s="2" t="s">
        <v>62</v>
      </c>
      <c r="C9" s="2" t="s">
        <v>1143</v>
      </c>
      <c r="D9" s="8" t="n">
        <f aca="false">MAX(0,D5-D12)*00_Assumptions!$D$22</f>
        <v>0</v>
      </c>
      <c r="E9" s="8" t="n">
        <f aca="false">MAX(0,E5-E12)*00_Assumptions!$D$22</f>
        <v>0</v>
      </c>
      <c r="F9" s="8" t="n">
        <f aca="false">MAX(0,F5-F12)*00_Assumptions!$D$22</f>
        <v>0</v>
      </c>
      <c r="G9" s="8" t="n">
        <f aca="false">MAX(0,G5-G12)*00_Assumptions!$D$22</f>
        <v>0</v>
      </c>
      <c r="H9" s="8" t="n">
        <f aca="false">MAX(0,H5-H12)*00_Assumptions!$D$22</f>
        <v>0</v>
      </c>
    </row>
    <row r="10" customFormat="false" ht="15" hidden="false" customHeight="false" outlineLevel="0" collapsed="false">
      <c r="A10" s="3" t="s">
        <v>1144</v>
      </c>
      <c r="B10" s="2" t="s">
        <v>62</v>
      </c>
      <c r="C10" s="2" t="s">
        <v>1145</v>
      </c>
      <c r="D10" s="8" t="n">
        <f aca="false">00_Assumptions!$D$24*00_Assumptions!$D$23*D11</f>
        <v>0</v>
      </c>
      <c r="E10" s="8" t="n">
        <f aca="false">00_Assumptions!$D$24*00_Assumptions!$D$23*E11</f>
        <v>0</v>
      </c>
      <c r="F10" s="8" t="n">
        <f aca="false">00_Assumptions!$D$24*00_Assumptions!$D$23*F11</f>
        <v>0</v>
      </c>
      <c r="G10" s="8" t="n">
        <f aca="false">00_Assumptions!$D$24*00_Assumptions!$D$23*G11</f>
        <v>0</v>
      </c>
      <c r="H10" s="8" t="n">
        <f aca="false">00_Assumptions!$D$24*00_Assumptions!$D$23*H11</f>
        <v>0</v>
      </c>
    </row>
    <row r="11" customFormat="false" ht="15" hidden="false" customHeight="false" outlineLevel="0" collapsed="false">
      <c r="A11" s="10" t="s">
        <v>1146</v>
      </c>
      <c r="B11" s="2" t="s">
        <v>29</v>
      </c>
      <c r="C11" s="2" t="s">
        <v>1147</v>
      </c>
      <c r="D11" s="21" t="n">
        <f aca="false">00_Assumptions!$D$100</f>
        <v>0</v>
      </c>
      <c r="E11" s="21" t="n">
        <f aca="false">00_Assumptions!$E$100</f>
        <v>0</v>
      </c>
      <c r="F11" s="21" t="n">
        <f aca="false">00_Assumptions!$F$100</f>
        <v>0</v>
      </c>
      <c r="G11" s="21" t="n">
        <f aca="false">00_Assumptions!$G$100</f>
        <v>0</v>
      </c>
      <c r="H11" s="21" t="n">
        <f aca="false">00_Assumptions!$H$100</f>
        <v>0</v>
      </c>
    </row>
    <row r="12" customFormat="false" ht="15" hidden="false" customHeight="false" outlineLevel="0" collapsed="false">
      <c r="A12" s="10" t="s">
        <v>1148</v>
      </c>
      <c r="B12" s="2" t="s">
        <v>45</v>
      </c>
      <c r="C12" s="2" t="s">
        <v>293</v>
      </c>
      <c r="D12" s="14" t="n">
        <f aca="false">00_Assumptions!$D$24*SUM($D11:D11)</f>
        <v>0</v>
      </c>
      <c r="E12" s="14" t="n">
        <f aca="false">00_Assumptions!$D$24*SUM($D11:E11)</f>
        <v>0</v>
      </c>
      <c r="F12" s="14" t="n">
        <f aca="false">00_Assumptions!$D$24*SUM($D11:F11)</f>
        <v>0</v>
      </c>
      <c r="G12" s="14" t="n">
        <f aca="false">00_Assumptions!$D$24*SUM($D11:G11)</f>
        <v>0</v>
      </c>
      <c r="H12" s="14" t="n">
        <f aca="false">00_Assumptions!$D$24*SUM($D11:H11)</f>
        <v>0</v>
      </c>
    </row>
    <row r="13" customFormat="false" ht="15" hidden="false" customHeight="false" outlineLevel="0" collapsed="false">
      <c r="A13" s="10" t="s">
        <v>1149</v>
      </c>
      <c r="B13" s="2" t="s">
        <v>73</v>
      </c>
      <c r="C13" s="2" t="s">
        <v>1150</v>
      </c>
      <c r="D13" s="29" t="n">
        <f aca="false">D5*AVERAGE(01_Data!$D$85,01_Data!$D$84)</f>
        <v>0</v>
      </c>
      <c r="E13" s="29" t="n">
        <f aca="false">E5*AVERAGE(01_Data!$D$85,01_Data!$D$84)</f>
        <v>0</v>
      </c>
      <c r="F13" s="29" t="n">
        <f aca="false">F5*AVERAGE(01_Data!$D$85,01_Data!$D$84)</f>
        <v>0</v>
      </c>
      <c r="G13" s="29" t="n">
        <f aca="false">G5*AVERAGE(01_Data!$D$85,01_Data!$D$84)</f>
        <v>0</v>
      </c>
      <c r="H13" s="29" t="n">
        <f aca="false">H5*AVERAGE(01_Data!$D$85,01_Data!$D$84)</f>
        <v>0</v>
      </c>
    </row>
    <row r="14" customFormat="false" ht="15" hidden="false" customHeight="false" outlineLevel="0" collapsed="false">
      <c r="A14" s="10" t="s">
        <v>1151</v>
      </c>
      <c r="B14" s="2" t="s">
        <v>73</v>
      </c>
      <c r="C14" s="2" t="s">
        <v>1152</v>
      </c>
      <c r="D14" s="29" t="n">
        <f aca="false">D5*00_Assumptions!$D$22</f>
        <v>0</v>
      </c>
      <c r="E14" s="29" t="n">
        <f aca="false">E5*00_Assumptions!$D$22</f>
        <v>0</v>
      </c>
      <c r="F14" s="29" t="n">
        <f aca="false">F5*00_Assumptions!$D$22</f>
        <v>0</v>
      </c>
      <c r="G14" s="29" t="n">
        <f aca="false">G5*00_Assumptions!$D$22</f>
        <v>0</v>
      </c>
      <c r="H14" s="29" t="n">
        <f aca="false">H5*00_Assumptions!$D$22</f>
        <v>0</v>
      </c>
    </row>
    <row r="25" customFormat="false" ht="15" hidden="false" customHeight="false" outlineLevel="0" collapsed="false">
      <c r="A25" s="34" t="s">
        <v>1153</v>
      </c>
      <c r="B25" s="35"/>
      <c r="C25" s="35"/>
      <c r="D25" s="35"/>
      <c r="E25" s="35"/>
      <c r="F25" s="35"/>
      <c r="G25" s="35"/>
      <c r="H25" s="35"/>
      <c r="I25" s="35"/>
      <c r="J25" s="35"/>
    </row>
    <row r="26" customFormat="false" ht="15" hidden="false" customHeight="false" outlineLevel="0" collapsed="false">
      <c r="A26" s="47" t="s">
        <v>1093</v>
      </c>
      <c r="B26" s="47" t="s">
        <v>12</v>
      </c>
      <c r="C26" s="47" t="s">
        <v>1094</v>
      </c>
      <c r="D26" s="48" t="str">
        <f aca="false">00_Assumptions!$D$3</f>
        <v>Y1</v>
      </c>
      <c r="E26" s="48" t="str">
        <f aca="false">00_Assumptions!$E$3</f>
        <v>Y2</v>
      </c>
      <c r="F26" s="48" t="str">
        <f aca="false">00_Assumptions!$F$3</f>
        <v>Y3</v>
      </c>
      <c r="G26" s="48" t="str">
        <f aca="false">00_Assumptions!$G$3</f>
        <v>Y4</v>
      </c>
      <c r="H26" s="48" t="str">
        <f aca="false">00_Assumptions!$H$3</f>
        <v>Y5</v>
      </c>
    </row>
    <row r="27" customFormat="false" ht="15" hidden="false" customHeight="false" outlineLevel="0" collapsed="false">
      <c r="A27" s="10" t="s">
        <v>1135</v>
      </c>
      <c r="B27" s="2" t="s">
        <v>45</v>
      </c>
      <c r="C27" s="2" t="s">
        <v>1136</v>
      </c>
      <c r="D27" s="25" t="n">
        <f aca="false">02_Compute!D44</f>
        <v>0</v>
      </c>
      <c r="E27" s="25" t="n">
        <f aca="false">02_Compute!E44</f>
        <v>183.75</v>
      </c>
      <c r="F27" s="25" t="n">
        <f aca="false">02_Compute!F44</f>
        <v>262.5</v>
      </c>
      <c r="G27" s="25" t="n">
        <f aca="false">02_Compute!G44</f>
        <v>341.25</v>
      </c>
      <c r="H27" s="25" t="n">
        <f aca="false">02_Compute!H44</f>
        <v>420</v>
      </c>
    </row>
    <row r="28" customFormat="false" ht="15" hidden="false" customHeight="false" outlineLevel="0" collapsed="false">
      <c r="A28" s="10" t="s">
        <v>1137</v>
      </c>
      <c r="B28" s="2" t="s">
        <v>330</v>
      </c>
      <c r="C28" s="2" t="s">
        <v>1138</v>
      </c>
      <c r="D28" s="25" t="n">
        <f aca="false">IF(SW_GF_REGION="Texas",01_Data!$D$47,IF(SW_GF_REGION="Virginia",01_Data!$D$53,IF(SW_GF_REGION="Ohio",01_Data!$D$54,01_Data!$D$56)))</f>
        <v>65.8</v>
      </c>
      <c r="E28" s="25" t="n">
        <f aca="false">IF(SW_GF_REGION="Texas",01_Data!$D$47,IF(SW_GF_REGION="Virginia",01_Data!$D$53,IF(SW_GF_REGION="Ohio",01_Data!$D$54,01_Data!$D$56)))</f>
        <v>65.8</v>
      </c>
      <c r="F28" s="25" t="n">
        <f aca="false">IF(SW_GF_REGION="Texas",01_Data!$D$47,IF(SW_GF_REGION="Virginia",01_Data!$D$53,IF(SW_GF_REGION="Ohio",01_Data!$D$54,01_Data!$D$56)))</f>
        <v>65.8</v>
      </c>
      <c r="G28" s="25" t="n">
        <f aca="false">IF(SW_GF_REGION="Texas",01_Data!$D$47,IF(SW_GF_REGION="Virginia",01_Data!$D$53,IF(SW_GF_REGION="Ohio",01_Data!$D$54,01_Data!$D$56)))</f>
        <v>65.8</v>
      </c>
      <c r="H28" s="25" t="n">
        <f aca="false">IF(SW_GF_REGION="Texas",01_Data!$D$47,IF(SW_GF_REGION="Virginia",01_Data!$D$53,IF(SW_GF_REGION="Ohio",01_Data!$D$54,01_Data!$D$56)))</f>
        <v>65.8</v>
      </c>
    </row>
    <row r="29" customFormat="false" ht="15" hidden="false" customHeight="false" outlineLevel="0" collapsed="false">
      <c r="A29" s="10" t="s">
        <v>47</v>
      </c>
      <c r="B29" s="2" t="s">
        <v>29</v>
      </c>
      <c r="C29" s="2" t="s">
        <v>1139</v>
      </c>
      <c r="D29" s="21" t="n">
        <f aca="false">00_Assumptions!$E$21</f>
        <v>0.7</v>
      </c>
      <c r="E29" s="21" t="n">
        <f aca="false">00_Assumptions!$E$21</f>
        <v>0.7</v>
      </c>
      <c r="F29" s="21" t="n">
        <f aca="false">00_Assumptions!$E$21</f>
        <v>0.7</v>
      </c>
      <c r="G29" s="21" t="n">
        <f aca="false">00_Assumptions!$E$21</f>
        <v>0.7</v>
      </c>
      <c r="H29" s="21" t="n">
        <f aca="false">00_Assumptions!$E$21</f>
        <v>0.7</v>
      </c>
    </row>
    <row r="30" customFormat="false" ht="15" hidden="false" customHeight="false" outlineLevel="0" collapsed="false">
      <c r="A30" s="3" t="s">
        <v>1140</v>
      </c>
      <c r="B30" s="2" t="s">
        <v>62</v>
      </c>
      <c r="C30" s="2" t="s">
        <v>1141</v>
      </c>
      <c r="D30" s="8" t="n">
        <f aca="false">D27*00_Assumptions!$D$50*D29*D28/00_Assumptions!$E$50</f>
        <v>0</v>
      </c>
      <c r="E30" s="8" t="n">
        <f aca="false">E27*00_Assumptions!$D$50*E29*E28/00_Assumptions!$E$50</f>
        <v>74.140479</v>
      </c>
      <c r="F30" s="8" t="n">
        <f aca="false">F27*00_Assumptions!$D$50*F29*F28/00_Assumptions!$E$50</f>
        <v>105.91497</v>
      </c>
      <c r="G30" s="8" t="n">
        <f aca="false">G27*00_Assumptions!$D$50*G29*G28/00_Assumptions!$E$50</f>
        <v>137.689461</v>
      </c>
      <c r="H30" s="8" t="n">
        <f aca="false">H27*00_Assumptions!$D$50*H29*H28/00_Assumptions!$E$50</f>
        <v>169.463952</v>
      </c>
    </row>
    <row r="31" customFormat="false" ht="15" hidden="false" customHeight="false" outlineLevel="0" collapsed="false">
      <c r="A31" s="3" t="s">
        <v>1142</v>
      </c>
      <c r="B31" s="2" t="s">
        <v>62</v>
      </c>
      <c r="C31" s="2" t="s">
        <v>1143</v>
      </c>
      <c r="D31" s="8" t="n">
        <f aca="false">MAX(0,D27-D34)*00_Assumptions!$E$22</f>
        <v>0</v>
      </c>
      <c r="E31" s="8" t="n">
        <f aca="false">MAX(0,E27-E34)*00_Assumptions!$E$22</f>
        <v>341.051136363636</v>
      </c>
      <c r="F31" s="8" t="n">
        <f aca="false">MAX(0,F27-F34)*00_Assumptions!$E$22</f>
        <v>487.215909090909</v>
      </c>
      <c r="G31" s="8" t="n">
        <f aca="false">MAX(0,G27-G34)*00_Assumptions!$E$22</f>
        <v>633.380681818182</v>
      </c>
      <c r="H31" s="8" t="n">
        <f aca="false">MAX(0,H27-H34)*00_Assumptions!$E$22</f>
        <v>779.545454545455</v>
      </c>
    </row>
    <row r="32" customFormat="false" ht="15" hidden="false" customHeight="false" outlineLevel="0" collapsed="false">
      <c r="A32" s="3" t="s">
        <v>1144</v>
      </c>
      <c r="B32" s="2" t="s">
        <v>62</v>
      </c>
      <c r="C32" s="2" t="s">
        <v>1145</v>
      </c>
      <c r="D32" s="8" t="n">
        <f aca="false">00_Assumptions!$E$24*00_Assumptions!$E$23*D33</f>
        <v>0</v>
      </c>
      <c r="E32" s="8" t="n">
        <f aca="false">00_Assumptions!$E$24*00_Assumptions!$E$23*E33</f>
        <v>0</v>
      </c>
      <c r="F32" s="8" t="n">
        <f aca="false">00_Assumptions!$E$24*00_Assumptions!$E$23*F33</f>
        <v>0</v>
      </c>
      <c r="G32" s="8" t="n">
        <f aca="false">00_Assumptions!$E$24*00_Assumptions!$E$23*G33</f>
        <v>0</v>
      </c>
      <c r="H32" s="8" t="n">
        <f aca="false">00_Assumptions!$E$24*00_Assumptions!$E$23*H33</f>
        <v>0</v>
      </c>
    </row>
    <row r="33" customFormat="false" ht="15" hidden="false" customHeight="false" outlineLevel="0" collapsed="false">
      <c r="A33" s="10" t="s">
        <v>1146</v>
      </c>
      <c r="B33" s="2" t="s">
        <v>29</v>
      </c>
      <c r="C33" s="2" t="s">
        <v>1147</v>
      </c>
      <c r="D33" s="21" t="n">
        <f aca="false">00_Assumptions!$D$101</f>
        <v>0</v>
      </c>
      <c r="E33" s="21" t="n">
        <f aca="false">00_Assumptions!$E$101</f>
        <v>0</v>
      </c>
      <c r="F33" s="21" t="n">
        <f aca="false">00_Assumptions!$F$101</f>
        <v>0</v>
      </c>
      <c r="G33" s="21" t="n">
        <f aca="false">00_Assumptions!$G$101</f>
        <v>0</v>
      </c>
      <c r="H33" s="21" t="n">
        <f aca="false">00_Assumptions!$H$101</f>
        <v>0</v>
      </c>
    </row>
    <row r="34" customFormat="false" ht="15" hidden="false" customHeight="false" outlineLevel="0" collapsed="false">
      <c r="A34" s="10" t="s">
        <v>1148</v>
      </c>
      <c r="B34" s="2" t="s">
        <v>45</v>
      </c>
      <c r="C34" s="2" t="s">
        <v>293</v>
      </c>
      <c r="D34" s="14" t="n">
        <f aca="false">00_Assumptions!$E$24*SUM($D33:D33)</f>
        <v>0</v>
      </c>
      <c r="E34" s="14" t="n">
        <f aca="false">00_Assumptions!$E$24*SUM($D33:E33)</f>
        <v>0</v>
      </c>
      <c r="F34" s="14" t="n">
        <f aca="false">00_Assumptions!$E$24*SUM($D33:F33)</f>
        <v>0</v>
      </c>
      <c r="G34" s="14" t="n">
        <f aca="false">00_Assumptions!$E$24*SUM($D33:G33)</f>
        <v>0</v>
      </c>
      <c r="H34" s="14" t="n">
        <f aca="false">00_Assumptions!$E$24*SUM($D33:H33)</f>
        <v>0</v>
      </c>
    </row>
    <row r="35" customFormat="false" ht="15" hidden="false" customHeight="false" outlineLevel="0" collapsed="false">
      <c r="A35" s="10" t="s">
        <v>1149</v>
      </c>
      <c r="B35" s="2" t="s">
        <v>73</v>
      </c>
      <c r="C35" s="2" t="s">
        <v>1150</v>
      </c>
      <c r="D35" s="29" t="n">
        <f aca="false">D27*AVERAGE(01_Data!$D$85,01_Data!$D$84)</f>
        <v>0</v>
      </c>
      <c r="E35" s="29" t="n">
        <f aca="false">E27*AVERAGE(01_Data!$D$85,01_Data!$D$84)</f>
        <v>2649.27774599542</v>
      </c>
      <c r="F35" s="29" t="n">
        <f aca="false">F27*AVERAGE(01_Data!$D$85,01_Data!$D$84)</f>
        <v>3784.68249427918</v>
      </c>
      <c r="G35" s="29" t="n">
        <f aca="false">G27*AVERAGE(01_Data!$D$85,01_Data!$D$84)</f>
        <v>4920.08724256293</v>
      </c>
      <c r="H35" s="29" t="n">
        <f aca="false">H27*AVERAGE(01_Data!$D$85,01_Data!$D$84)</f>
        <v>6055.49199084668</v>
      </c>
    </row>
    <row r="36" customFormat="false" ht="15" hidden="false" customHeight="false" outlineLevel="0" collapsed="false">
      <c r="A36" s="10" t="s">
        <v>1151</v>
      </c>
      <c r="B36" s="2" t="s">
        <v>73</v>
      </c>
      <c r="C36" s="2" t="s">
        <v>1152</v>
      </c>
      <c r="D36" s="29" t="n">
        <f aca="false">D27*00_Assumptions!$E$22</f>
        <v>0</v>
      </c>
      <c r="E36" s="29" t="n">
        <f aca="false">E27*00_Assumptions!$E$22</f>
        <v>341.051136363636</v>
      </c>
      <c r="F36" s="29" t="n">
        <f aca="false">F27*00_Assumptions!$E$22</f>
        <v>487.215909090909</v>
      </c>
      <c r="G36" s="29" t="n">
        <f aca="false">G27*00_Assumptions!$E$22</f>
        <v>633.380681818182</v>
      </c>
      <c r="H36" s="29" t="n">
        <f aca="false">H27*00_Assumptions!$E$22</f>
        <v>779.545454545455</v>
      </c>
    </row>
    <row r="47" customFormat="false" ht="15" hidden="false" customHeight="false" outlineLevel="0" collapsed="false">
      <c r="A47" s="34" t="s">
        <v>1154</v>
      </c>
      <c r="B47" s="35"/>
      <c r="C47" s="35"/>
      <c r="D47" s="35"/>
      <c r="E47" s="35"/>
      <c r="F47" s="35"/>
      <c r="G47" s="35"/>
      <c r="H47" s="35"/>
      <c r="I47" s="35"/>
      <c r="J47" s="35"/>
    </row>
    <row r="48" customFormat="false" ht="15" hidden="false" customHeight="false" outlineLevel="0" collapsed="false">
      <c r="A48" s="47" t="s">
        <v>1093</v>
      </c>
      <c r="B48" s="47" t="s">
        <v>12</v>
      </c>
      <c r="C48" s="47" t="s">
        <v>1094</v>
      </c>
      <c r="D48" s="48" t="str">
        <f aca="false">00_Assumptions!$D$3</f>
        <v>Y1</v>
      </c>
      <c r="E48" s="48" t="str">
        <f aca="false">00_Assumptions!$E$3</f>
        <v>Y2</v>
      </c>
      <c r="F48" s="48" t="str">
        <f aca="false">00_Assumptions!$F$3</f>
        <v>Y3</v>
      </c>
      <c r="G48" s="48" t="str">
        <f aca="false">00_Assumptions!$G$3</f>
        <v>Y4</v>
      </c>
      <c r="H48" s="48" t="str">
        <f aca="false">00_Assumptions!$H$3</f>
        <v>Y5</v>
      </c>
    </row>
    <row r="49" customFormat="false" ht="15" hidden="false" customHeight="false" outlineLevel="0" collapsed="false">
      <c r="A49" s="10" t="s">
        <v>1135</v>
      </c>
      <c r="B49" s="2" t="s">
        <v>45</v>
      </c>
      <c r="C49" s="2" t="s">
        <v>1136</v>
      </c>
      <c r="D49" s="25" t="n">
        <f aca="false">02_Compute!D66</f>
        <v>0</v>
      </c>
      <c r="E49" s="25" t="n">
        <f aca="false">02_Compute!E66</f>
        <v>504</v>
      </c>
      <c r="F49" s="25" t="n">
        <f aca="false">02_Compute!F66</f>
        <v>672</v>
      </c>
      <c r="G49" s="25" t="n">
        <f aca="false">02_Compute!G66</f>
        <v>999.6</v>
      </c>
      <c r="H49" s="25" t="n">
        <f aca="false">02_Compute!H66</f>
        <v>999.6</v>
      </c>
    </row>
    <row r="50" customFormat="false" ht="15" hidden="false" customHeight="false" outlineLevel="0" collapsed="false">
      <c r="A50" s="10" t="s">
        <v>1137</v>
      </c>
      <c r="B50" s="2" t="s">
        <v>330</v>
      </c>
      <c r="C50" s="2" t="s">
        <v>1138</v>
      </c>
      <c r="D50" s="25" t="n">
        <f aca="false">IF(SW_GF_REGION="Texas",01_Data!$D$47,IF(SW_GF_REGION="Virginia",01_Data!$D$53,IF(SW_GF_REGION="Ohio",01_Data!$D$54,01_Data!$D$56)))</f>
        <v>65.8</v>
      </c>
      <c r="E50" s="25" t="n">
        <f aca="false">IF(SW_GF_REGION="Texas",01_Data!$D$47,IF(SW_GF_REGION="Virginia",01_Data!$D$53,IF(SW_GF_REGION="Ohio",01_Data!$D$54,01_Data!$D$56)))</f>
        <v>65.8</v>
      </c>
      <c r="F50" s="25" t="n">
        <f aca="false">IF(SW_GF_REGION="Texas",01_Data!$D$47,IF(SW_GF_REGION="Virginia",01_Data!$D$53,IF(SW_GF_REGION="Ohio",01_Data!$D$54,01_Data!$D$56)))</f>
        <v>65.8</v>
      </c>
      <c r="G50" s="25" t="n">
        <f aca="false">IF(SW_GF_REGION="Texas",01_Data!$D$47,IF(SW_GF_REGION="Virginia",01_Data!$D$53,IF(SW_GF_REGION="Ohio",01_Data!$D$54,01_Data!$D$56)))</f>
        <v>65.8</v>
      </c>
      <c r="H50" s="25" t="n">
        <f aca="false">IF(SW_GF_REGION="Texas",01_Data!$D$47,IF(SW_GF_REGION="Virginia",01_Data!$D$53,IF(SW_GF_REGION="Ohio",01_Data!$D$54,01_Data!$D$56)))</f>
        <v>65.8</v>
      </c>
    </row>
    <row r="51" customFormat="false" ht="15" hidden="false" customHeight="false" outlineLevel="0" collapsed="false">
      <c r="A51" s="10" t="s">
        <v>47</v>
      </c>
      <c r="B51" s="2" t="s">
        <v>29</v>
      </c>
      <c r="C51" s="2" t="s">
        <v>1139</v>
      </c>
      <c r="D51" s="21" t="n">
        <f aca="false">00_Assumptions!$F$21</f>
        <v>0.7</v>
      </c>
      <c r="E51" s="21" t="n">
        <f aca="false">00_Assumptions!$F$21</f>
        <v>0.7</v>
      </c>
      <c r="F51" s="21" t="n">
        <f aca="false">00_Assumptions!$F$21</f>
        <v>0.7</v>
      </c>
      <c r="G51" s="21" t="n">
        <f aca="false">00_Assumptions!$F$21</f>
        <v>0.7</v>
      </c>
      <c r="H51" s="21" t="n">
        <f aca="false">00_Assumptions!$F$21</f>
        <v>0.7</v>
      </c>
    </row>
    <row r="52" customFormat="false" ht="15" hidden="false" customHeight="false" outlineLevel="0" collapsed="false">
      <c r="A52" s="3" t="s">
        <v>1140</v>
      </c>
      <c r="B52" s="2" t="s">
        <v>62</v>
      </c>
      <c r="C52" s="2" t="s">
        <v>1141</v>
      </c>
      <c r="D52" s="8" t="n">
        <f aca="false">D49*00_Assumptions!$D$50*D51*D50/00_Assumptions!$E$50</f>
        <v>0</v>
      </c>
      <c r="E52" s="8" t="n">
        <f aca="false">E49*00_Assumptions!$D$50*E51*E50/00_Assumptions!$E$50</f>
        <v>203.3567424</v>
      </c>
      <c r="F52" s="8" t="n">
        <f aca="false">F49*00_Assumptions!$D$50*F51*F50/00_Assumptions!$E$50</f>
        <v>271.1423232</v>
      </c>
      <c r="G52" s="8" t="n">
        <f aca="false">G49*00_Assumptions!$D$50*G51*G50/00_Assumptions!$E$50</f>
        <v>403.32420576</v>
      </c>
      <c r="H52" s="8" t="n">
        <f aca="false">H49*00_Assumptions!$D$50*H51*H50/00_Assumptions!$E$50</f>
        <v>403.32420576</v>
      </c>
    </row>
    <row r="53" customFormat="false" ht="15" hidden="false" customHeight="false" outlineLevel="0" collapsed="false">
      <c r="A53" s="3" t="s">
        <v>1142</v>
      </c>
      <c r="B53" s="2" t="s">
        <v>62</v>
      </c>
      <c r="C53" s="2" t="s">
        <v>1143</v>
      </c>
      <c r="D53" s="8" t="n">
        <f aca="false">MAX(0,D49-D56)*00_Assumptions!$F$22</f>
        <v>0</v>
      </c>
      <c r="E53" s="8" t="n">
        <f aca="false">MAX(0,E49-E56)*00_Assumptions!$F$22</f>
        <v>0</v>
      </c>
      <c r="F53" s="8" t="n">
        <f aca="false">MAX(0,F49-F56)*00_Assumptions!$F$22</f>
        <v>0</v>
      </c>
      <c r="G53" s="8" t="n">
        <f aca="false">MAX(0,G49-G56)*00_Assumptions!$F$22</f>
        <v>0</v>
      </c>
      <c r="H53" s="8" t="n">
        <f aca="false">MAX(0,H49-H56)*00_Assumptions!$F$22</f>
        <v>0</v>
      </c>
    </row>
    <row r="54" customFormat="false" ht="15" hidden="false" customHeight="false" outlineLevel="0" collapsed="false">
      <c r="A54" s="3" t="s">
        <v>1144</v>
      </c>
      <c r="B54" s="2" t="s">
        <v>62</v>
      </c>
      <c r="C54" s="2" t="s">
        <v>1145</v>
      </c>
      <c r="D54" s="8" t="n">
        <f aca="false">00_Assumptions!$F$24*00_Assumptions!$F$23*D55</f>
        <v>1760</v>
      </c>
      <c r="E54" s="8" t="n">
        <f aca="false">00_Assumptions!$F$24*00_Assumptions!$F$23*E55</f>
        <v>8800</v>
      </c>
      <c r="F54" s="8" t="n">
        <f aca="false">00_Assumptions!$F$24*00_Assumptions!$F$23*F55</f>
        <v>4400</v>
      </c>
      <c r="G54" s="8" t="n">
        <f aca="false">00_Assumptions!$F$24*00_Assumptions!$F$23*G55</f>
        <v>2640</v>
      </c>
      <c r="H54" s="8" t="n">
        <f aca="false">00_Assumptions!$F$24*00_Assumptions!$F$23*H55</f>
        <v>0</v>
      </c>
    </row>
    <row r="55" customFormat="false" ht="15" hidden="false" customHeight="false" outlineLevel="0" collapsed="false">
      <c r="A55" s="10" t="s">
        <v>1146</v>
      </c>
      <c r="B55" s="2" t="s">
        <v>29</v>
      </c>
      <c r="C55" s="2" t="s">
        <v>1147</v>
      </c>
      <c r="D55" s="21" t="n">
        <f aca="false">00_Assumptions!$D$102</f>
        <v>0.1</v>
      </c>
      <c r="E55" s="21" t="n">
        <f aca="false">00_Assumptions!$E$102</f>
        <v>0.5</v>
      </c>
      <c r="F55" s="21" t="n">
        <f aca="false">00_Assumptions!$F$102</f>
        <v>0.25</v>
      </c>
      <c r="G55" s="21" t="n">
        <f aca="false">00_Assumptions!$G$102</f>
        <v>0.15</v>
      </c>
      <c r="H55" s="21" t="n">
        <f aca="false">00_Assumptions!$H$102</f>
        <v>0</v>
      </c>
    </row>
    <row r="56" customFormat="false" ht="15" hidden="false" customHeight="false" outlineLevel="0" collapsed="false">
      <c r="A56" s="10" t="s">
        <v>1148</v>
      </c>
      <c r="B56" s="2" t="s">
        <v>45</v>
      </c>
      <c r="C56" s="2" t="s">
        <v>293</v>
      </c>
      <c r="D56" s="14" t="n">
        <f aca="false">00_Assumptions!$F$24*SUM($D55:D55)</f>
        <v>100</v>
      </c>
      <c r="E56" s="14" t="n">
        <f aca="false">00_Assumptions!$F$24*SUM($D55:E55)</f>
        <v>600</v>
      </c>
      <c r="F56" s="14" t="n">
        <f aca="false">00_Assumptions!$F$24*SUM($D55:F55)</f>
        <v>850</v>
      </c>
      <c r="G56" s="14" t="n">
        <f aca="false">00_Assumptions!$F$24*SUM($D55:G55)</f>
        <v>1000</v>
      </c>
      <c r="H56" s="14" t="n">
        <f aca="false">00_Assumptions!$F$24*SUM($D55:H55)</f>
        <v>1000</v>
      </c>
    </row>
    <row r="57" customFormat="false" ht="15" hidden="false" customHeight="false" outlineLevel="0" collapsed="false">
      <c r="A57" s="10" t="s">
        <v>1149</v>
      </c>
      <c r="B57" s="2" t="s">
        <v>73</v>
      </c>
      <c r="C57" s="2" t="s">
        <v>1150</v>
      </c>
      <c r="D57" s="29" t="n">
        <f aca="false">D49*AVERAGE(01_Data!$D$85,01_Data!$D$84)</f>
        <v>0</v>
      </c>
      <c r="E57" s="29" t="n">
        <f aca="false">E49*AVERAGE(01_Data!$D$85,01_Data!$D$84)</f>
        <v>7266.59038901602</v>
      </c>
      <c r="F57" s="29" t="n">
        <f aca="false">F49*AVERAGE(01_Data!$D$85,01_Data!$D$84)</f>
        <v>9688.78718535469</v>
      </c>
      <c r="G57" s="29" t="n">
        <f aca="false">G49*AVERAGE(01_Data!$D$85,01_Data!$D$84)</f>
        <v>14412.0709382151</v>
      </c>
      <c r="H57" s="29" t="n">
        <f aca="false">H49*AVERAGE(01_Data!$D$85,01_Data!$D$84)</f>
        <v>14412.0709382151</v>
      </c>
    </row>
    <row r="58" customFormat="false" ht="15" hidden="false" customHeight="false" outlineLevel="0" collapsed="false">
      <c r="A58" s="10" t="s">
        <v>1151</v>
      </c>
      <c r="B58" s="2" t="s">
        <v>73</v>
      </c>
      <c r="C58" s="2" t="s">
        <v>1152</v>
      </c>
      <c r="D58" s="29" t="n">
        <f aca="false">D49*00_Assumptions!$F$22</f>
        <v>0</v>
      </c>
      <c r="E58" s="29" t="n">
        <f aca="false">E49*00_Assumptions!$F$22</f>
        <v>935.454545454545</v>
      </c>
      <c r="F58" s="29" t="n">
        <f aca="false">F49*00_Assumptions!$F$22</f>
        <v>1247.27272727273</v>
      </c>
      <c r="G58" s="29" t="n">
        <f aca="false">G49*00_Assumptions!$F$22</f>
        <v>1855.31818181818</v>
      </c>
      <c r="H58" s="29" t="n">
        <f aca="false">H49*00_Assumptions!$F$22</f>
        <v>1855.31818181818</v>
      </c>
    </row>
    <row r="69" customFormat="false" ht="15" hidden="false" customHeight="false" outlineLevel="0" collapsed="false">
      <c r="A69" s="2" t="s">
        <v>1155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9" min="4" style="1" width="14"/>
    <col collapsed="false" customWidth="true" hidden="false" outlineLevel="0" max="10" min="10" style="1" width="40"/>
  </cols>
  <sheetData>
    <row r="1" customFormat="false" ht="15" hidden="false" customHeight="false" outlineLevel="0" collapsed="false">
      <c r="A1" s="2" t="s">
        <v>1156</v>
      </c>
    </row>
    <row r="3" customFormat="false" ht="15" hidden="false" customHeight="false" outlineLevel="0" collapsed="false">
      <c r="A3" s="34" t="s">
        <v>1157</v>
      </c>
      <c r="B3" s="35"/>
      <c r="C3" s="35"/>
      <c r="D3" s="35"/>
      <c r="E3" s="35"/>
      <c r="F3" s="35"/>
      <c r="G3" s="35"/>
      <c r="H3" s="35"/>
      <c r="I3" s="35"/>
      <c r="J3" s="35"/>
    </row>
    <row r="4" customFormat="false" ht="15" hidden="false" customHeight="false" outlineLevel="0" collapsed="false">
      <c r="A4" s="47" t="s">
        <v>1093</v>
      </c>
      <c r="B4" s="47" t="s">
        <v>12</v>
      </c>
      <c r="C4" s="47" t="s">
        <v>1094</v>
      </c>
      <c r="D4" s="48" t="str">
        <f aca="false">00_Assumptions!$D$3</f>
        <v>Y1</v>
      </c>
      <c r="E4" s="48" t="str">
        <f aca="false">00_Assumptions!$E$3</f>
        <v>Y2</v>
      </c>
      <c r="F4" s="48" t="str">
        <f aca="false">00_Assumptions!$F$3</f>
        <v>Y3</v>
      </c>
      <c r="G4" s="48" t="str">
        <f aca="false">00_Assumptions!$G$3</f>
        <v>Y4</v>
      </c>
      <c r="H4" s="48" t="str">
        <f aca="false">00_Assumptions!$H$3</f>
        <v>Y5</v>
      </c>
    </row>
    <row r="5" customFormat="false" ht="15" hidden="false" customHeight="false" outlineLevel="0" collapsed="false">
      <c r="A5" s="10" t="s">
        <v>1158</v>
      </c>
      <c r="B5" s="2" t="s">
        <v>62</v>
      </c>
      <c r="C5" s="2" t="s">
        <v>1159</v>
      </c>
      <c r="D5" s="29" t="n">
        <f aca="false">01_Data!$D$100*01_Data!$D$104^(00_Assumptions!$D$2-00_Assumptions!$K$50)</f>
        <v>500</v>
      </c>
      <c r="E5" s="29" t="n">
        <f aca="false">01_Data!$D$100*01_Data!$D$104^(00_Assumptions!$E$2-00_Assumptions!$K$50)</f>
        <v>1200</v>
      </c>
      <c r="F5" s="29" t="n">
        <f aca="false">01_Data!$D$100*01_Data!$D$104^(00_Assumptions!$F$2-00_Assumptions!$K$50)</f>
        <v>2880</v>
      </c>
      <c r="G5" s="29" t="n">
        <f aca="false">01_Data!$D$100*01_Data!$D$104^(00_Assumptions!$G$2-00_Assumptions!$K$50)</f>
        <v>6912</v>
      </c>
      <c r="H5" s="29" t="n">
        <f aca="false">01_Data!$D$100*01_Data!$D$104^(00_Assumptions!$H$2-00_Assumptions!$K$50)</f>
        <v>16588.8</v>
      </c>
    </row>
    <row r="6" customFormat="false" ht="15" hidden="false" customHeight="false" outlineLevel="0" collapsed="false">
      <c r="A6" s="10" t="s">
        <v>1160</v>
      </c>
      <c r="B6" s="2" t="s">
        <v>62</v>
      </c>
      <c r="C6" s="2" t="s">
        <v>1161</v>
      </c>
      <c r="D6" s="29" t="n">
        <f aca="false">00_Assumptions!$D$27</f>
        <v>170</v>
      </c>
      <c r="E6" s="29" t="n">
        <f aca="false">00_Assumptions!$D$27</f>
        <v>170</v>
      </c>
      <c r="F6" s="29" t="n">
        <f aca="false">00_Assumptions!$D$27</f>
        <v>170</v>
      </c>
      <c r="G6" s="29" t="n">
        <f aca="false">00_Assumptions!$D$27</f>
        <v>170</v>
      </c>
      <c r="H6" s="29" t="n">
        <f aca="false">00_Assumptions!$D$27</f>
        <v>170</v>
      </c>
    </row>
    <row r="7" customFormat="false" ht="15" hidden="false" customHeight="false" outlineLevel="0" collapsed="false">
      <c r="A7" s="10" t="s">
        <v>1162</v>
      </c>
      <c r="B7" s="2" t="s">
        <v>62</v>
      </c>
      <c r="C7" s="2" t="s">
        <v>1163</v>
      </c>
      <c r="D7" s="29" t="n">
        <f aca="false">00_Assumptions!$D$65*D6*(00_Assumptions!$D$25+00_Assumptions!$D$26)</f>
        <v>0</v>
      </c>
      <c r="E7" s="29" t="n">
        <f aca="false">00_Assumptions!$E$65*E6*(00_Assumptions!$D$25+00_Assumptions!$D$26)</f>
        <v>561</v>
      </c>
      <c r="F7" s="29" t="n">
        <f aca="false">00_Assumptions!$F$65*F6*(00_Assumptions!$D$25+00_Assumptions!$D$26)</f>
        <v>561</v>
      </c>
      <c r="G7" s="29" t="n">
        <f aca="false">00_Assumptions!$G$65*G6*(00_Assumptions!$D$25+00_Assumptions!$D$26)</f>
        <v>561</v>
      </c>
      <c r="H7" s="29" t="n">
        <f aca="false">00_Assumptions!$H$65*H6*(00_Assumptions!$D$25+00_Assumptions!$D$26)</f>
        <v>561</v>
      </c>
    </row>
    <row r="8" customFormat="false" ht="15" hidden="false" customHeight="false" outlineLevel="0" collapsed="false">
      <c r="A8" s="10" t="s">
        <v>1164</v>
      </c>
      <c r="B8" s="2" t="s">
        <v>62</v>
      </c>
      <c r="C8" s="2" t="s">
        <v>1165</v>
      </c>
      <c r="D8" s="29" t="n">
        <f aca="false">05_Inference!D11</f>
        <v>0</v>
      </c>
      <c r="E8" s="29" t="n">
        <f aca="false">05_Inference!E11</f>
        <v>0</v>
      </c>
      <c r="F8" s="29" t="n">
        <f aca="false">05_Inference!F11</f>
        <v>0</v>
      </c>
      <c r="G8" s="29" t="n">
        <f aca="false">05_Inference!G11</f>
        <v>0</v>
      </c>
      <c r="H8" s="29" t="n">
        <f aca="false">05_Inference!H11</f>
        <v>0</v>
      </c>
    </row>
    <row r="9" customFormat="false" ht="15" hidden="false" customHeight="false" outlineLevel="0" collapsed="false">
      <c r="A9" s="10" t="s">
        <v>1166</v>
      </c>
      <c r="B9" s="2" t="s">
        <v>62</v>
      </c>
      <c r="C9" s="2" t="s">
        <v>1136</v>
      </c>
      <c r="D9" s="29" t="n">
        <f aca="false">02_Compute!D23</f>
        <v>394.2</v>
      </c>
      <c r="E9" s="29" t="n">
        <f aca="false">02_Compute!E23</f>
        <v>591.3</v>
      </c>
      <c r="F9" s="29" t="n">
        <f aca="false">02_Compute!F23</f>
        <v>788.4</v>
      </c>
      <c r="G9" s="29" t="n">
        <f aca="false">02_Compute!G23</f>
        <v>788.4</v>
      </c>
      <c r="H9" s="29" t="n">
        <f aca="false">02_Compute!H23</f>
        <v>788.4</v>
      </c>
    </row>
    <row r="10" customFormat="false" ht="15" hidden="false" customHeight="false" outlineLevel="0" collapsed="false">
      <c r="A10" s="10" t="s">
        <v>1167</v>
      </c>
      <c r="B10" s="2" t="s">
        <v>62</v>
      </c>
      <c r="C10" s="2" t="s">
        <v>293</v>
      </c>
      <c r="D10" s="52" t="n">
        <f aca="false">MIN(D7,MAX(0,D9-D8))</f>
        <v>0</v>
      </c>
      <c r="E10" s="52" t="n">
        <f aca="false">MIN(E7,MAX(0,E9-E8))</f>
        <v>561</v>
      </c>
      <c r="F10" s="52" t="n">
        <f aca="false">MIN(F7,MAX(0,F9-F8))</f>
        <v>561</v>
      </c>
      <c r="G10" s="52" t="n">
        <f aca="false">MIN(G7,MAX(0,G9-G8))</f>
        <v>561</v>
      </c>
      <c r="H10" s="52" t="n">
        <f aca="false">MIN(H7,MAX(0,H9-H8))</f>
        <v>561</v>
      </c>
    </row>
    <row r="11" customFormat="false" ht="15" hidden="false" customHeight="false" outlineLevel="0" collapsed="false">
      <c r="A11" s="3" t="s">
        <v>1168</v>
      </c>
      <c r="B11" s="2" t="s">
        <v>62</v>
      </c>
      <c r="C11" s="2" t="s">
        <v>1141</v>
      </c>
      <c r="D11" s="8" t="n">
        <f aca="false">00_Assumptions!$L$50</f>
        <v>0</v>
      </c>
      <c r="E11" s="8" t="n">
        <f aca="false">00_Assumptions!$L$50</f>
        <v>0</v>
      </c>
      <c r="F11" s="8" t="n">
        <f aca="false">00_Assumptions!$L$50</f>
        <v>0</v>
      </c>
      <c r="G11" s="8" t="n">
        <f aca="false">00_Assumptions!$L$50</f>
        <v>0</v>
      </c>
      <c r="H11" s="8" t="n">
        <f aca="false">00_Assumptions!$L$50</f>
        <v>0</v>
      </c>
    </row>
    <row r="12" customFormat="false" ht="15" hidden="false" customHeight="false" outlineLevel="0" collapsed="false">
      <c r="A12" s="3" t="s">
        <v>1169</v>
      </c>
      <c r="B12" s="2" t="s">
        <v>62</v>
      </c>
      <c r="C12" s="2" t="s">
        <v>1170</v>
      </c>
      <c r="D12" s="8" t="n">
        <f aca="false">(D10+D11)/(00_Assumptions!$D$25+00_Assumptions!$D$26)</f>
        <v>0</v>
      </c>
      <c r="E12" s="8" t="n">
        <f aca="false">(E10+E11)/(00_Assumptions!$D$25+00_Assumptions!$D$26)</f>
        <v>170</v>
      </c>
      <c r="F12" s="8" t="n">
        <f aca="false">(F10+F11)/(00_Assumptions!$D$25+00_Assumptions!$D$26)</f>
        <v>170</v>
      </c>
      <c r="G12" s="8" t="n">
        <f aca="false">(G10+G11)/(00_Assumptions!$D$25+00_Assumptions!$D$26)</f>
        <v>170</v>
      </c>
      <c r="H12" s="8" t="n">
        <f aca="false">(H10+H11)/(00_Assumptions!$D$25+00_Assumptions!$D$26)</f>
        <v>170</v>
      </c>
    </row>
    <row r="13" customFormat="false" ht="15" hidden="false" customHeight="false" outlineLevel="0" collapsed="false">
      <c r="A13" s="10" t="s">
        <v>1171</v>
      </c>
      <c r="B13" s="2" t="s">
        <v>1172</v>
      </c>
      <c r="C13" s="2" t="s">
        <v>1141</v>
      </c>
      <c r="D13" s="53" t="n">
        <f aca="false">00_Assumptions!$K$50</f>
        <v>1</v>
      </c>
      <c r="E13" s="53" t="n">
        <f aca="false">00_Assumptions!$K$50</f>
        <v>1</v>
      </c>
      <c r="F13" s="53" t="n">
        <f aca="false">00_Assumptions!$K$50</f>
        <v>1</v>
      </c>
      <c r="G13" s="53" t="n">
        <f aca="false">00_Assumptions!$K$50</f>
        <v>1</v>
      </c>
      <c r="H13" s="53" t="n">
        <f aca="false">00_Assumptions!$K$50</f>
        <v>1</v>
      </c>
    </row>
    <row r="14" customFormat="false" ht="15" hidden="false" customHeight="false" outlineLevel="0" collapsed="false">
      <c r="A14" s="10" t="s">
        <v>1173</v>
      </c>
      <c r="B14" s="2" t="s">
        <v>1172</v>
      </c>
      <c r="C14" s="2" t="s">
        <v>293</v>
      </c>
      <c r="D14" s="53" t="n">
        <f aca="false">IF(AND(D12&gt;=D6,D13=00_Assumptions!$K$50),00_Assumptions!$K$50,00_Assumptions!$L$50)</f>
        <v>0</v>
      </c>
      <c r="E14" s="53" t="n">
        <f aca="false">IF(AND(E12&gt;=E6,E13=00_Assumptions!$K$50),00_Assumptions!$K$50,00_Assumptions!$L$50)</f>
        <v>1</v>
      </c>
      <c r="F14" s="53" t="n">
        <f aca="false">IF(AND(F12&gt;=F6,F13=00_Assumptions!$K$50),00_Assumptions!$K$50,00_Assumptions!$L$50)</f>
        <v>1</v>
      </c>
      <c r="G14" s="53" t="n">
        <f aca="false">IF(AND(G12&gt;=G6,G13=00_Assumptions!$K$50),00_Assumptions!$K$50,00_Assumptions!$L$50)</f>
        <v>1</v>
      </c>
      <c r="H14" s="53" t="n">
        <f aca="false">IF(AND(H12&gt;=H6,H13=00_Assumptions!$K$50),00_Assumptions!$K$50,00_Assumptions!$L$50)</f>
        <v>1</v>
      </c>
    </row>
    <row r="15" customFormat="false" ht="15" hidden="false" customHeight="false" outlineLevel="0" collapsed="false">
      <c r="A15" s="3" t="s">
        <v>1174</v>
      </c>
      <c r="D15" s="7" t="n">
        <f aca="false">IFERROR(MATCH(00_Assumptions!$K$50,D14:H14,0),"beyond Y5")</f>
        <v>2</v>
      </c>
      <c r="E15" s="2" t="s">
        <v>1175</v>
      </c>
    </row>
    <row r="16" customFormat="false" ht="15" hidden="false" customHeight="false" outlineLevel="0" collapsed="false">
      <c r="A16" s="2" t="s">
        <v>1176</v>
      </c>
      <c r="D16" s="14" t="n">
        <f aca="false">00_Assumptions!$D$65</f>
        <v>0</v>
      </c>
      <c r="E16" s="14" t="n">
        <f aca="false">00_Assumptions!$E$65</f>
        <v>1</v>
      </c>
      <c r="F16" s="14" t="n">
        <f aca="false">00_Assumptions!$F$65</f>
        <v>1</v>
      </c>
      <c r="G16" s="14" t="n">
        <f aca="false">00_Assumptions!$G$65</f>
        <v>1</v>
      </c>
      <c r="H16" s="14" t="n">
        <f aca="false">00_Assumptions!$H$65</f>
        <v>1</v>
      </c>
    </row>
    <row r="25" customFormat="false" ht="15" hidden="false" customHeight="false" outlineLevel="0" collapsed="false">
      <c r="A25" s="34" t="s">
        <v>1177</v>
      </c>
      <c r="B25" s="35"/>
      <c r="C25" s="35"/>
      <c r="D25" s="35"/>
      <c r="E25" s="35"/>
      <c r="F25" s="35"/>
      <c r="G25" s="35"/>
      <c r="H25" s="35"/>
      <c r="I25" s="35"/>
      <c r="J25" s="35"/>
    </row>
    <row r="26" customFormat="false" ht="15" hidden="false" customHeight="false" outlineLevel="0" collapsed="false">
      <c r="A26" s="47" t="s">
        <v>1093</v>
      </c>
      <c r="B26" s="47" t="s">
        <v>12</v>
      </c>
      <c r="C26" s="47" t="s">
        <v>1094</v>
      </c>
      <c r="D26" s="48" t="str">
        <f aca="false">00_Assumptions!$D$3</f>
        <v>Y1</v>
      </c>
      <c r="E26" s="48" t="str">
        <f aca="false">00_Assumptions!$E$3</f>
        <v>Y2</v>
      </c>
      <c r="F26" s="48" t="str">
        <f aca="false">00_Assumptions!$F$3</f>
        <v>Y3</v>
      </c>
      <c r="G26" s="48" t="str">
        <f aca="false">00_Assumptions!$G$3</f>
        <v>Y4</v>
      </c>
      <c r="H26" s="48" t="str">
        <f aca="false">00_Assumptions!$H$3</f>
        <v>Y5</v>
      </c>
    </row>
    <row r="27" customFormat="false" ht="15" hidden="false" customHeight="false" outlineLevel="0" collapsed="false">
      <c r="A27" s="10" t="s">
        <v>1158</v>
      </c>
      <c r="B27" s="2" t="s">
        <v>62</v>
      </c>
      <c r="C27" s="2" t="s">
        <v>1159</v>
      </c>
      <c r="D27" s="29" t="n">
        <f aca="false">01_Data!$D$100*01_Data!$D$104^(00_Assumptions!$D$2-00_Assumptions!$K$50)</f>
        <v>500</v>
      </c>
      <c r="E27" s="29" t="n">
        <f aca="false">01_Data!$D$100*01_Data!$D$104^(00_Assumptions!$E$2-00_Assumptions!$K$50)</f>
        <v>1200</v>
      </c>
      <c r="F27" s="29" t="n">
        <f aca="false">01_Data!$D$100*01_Data!$D$104^(00_Assumptions!$F$2-00_Assumptions!$K$50)</f>
        <v>2880</v>
      </c>
      <c r="G27" s="29" t="n">
        <f aca="false">01_Data!$D$100*01_Data!$D$104^(00_Assumptions!$G$2-00_Assumptions!$K$50)</f>
        <v>6912</v>
      </c>
      <c r="H27" s="29" t="n">
        <f aca="false">01_Data!$D$100*01_Data!$D$104^(00_Assumptions!$H$2-00_Assumptions!$K$50)</f>
        <v>16588.8</v>
      </c>
    </row>
    <row r="28" customFormat="false" ht="15" hidden="false" customHeight="false" outlineLevel="0" collapsed="false">
      <c r="A28" s="10" t="s">
        <v>1160</v>
      </c>
      <c r="B28" s="2" t="s">
        <v>62</v>
      </c>
      <c r="C28" s="2" t="s">
        <v>1161</v>
      </c>
      <c r="D28" s="29" t="n">
        <f aca="false">01_Data!$D$100*01_Data!$D$104^(00_Assumptions!$D$2-00_Assumptions!$K$50-00_Assumptions!$E$49)</f>
        <v>500</v>
      </c>
      <c r="E28" s="29" t="n">
        <f aca="false">01_Data!$D$100*01_Data!$D$104^(00_Assumptions!$E$2-00_Assumptions!$K$50-00_Assumptions!$E$49)</f>
        <v>1200</v>
      </c>
      <c r="F28" s="29" t="n">
        <f aca="false">01_Data!$D$100*01_Data!$D$104^(00_Assumptions!$F$2-00_Assumptions!$K$50-00_Assumptions!$E$49)</f>
        <v>2880</v>
      </c>
      <c r="G28" s="29" t="n">
        <f aca="false">01_Data!$D$100*01_Data!$D$104^(00_Assumptions!$G$2-00_Assumptions!$K$50-00_Assumptions!$E$49)</f>
        <v>6912</v>
      </c>
      <c r="H28" s="29" t="n">
        <f aca="false">01_Data!$D$100*01_Data!$D$104^(00_Assumptions!$H$2-00_Assumptions!$K$50-00_Assumptions!$E$49)</f>
        <v>16588.8</v>
      </c>
    </row>
    <row r="29" customFormat="false" ht="15" hidden="false" customHeight="false" outlineLevel="0" collapsed="false">
      <c r="A29" s="10" t="s">
        <v>1178</v>
      </c>
      <c r="B29" s="2" t="s">
        <v>62</v>
      </c>
      <c r="C29" s="2" t="s">
        <v>1179</v>
      </c>
      <c r="D29" s="29" t="n">
        <f aca="false">00_Assumptions!$D$71</f>
        <v>1500</v>
      </c>
      <c r="E29" s="29" t="n">
        <f aca="false">00_Assumptions!$E$71</f>
        <v>5500</v>
      </c>
      <c r="F29" s="29" t="n">
        <f aca="false">00_Assumptions!$F$71</f>
        <v>7000</v>
      </c>
      <c r="G29" s="29" t="n">
        <f aca="false">00_Assumptions!$G$71</f>
        <v>10500</v>
      </c>
      <c r="H29" s="29" t="n">
        <f aca="false">00_Assumptions!$H$71</f>
        <v>14000</v>
      </c>
    </row>
    <row r="30" customFormat="false" ht="15" hidden="false" customHeight="false" outlineLevel="0" collapsed="false">
      <c r="A30" s="10" t="s">
        <v>1164</v>
      </c>
      <c r="B30" s="2" t="s">
        <v>62</v>
      </c>
      <c r="C30" s="2" t="s">
        <v>1165</v>
      </c>
      <c r="D30" s="29" t="n">
        <f aca="false">05_Inference!D33</f>
        <v>0</v>
      </c>
      <c r="E30" s="29" t="n">
        <f aca="false">05_Inference!E33</f>
        <v>0</v>
      </c>
      <c r="F30" s="29" t="n">
        <f aca="false">05_Inference!F33</f>
        <v>0</v>
      </c>
      <c r="G30" s="29" t="n">
        <f aca="false">05_Inference!G33</f>
        <v>0</v>
      </c>
      <c r="H30" s="29" t="n">
        <f aca="false">05_Inference!H33</f>
        <v>0</v>
      </c>
    </row>
    <row r="31" customFormat="false" ht="15" hidden="false" customHeight="false" outlineLevel="0" collapsed="false">
      <c r="A31" s="10" t="s">
        <v>1166</v>
      </c>
      <c r="B31" s="2" t="s">
        <v>62</v>
      </c>
      <c r="C31" s="2" t="s">
        <v>1136</v>
      </c>
      <c r="D31" s="29" t="n">
        <f aca="false">02_Compute!D45</f>
        <v>2036.7</v>
      </c>
      <c r="E31" s="29" t="n">
        <f aca="false">02_Compute!E45</f>
        <v>3615.12818943771</v>
      </c>
      <c r="F31" s="29" t="n">
        <f aca="false">02_Compute!F45</f>
        <v>5164.46884205387</v>
      </c>
      <c r="G31" s="29" t="n">
        <f aca="false">02_Compute!G45</f>
        <v>6713.80949467003</v>
      </c>
      <c r="H31" s="29" t="n">
        <f aca="false">02_Compute!H45</f>
        <v>6845.32607321212</v>
      </c>
    </row>
    <row r="32" customFormat="false" ht="15" hidden="false" customHeight="false" outlineLevel="0" collapsed="false">
      <c r="A32" s="10" t="s">
        <v>1167</v>
      </c>
      <c r="B32" s="2" t="s">
        <v>62</v>
      </c>
      <c r="C32" s="2" t="s">
        <v>293</v>
      </c>
      <c r="D32" s="52" t="n">
        <f aca="false">MIN(D29,MAX(0,D31-D30))</f>
        <v>1500</v>
      </c>
      <c r="E32" s="52" t="n">
        <f aca="false">MIN(E29,MAX(0,E31-E30))</f>
        <v>3615.12818943771</v>
      </c>
      <c r="F32" s="52" t="n">
        <f aca="false">MIN(F29,MAX(0,F31-F30))</f>
        <v>5164.46884205387</v>
      </c>
      <c r="G32" s="52" t="n">
        <f aca="false">MIN(G29,MAX(0,G31-G30))</f>
        <v>6713.80949467003</v>
      </c>
      <c r="H32" s="52" t="n">
        <f aca="false">MIN(H29,MAX(0,H31-H30))</f>
        <v>6845.32607321212</v>
      </c>
    </row>
    <row r="33" customFormat="false" ht="15" hidden="false" customHeight="false" outlineLevel="0" collapsed="false">
      <c r="A33" s="3" t="s">
        <v>1180</v>
      </c>
      <c r="B33" s="2" t="s">
        <v>62</v>
      </c>
      <c r="C33" s="2" t="s">
        <v>105</v>
      </c>
      <c r="D33" s="51" t="n">
        <f aca="false">MAX(0,D29+D30-D31)</f>
        <v>0</v>
      </c>
      <c r="E33" s="51" t="n">
        <f aca="false">MAX(0,E29+E30-E31)</f>
        <v>1884.87181056229</v>
      </c>
      <c r="F33" s="51" t="n">
        <f aca="false">MAX(0,F29+F30-F31)</f>
        <v>1835.53115794613</v>
      </c>
      <c r="G33" s="51" t="n">
        <f aca="false">MAX(0,G29+G30-G31)</f>
        <v>3786.19050532997</v>
      </c>
      <c r="H33" s="51" t="n">
        <f aca="false">MAX(0,H29+H30-H31)</f>
        <v>7154.67392678788</v>
      </c>
    </row>
    <row r="34" customFormat="false" ht="15" hidden="false" customHeight="false" outlineLevel="0" collapsed="false">
      <c r="A34" s="3" t="s">
        <v>1169</v>
      </c>
      <c r="B34" s="2" t="s">
        <v>62</v>
      </c>
      <c r="C34" s="2" t="s">
        <v>1170</v>
      </c>
      <c r="D34" s="8" t="n">
        <f aca="false">(D32+D33)/(00_Assumptions!$E$25+00_Assumptions!$E$26)</f>
        <v>340.909090909091</v>
      </c>
      <c r="E34" s="8" t="n">
        <f aca="false">(E32+E33)/(00_Assumptions!$E$25+00_Assumptions!$E$26)</f>
        <v>1250</v>
      </c>
      <c r="F34" s="8" t="n">
        <f aca="false">(F32+F33)/(00_Assumptions!$E$25+00_Assumptions!$E$26)</f>
        <v>1590.90909090909</v>
      </c>
      <c r="G34" s="8" t="n">
        <f aca="false">(G32+G33)/(00_Assumptions!$E$25+00_Assumptions!$E$26)</f>
        <v>2386.36363636364</v>
      </c>
      <c r="H34" s="8" t="n">
        <f aca="false">(H32+H33)/(00_Assumptions!$E$25+00_Assumptions!$E$26)</f>
        <v>3181.81818181818</v>
      </c>
    </row>
    <row r="35" customFormat="false" ht="15" hidden="false" customHeight="false" outlineLevel="0" collapsed="false">
      <c r="A35" s="10" t="s">
        <v>1171</v>
      </c>
      <c r="B35" s="2" t="s">
        <v>1172</v>
      </c>
      <c r="C35" s="2" t="s">
        <v>1141</v>
      </c>
      <c r="D35" s="53" t="n">
        <f aca="false">00_Assumptions!$K$50</f>
        <v>1</v>
      </c>
      <c r="E35" s="53" t="n">
        <f aca="false">00_Assumptions!$K$50</f>
        <v>1</v>
      </c>
      <c r="F35" s="53" t="n">
        <f aca="false">00_Assumptions!$K$50</f>
        <v>1</v>
      </c>
      <c r="G35" s="53" t="n">
        <f aca="false">00_Assumptions!$K$50</f>
        <v>1</v>
      </c>
      <c r="H35" s="53" t="n">
        <f aca="false">00_Assumptions!$K$50</f>
        <v>1</v>
      </c>
    </row>
    <row r="36" customFormat="false" ht="15" hidden="false" customHeight="false" outlineLevel="0" collapsed="false">
      <c r="A36" s="10" t="s">
        <v>1173</v>
      </c>
      <c r="B36" s="2" t="s">
        <v>1172</v>
      </c>
      <c r="C36" s="2" t="s">
        <v>293</v>
      </c>
      <c r="D36" s="53" t="n">
        <f aca="false">IF(AND(D34&gt;=D28,D35=00_Assumptions!$K$50),00_Assumptions!$K$50,00_Assumptions!$L$50)</f>
        <v>0</v>
      </c>
      <c r="E36" s="53" t="n">
        <f aca="false">IF(AND(E34&gt;=E28,E35=00_Assumptions!$K$50),00_Assumptions!$K$50,00_Assumptions!$L$50)</f>
        <v>1</v>
      </c>
      <c r="F36" s="53" t="n">
        <f aca="false">IF(AND(F34&gt;=F28,F35=00_Assumptions!$K$50),00_Assumptions!$K$50,00_Assumptions!$L$50)</f>
        <v>0</v>
      </c>
      <c r="G36" s="53" t="n">
        <f aca="false">IF(AND(G34&gt;=G28,G35=00_Assumptions!$K$50),00_Assumptions!$K$50,00_Assumptions!$L$50)</f>
        <v>0</v>
      </c>
      <c r="H36" s="53" t="n">
        <f aca="false">IF(AND(H34&gt;=H28,H35=00_Assumptions!$K$50),00_Assumptions!$K$50,00_Assumptions!$L$50)</f>
        <v>0</v>
      </c>
    </row>
    <row r="37" customFormat="false" ht="15" hidden="false" customHeight="false" outlineLevel="0" collapsed="false">
      <c r="A37" s="3" t="s">
        <v>1174</v>
      </c>
      <c r="D37" s="7" t="n">
        <f aca="false">IFERROR(MATCH(00_Assumptions!$K$50,D36:H36,0),"beyond Y5")</f>
        <v>2</v>
      </c>
      <c r="E37" s="2" t="s">
        <v>1175</v>
      </c>
    </row>
    <row r="38" customFormat="false" ht="15" hidden="false" customHeight="false" outlineLevel="0" collapsed="false">
      <c r="A38" s="2" t="s">
        <v>1176</v>
      </c>
      <c r="D38" s="29" t="n">
        <f aca="false">00_Assumptions!$D$71</f>
        <v>1500</v>
      </c>
      <c r="E38" s="29" t="n">
        <f aca="false">00_Assumptions!$E$71</f>
        <v>5500</v>
      </c>
      <c r="F38" s="29" t="n">
        <f aca="false">00_Assumptions!$F$71</f>
        <v>7000</v>
      </c>
      <c r="G38" s="29" t="n">
        <f aca="false">00_Assumptions!$G$71</f>
        <v>10500</v>
      </c>
      <c r="H38" s="29" t="n">
        <f aca="false">00_Assumptions!$H$71</f>
        <v>14000</v>
      </c>
    </row>
    <row r="47" customFormat="false" ht="15" hidden="false" customHeight="false" outlineLevel="0" collapsed="false">
      <c r="A47" s="34" t="s">
        <v>1181</v>
      </c>
      <c r="B47" s="35"/>
      <c r="C47" s="35"/>
      <c r="D47" s="35"/>
      <c r="E47" s="35"/>
      <c r="F47" s="35"/>
      <c r="G47" s="35"/>
      <c r="H47" s="35"/>
      <c r="I47" s="35"/>
      <c r="J47" s="35"/>
    </row>
    <row r="48" customFormat="false" ht="15" hidden="false" customHeight="false" outlineLevel="0" collapsed="false">
      <c r="A48" s="47" t="s">
        <v>1093</v>
      </c>
      <c r="B48" s="47" t="s">
        <v>12</v>
      </c>
      <c r="C48" s="47" t="s">
        <v>1094</v>
      </c>
      <c r="D48" s="48" t="str">
        <f aca="false">00_Assumptions!$D$3</f>
        <v>Y1</v>
      </c>
      <c r="E48" s="48" t="str">
        <f aca="false">00_Assumptions!$E$3</f>
        <v>Y2</v>
      </c>
      <c r="F48" s="48" t="str">
        <f aca="false">00_Assumptions!$F$3</f>
        <v>Y3</v>
      </c>
      <c r="G48" s="48" t="str">
        <f aca="false">00_Assumptions!$G$3</f>
        <v>Y4</v>
      </c>
      <c r="H48" s="48" t="str">
        <f aca="false">00_Assumptions!$H$3</f>
        <v>Y5</v>
      </c>
    </row>
    <row r="49" customFormat="false" ht="15" hidden="false" customHeight="false" outlineLevel="0" collapsed="false">
      <c r="A49" s="10" t="s">
        <v>1158</v>
      </c>
      <c r="B49" s="2" t="s">
        <v>62</v>
      </c>
      <c r="C49" s="2" t="s">
        <v>1159</v>
      </c>
      <c r="D49" s="29" t="n">
        <f aca="false">01_Data!$D$100*01_Data!$D$104^(00_Assumptions!$D$2-00_Assumptions!$K$50)</f>
        <v>500</v>
      </c>
      <c r="E49" s="29" t="n">
        <f aca="false">01_Data!$D$100*01_Data!$D$104^(00_Assumptions!$E$2-00_Assumptions!$K$50)</f>
        <v>1200</v>
      </c>
      <c r="F49" s="29" t="n">
        <f aca="false">01_Data!$D$100*01_Data!$D$104^(00_Assumptions!$F$2-00_Assumptions!$K$50)</f>
        <v>2880</v>
      </c>
      <c r="G49" s="29" t="n">
        <f aca="false">01_Data!$D$100*01_Data!$D$104^(00_Assumptions!$G$2-00_Assumptions!$K$50)</f>
        <v>6912</v>
      </c>
      <c r="H49" s="29" t="n">
        <f aca="false">01_Data!$D$100*01_Data!$D$104^(00_Assumptions!$H$2-00_Assumptions!$K$50)</f>
        <v>16588.8</v>
      </c>
    </row>
    <row r="50" customFormat="false" ht="15" hidden="false" customHeight="false" outlineLevel="0" collapsed="false">
      <c r="A50" s="10" t="s">
        <v>1160</v>
      </c>
      <c r="B50" s="2" t="s">
        <v>62</v>
      </c>
      <c r="C50" s="2" t="s">
        <v>1161</v>
      </c>
      <c r="D50" s="29" t="n">
        <f aca="false">01_Data!$D$100*01_Data!$D$104^(00_Assumptions!$D$2-00_Assumptions!$K$50-00_Assumptions!$F$49)</f>
        <v>208.333333333333</v>
      </c>
      <c r="E50" s="29" t="n">
        <f aca="false">01_Data!$D$100*01_Data!$D$104^(00_Assumptions!$E$2-00_Assumptions!$K$50-00_Assumptions!$F$49)</f>
        <v>500</v>
      </c>
      <c r="F50" s="29" t="n">
        <f aca="false">01_Data!$D$100*01_Data!$D$104^(00_Assumptions!$F$2-00_Assumptions!$K$50-00_Assumptions!$F$49)</f>
        <v>1200</v>
      </c>
      <c r="G50" s="29" t="n">
        <f aca="false">01_Data!$D$100*01_Data!$D$104^(00_Assumptions!$G$2-00_Assumptions!$K$50-00_Assumptions!$F$49)</f>
        <v>2880</v>
      </c>
      <c r="H50" s="29" t="n">
        <f aca="false">01_Data!$D$100*01_Data!$D$104^(00_Assumptions!$H$2-00_Assumptions!$K$50-00_Assumptions!$F$49)</f>
        <v>6912</v>
      </c>
    </row>
    <row r="51" customFormat="false" ht="15" hidden="false" customHeight="false" outlineLevel="0" collapsed="false">
      <c r="A51" s="10" t="s">
        <v>1178</v>
      </c>
      <c r="B51" s="2" t="s">
        <v>62</v>
      </c>
      <c r="C51" s="2" t="s">
        <v>1179</v>
      </c>
      <c r="D51" s="29" t="n">
        <f aca="false">00_Assumptions!$D$72</f>
        <v>1500</v>
      </c>
      <c r="E51" s="29" t="n">
        <f aca="false">00_Assumptions!$E$72</f>
        <v>5500</v>
      </c>
      <c r="F51" s="29" t="n">
        <f aca="false">00_Assumptions!$F$72</f>
        <v>7000</v>
      </c>
      <c r="G51" s="29" t="n">
        <f aca="false">00_Assumptions!$G$72</f>
        <v>10500</v>
      </c>
      <c r="H51" s="29" t="n">
        <f aca="false">00_Assumptions!$H$72</f>
        <v>14000</v>
      </c>
    </row>
    <row r="52" customFormat="false" ht="15" hidden="false" customHeight="false" outlineLevel="0" collapsed="false">
      <c r="A52" s="10" t="s">
        <v>1164</v>
      </c>
      <c r="B52" s="2" t="s">
        <v>62</v>
      </c>
      <c r="C52" s="2" t="s">
        <v>1165</v>
      </c>
      <c r="D52" s="29" t="n">
        <f aca="false">05_Inference!D55</f>
        <v>0</v>
      </c>
      <c r="E52" s="29" t="n">
        <f aca="false">05_Inference!E55</f>
        <v>0</v>
      </c>
      <c r="F52" s="29" t="n">
        <f aca="false">05_Inference!F55</f>
        <v>0</v>
      </c>
      <c r="G52" s="29" t="n">
        <f aca="false">05_Inference!G55</f>
        <v>0</v>
      </c>
      <c r="H52" s="29" t="n">
        <f aca="false">05_Inference!H55</f>
        <v>0</v>
      </c>
    </row>
    <row r="53" customFormat="false" ht="15" hidden="false" customHeight="false" outlineLevel="0" collapsed="false">
      <c r="A53" s="10" t="s">
        <v>1166</v>
      </c>
      <c r="B53" s="2" t="s">
        <v>62</v>
      </c>
      <c r="C53" s="2" t="s">
        <v>1136</v>
      </c>
      <c r="D53" s="29" t="n">
        <f aca="false">02_Compute!D67</f>
        <v>788.4</v>
      </c>
      <c r="E53" s="29" t="n">
        <f aca="false">02_Compute!E67</f>
        <v>3927.21452017778</v>
      </c>
      <c r="F53" s="29" t="n">
        <f aca="false">02_Compute!F67</f>
        <v>5236.2860269037</v>
      </c>
      <c r="G53" s="29" t="n">
        <f aca="false">02_Compute!G67</f>
        <v>7788.97546501926</v>
      </c>
      <c r="H53" s="29" t="n">
        <f aca="false">02_Compute!H67</f>
        <v>4601.47546501926</v>
      </c>
    </row>
    <row r="54" customFormat="false" ht="15" hidden="false" customHeight="false" outlineLevel="0" collapsed="false">
      <c r="A54" s="10" t="s">
        <v>1167</v>
      </c>
      <c r="B54" s="2" t="s">
        <v>62</v>
      </c>
      <c r="C54" s="2" t="s">
        <v>293</v>
      </c>
      <c r="D54" s="52" t="n">
        <f aca="false">MIN(D51,MAX(0,D53-D52))</f>
        <v>788.4</v>
      </c>
      <c r="E54" s="52" t="n">
        <f aca="false">MIN(E51,MAX(0,E53-E52))</f>
        <v>3927.21452017778</v>
      </c>
      <c r="F54" s="52" t="n">
        <f aca="false">MIN(F51,MAX(0,F53-F52))</f>
        <v>5236.2860269037</v>
      </c>
      <c r="G54" s="52" t="n">
        <f aca="false">MIN(G51,MAX(0,G53-G52))</f>
        <v>7788.97546501926</v>
      </c>
      <c r="H54" s="52" t="n">
        <f aca="false">MIN(H51,MAX(0,H53-H52))</f>
        <v>4601.47546501926</v>
      </c>
    </row>
    <row r="55" customFormat="false" ht="15" hidden="false" customHeight="false" outlineLevel="0" collapsed="false">
      <c r="A55" s="3" t="s">
        <v>1180</v>
      </c>
      <c r="B55" s="2" t="s">
        <v>62</v>
      </c>
      <c r="C55" s="2" t="s">
        <v>105</v>
      </c>
      <c r="D55" s="51" t="n">
        <f aca="false">MAX(0,D51+D52-D53)</f>
        <v>711.6</v>
      </c>
      <c r="E55" s="51" t="n">
        <f aca="false">MAX(0,E51+E52-E53)</f>
        <v>1572.78547982222</v>
      </c>
      <c r="F55" s="51" t="n">
        <f aca="false">MAX(0,F51+F52-F53)</f>
        <v>1763.7139730963</v>
      </c>
      <c r="G55" s="51" t="n">
        <f aca="false">MAX(0,G51+G52-G53)</f>
        <v>2711.02453498074</v>
      </c>
      <c r="H55" s="51" t="n">
        <f aca="false">MAX(0,H51+H52-H53)</f>
        <v>9398.52453498074</v>
      </c>
    </row>
    <row r="56" customFormat="false" ht="15" hidden="false" customHeight="false" outlineLevel="0" collapsed="false">
      <c r="A56" s="3" t="s">
        <v>1169</v>
      </c>
      <c r="B56" s="2" t="s">
        <v>62</v>
      </c>
      <c r="C56" s="2" t="s">
        <v>1170</v>
      </c>
      <c r="D56" s="8" t="n">
        <f aca="false">(D54+D55)/(00_Assumptions!$F$25+00_Assumptions!$F$26)</f>
        <v>340.909090909091</v>
      </c>
      <c r="E56" s="8" t="n">
        <f aca="false">(E54+E55)/(00_Assumptions!$F$25+00_Assumptions!$F$26)</f>
        <v>1250</v>
      </c>
      <c r="F56" s="8" t="n">
        <f aca="false">(F54+F55)/(00_Assumptions!$F$25+00_Assumptions!$F$26)</f>
        <v>1590.90909090909</v>
      </c>
      <c r="G56" s="8" t="n">
        <f aca="false">(G54+G55)/(00_Assumptions!$F$25+00_Assumptions!$F$26)</f>
        <v>2386.36363636364</v>
      </c>
      <c r="H56" s="8" t="n">
        <f aca="false">(H54+H55)/(00_Assumptions!$F$25+00_Assumptions!$F$26)</f>
        <v>3181.81818181818</v>
      </c>
    </row>
    <row r="57" customFormat="false" ht="15" hidden="false" customHeight="false" outlineLevel="0" collapsed="false">
      <c r="A57" s="10" t="s">
        <v>1182</v>
      </c>
      <c r="B57" s="2" t="s">
        <v>1172</v>
      </c>
      <c r="C57" s="2" t="s">
        <v>105</v>
      </c>
      <c r="D57" s="53" t="n">
        <f aca="false">00_Assumptions!$L$50</f>
        <v>0</v>
      </c>
      <c r="E57" s="53" t="n">
        <f aca="false">IF(02_Compute!D50&gt;0,00_Assumptions!$K$50,00_Assumptions!$L$50)</f>
        <v>0</v>
      </c>
      <c r="F57" s="53" t="n">
        <f aca="false">IF(02_Compute!E50&gt;0,00_Assumptions!$K$50,00_Assumptions!$L$50)</f>
        <v>1</v>
      </c>
      <c r="G57" s="53" t="n">
        <f aca="false">IF(02_Compute!F50&gt;0,00_Assumptions!$K$50,00_Assumptions!$L$50)</f>
        <v>1</v>
      </c>
      <c r="H57" s="53" t="n">
        <f aca="false">IF(02_Compute!G50&gt;0,00_Assumptions!$K$50,00_Assumptions!$L$50)</f>
        <v>1</v>
      </c>
    </row>
    <row r="58" customFormat="false" ht="15" hidden="false" customHeight="false" outlineLevel="0" collapsed="false">
      <c r="A58" s="10" t="s">
        <v>1173</v>
      </c>
      <c r="B58" s="2" t="s">
        <v>1172</v>
      </c>
      <c r="C58" s="2" t="s">
        <v>293</v>
      </c>
      <c r="D58" s="53" t="n">
        <f aca="false">IF(AND(D56&gt;=D50,D57=00_Assumptions!$K$50),00_Assumptions!$K$50,00_Assumptions!$L$50)</f>
        <v>0</v>
      </c>
      <c r="E58" s="53" t="n">
        <f aca="false">IF(AND(E56&gt;=E50,E57=00_Assumptions!$K$50),00_Assumptions!$K$50,00_Assumptions!$L$50)</f>
        <v>0</v>
      </c>
      <c r="F58" s="53" t="n">
        <f aca="false">IF(AND(F56&gt;=F50,F57=00_Assumptions!$K$50),00_Assumptions!$K$50,00_Assumptions!$L$50)</f>
        <v>1</v>
      </c>
      <c r="G58" s="53" t="n">
        <f aca="false">IF(AND(G56&gt;=G50,G57=00_Assumptions!$K$50),00_Assumptions!$K$50,00_Assumptions!$L$50)</f>
        <v>0</v>
      </c>
      <c r="H58" s="53" t="n">
        <f aca="false">IF(AND(H56&gt;=H50,H57=00_Assumptions!$K$50),00_Assumptions!$K$50,00_Assumptions!$L$50)</f>
        <v>0</v>
      </c>
    </row>
    <row r="59" customFormat="false" ht="15" hidden="false" customHeight="false" outlineLevel="0" collapsed="false">
      <c r="A59" s="3" t="s">
        <v>1174</v>
      </c>
      <c r="D59" s="7" t="n">
        <f aca="false">IFERROR(MATCH(00_Assumptions!$K$50,D58:H58,0),"beyond Y5")</f>
        <v>3</v>
      </c>
      <c r="E59" s="2" t="s">
        <v>1175</v>
      </c>
    </row>
    <row r="60" customFormat="false" ht="15" hidden="false" customHeight="false" outlineLevel="0" collapsed="false">
      <c r="A60" s="2" t="s">
        <v>1176</v>
      </c>
      <c r="D60" s="29" t="n">
        <f aca="false">00_Assumptions!$D$72</f>
        <v>1500</v>
      </c>
      <c r="E60" s="29" t="n">
        <f aca="false">00_Assumptions!$E$72</f>
        <v>5500</v>
      </c>
      <c r="F60" s="29" t="n">
        <f aca="false">00_Assumptions!$F$72</f>
        <v>7000</v>
      </c>
      <c r="G60" s="29" t="n">
        <f aca="false">00_Assumptions!$G$72</f>
        <v>10500</v>
      </c>
      <c r="H60" s="29" t="n">
        <f aca="false">00_Assumptions!$H$72</f>
        <v>14000</v>
      </c>
    </row>
    <row r="69" customFormat="false" ht="15" hidden="false" customHeight="false" outlineLevel="0" collapsed="false">
      <c r="A69" s="2" t="s">
        <v>1183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9" min="4" style="1" width="14"/>
    <col collapsed="false" customWidth="true" hidden="false" outlineLevel="0" max="10" min="10" style="1" width="40"/>
  </cols>
  <sheetData>
    <row r="1" customFormat="false" ht="15" hidden="false" customHeight="false" outlineLevel="0" collapsed="false">
      <c r="A1" s="2" t="s">
        <v>1184</v>
      </c>
    </row>
    <row r="3" customFormat="false" ht="15" hidden="false" customHeight="false" outlineLevel="0" collapsed="false">
      <c r="A3" s="34" t="s">
        <v>1185</v>
      </c>
      <c r="B3" s="35"/>
      <c r="C3" s="35"/>
      <c r="D3" s="35"/>
      <c r="E3" s="35"/>
      <c r="F3" s="35"/>
      <c r="G3" s="35"/>
      <c r="H3" s="35"/>
      <c r="I3" s="35"/>
      <c r="J3" s="35"/>
    </row>
    <row r="4" customFormat="false" ht="22.35" hidden="false" customHeight="false" outlineLevel="0" collapsed="false">
      <c r="A4" s="9" t="s">
        <v>1186</v>
      </c>
      <c r="B4" s="9" t="s">
        <v>651</v>
      </c>
      <c r="C4" s="9" t="s">
        <v>1187</v>
      </c>
      <c r="D4" s="9" t="s">
        <v>1188</v>
      </c>
      <c r="E4" s="9" t="s">
        <v>1189</v>
      </c>
      <c r="F4" s="9" t="s">
        <v>1190</v>
      </c>
      <c r="G4" s="9" t="s">
        <v>1191</v>
      </c>
      <c r="H4" s="9" t="s">
        <v>1192</v>
      </c>
      <c r="I4" s="9" t="s">
        <v>1193</v>
      </c>
      <c r="J4" s="9" t="s">
        <v>1194</v>
      </c>
    </row>
    <row r="5" customFormat="false" ht="15" hidden="false" customHeight="false" outlineLevel="0" collapsed="false">
      <c r="A5" s="10" t="s">
        <v>1195</v>
      </c>
      <c r="B5" s="14" t="n">
        <f aca="false">01_Data!$D$138</f>
        <v>13386</v>
      </c>
      <c r="C5" s="17" t="n">
        <f aca="false">B5*00_Assumptions!$F$50/00_Assumptions!$G$50</f>
        <v>48.1896</v>
      </c>
      <c r="D5" s="16" t="n">
        <f aca="false">01_Data!$D$22/C5</f>
        <v>0.217889337118382</v>
      </c>
      <c r="E5" s="17" t="n">
        <f aca="false">01_Data!$D$30/C5</f>
        <v>0.0498032770556303</v>
      </c>
      <c r="F5" s="17" t="n">
        <f aca="false">01_Data!$D$32/C5</f>
        <v>0.0830054617593838</v>
      </c>
      <c r="G5" s="17" t="n">
        <f aca="false">D5/00_Assumptions!$P$50</f>
        <v>0.363148895197304</v>
      </c>
      <c r="H5" s="17" t="n">
        <f aca="false">E5/00_Assumptions!$P$50</f>
        <v>0.0830054617593838</v>
      </c>
      <c r="I5" s="7" t="str">
        <f aca="false">IF(ABS(D5-00_Assumptions!$D$119)&lt;=00_Assumptions!$D$119*00_Assumptions!$Q$50,"PASS","FAIL: "&amp;TEXT(D5,"0.00"))</f>
        <v>PASS</v>
      </c>
      <c r="J5" s="2" t="s">
        <v>1196</v>
      </c>
    </row>
    <row r="6" customFormat="false" ht="15" hidden="false" customHeight="false" outlineLevel="0" collapsed="false">
      <c r="A6" s="10" t="s">
        <v>1197</v>
      </c>
      <c r="B6" s="14" t="n">
        <f aca="false">01_Data!$D$142</f>
        <v>2907</v>
      </c>
      <c r="C6" s="17" t="n">
        <f aca="false">B6*00_Assumptions!$F$50/00_Assumptions!$G$50</f>
        <v>10.4652</v>
      </c>
      <c r="D6" s="16" t="n">
        <f aca="false">01_Data!$D$22/C6</f>
        <v>1.00332530673088</v>
      </c>
      <c r="E6" s="17" t="n">
        <f aca="false">01_Data!$D$30/C6</f>
        <v>0.229331498681344</v>
      </c>
      <c r="F6" s="17" t="n">
        <f aca="false">01_Data!$D$32/C6</f>
        <v>0.382219164468906</v>
      </c>
      <c r="G6" s="17" t="n">
        <f aca="false">D6/00_Assumptions!$P$50</f>
        <v>1.67220884455147</v>
      </c>
      <c r="H6" s="17" t="n">
        <f aca="false">E6/00_Assumptions!$P$50</f>
        <v>0.382219164468907</v>
      </c>
      <c r="J6" s="2" t="s">
        <v>1196</v>
      </c>
    </row>
    <row r="7" customFormat="false" ht="15" hidden="false" customHeight="false" outlineLevel="0" collapsed="false">
      <c r="A7" s="10" t="s">
        <v>1198</v>
      </c>
      <c r="B7" s="14" t="n">
        <f aca="false">01_Data!$D$143</f>
        <v>224</v>
      </c>
      <c r="C7" s="17" t="n">
        <f aca="false">B7*00_Assumptions!$F$50/00_Assumptions!$G$50</f>
        <v>0.8064</v>
      </c>
      <c r="D7" s="16" t="n">
        <f aca="false">01_Data!$D$22/C7</f>
        <v>13.0208333333333</v>
      </c>
      <c r="E7" s="17" t="n">
        <f aca="false">01_Data!$D$30/C7</f>
        <v>2.97619047619048</v>
      </c>
      <c r="F7" s="17" t="n">
        <f aca="false">01_Data!$D$32/C7</f>
        <v>4.96031746031746</v>
      </c>
      <c r="G7" s="17" t="n">
        <f aca="false">D7/00_Assumptions!$P$50</f>
        <v>21.7013888888889</v>
      </c>
      <c r="H7" s="17" t="n">
        <f aca="false">E7/00_Assumptions!$P$50</f>
        <v>4.96031746031746</v>
      </c>
      <c r="I7" s="7" t="str">
        <f aca="false">IF(ABS(D7-00_Assumptions!$E$119)&lt;=00_Assumptions!$E$119*00_Assumptions!$Q$50,"PASS","FAIL: "&amp;TEXT(D7,"0.00"))</f>
        <v>PASS</v>
      </c>
      <c r="J7" s="2" t="s">
        <v>1196</v>
      </c>
    </row>
    <row r="8" customFormat="false" ht="15" hidden="false" customHeight="false" outlineLevel="0" collapsed="false">
      <c r="A8" s="10" t="s">
        <v>1199</v>
      </c>
      <c r="B8" s="14" t="n">
        <f aca="false">01_Data!$D$145</f>
        <v>138</v>
      </c>
      <c r="C8" s="17" t="n">
        <f aca="false">B8*00_Assumptions!$F$50/00_Assumptions!$G$50</f>
        <v>0.4968</v>
      </c>
      <c r="D8" s="16" t="n">
        <f aca="false">01_Data!$D$22/C8</f>
        <v>21.1352657004831</v>
      </c>
      <c r="E8" s="17" t="n">
        <f aca="false">01_Data!$D$30/C8</f>
        <v>4.83091787439613</v>
      </c>
      <c r="F8" s="17" t="n">
        <f aca="false">01_Data!$D$32/C8</f>
        <v>8.05152979066023</v>
      </c>
      <c r="G8" s="17" t="n">
        <f aca="false">D8/00_Assumptions!$P$50</f>
        <v>35.2254428341385</v>
      </c>
      <c r="H8" s="17" t="n">
        <f aca="false">E8/00_Assumptions!$P$50</f>
        <v>8.05152979066022</v>
      </c>
      <c r="I8" s="7" t="str">
        <f aca="false">IF(ABS(D8-00_Assumptions!$F$119)&lt;=00_Assumptions!$F$119*00_Assumptions!$Q$50,"PASS","FAIL: "&amp;TEXT(D8,"0.00"))</f>
        <v>PASS</v>
      </c>
      <c r="J8" s="2" t="s">
        <v>1196</v>
      </c>
    </row>
    <row r="9" customFormat="false" ht="15" hidden="false" customHeight="false" outlineLevel="0" collapsed="false">
      <c r="A9" s="2" t="s">
        <v>1200</v>
      </c>
    </row>
    <row r="12" customFormat="false" ht="15" hidden="false" customHeight="false" outlineLevel="0" collapsed="false">
      <c r="A12" s="34" t="s">
        <v>1201</v>
      </c>
      <c r="B12" s="35"/>
      <c r="C12" s="35"/>
      <c r="D12" s="35"/>
      <c r="E12" s="35"/>
      <c r="F12" s="35"/>
      <c r="G12" s="35"/>
      <c r="H12" s="35"/>
      <c r="I12" s="35"/>
      <c r="J12" s="35"/>
    </row>
    <row r="13" customFormat="false" ht="15" hidden="false" customHeight="false" outlineLevel="0" collapsed="false">
      <c r="A13" s="47" t="s">
        <v>1093</v>
      </c>
      <c r="B13" s="47" t="s">
        <v>12</v>
      </c>
      <c r="C13" s="47" t="s">
        <v>1094</v>
      </c>
      <c r="D13" s="48" t="str">
        <f aca="false">00_Assumptions!$D$3</f>
        <v>Y1</v>
      </c>
      <c r="E13" s="48" t="str">
        <f aca="false">00_Assumptions!$E$3</f>
        <v>Y2</v>
      </c>
      <c r="F13" s="48" t="str">
        <f aca="false">00_Assumptions!$F$3</f>
        <v>Y3</v>
      </c>
      <c r="G13" s="48" t="str">
        <f aca="false">00_Assumptions!$G$3</f>
        <v>Y4</v>
      </c>
      <c r="H13" s="48" t="str">
        <f aca="false">00_Assumptions!$H$3</f>
        <v>Y5</v>
      </c>
    </row>
    <row r="14" customFormat="false" ht="15" hidden="false" customHeight="false" outlineLevel="0" collapsed="false">
      <c r="A14" s="3" t="s">
        <v>1202</v>
      </c>
      <c r="B14" s="2" t="s">
        <v>62</v>
      </c>
      <c r="C14" s="2" t="s">
        <v>1203</v>
      </c>
      <c r="D14" s="8" t="n">
        <f aca="false">00_Assumptions!$D$75</f>
        <v>0</v>
      </c>
      <c r="E14" s="8" t="n">
        <f aca="false">00_Assumptions!$E$75</f>
        <v>50</v>
      </c>
      <c r="F14" s="8" t="n">
        <f aca="false">00_Assumptions!$F$75</f>
        <v>300</v>
      </c>
      <c r="G14" s="8" t="n">
        <f aca="false">00_Assumptions!$G$75</f>
        <v>1000</v>
      </c>
      <c r="H14" s="8" t="n">
        <f aca="false">00_Assumptions!$H$75</f>
        <v>2000</v>
      </c>
    </row>
    <row r="15" customFormat="false" ht="15" hidden="false" customHeight="false" outlineLevel="0" collapsed="false">
      <c r="A15" s="10" t="s">
        <v>1204</v>
      </c>
      <c r="B15" s="2" t="s">
        <v>65</v>
      </c>
      <c r="C15" s="2" t="s">
        <v>1205</v>
      </c>
      <c r="D15" s="17" t="n">
        <f aca="false">00_Assumptions!$D$28</f>
        <v>15</v>
      </c>
      <c r="E15" s="17" t="n">
        <f aca="false">00_Assumptions!$D$28</f>
        <v>15</v>
      </c>
      <c r="F15" s="17" t="n">
        <f aca="false">00_Assumptions!$D$28</f>
        <v>15</v>
      </c>
      <c r="G15" s="17" t="n">
        <f aca="false">00_Assumptions!$D$28</f>
        <v>15</v>
      </c>
      <c r="H15" s="17" t="n">
        <f aca="false">00_Assumptions!$D$28</f>
        <v>15</v>
      </c>
    </row>
    <row r="16" customFormat="false" ht="15" hidden="false" customHeight="false" outlineLevel="0" collapsed="false">
      <c r="A16" s="10" t="s">
        <v>1206</v>
      </c>
      <c r="B16" s="2" t="s">
        <v>29</v>
      </c>
      <c r="C16" s="2" t="s">
        <v>1207</v>
      </c>
      <c r="D16" s="21" t="n">
        <f aca="false">00_Assumptions!$D$29</f>
        <v>0.4</v>
      </c>
      <c r="E16" s="21" t="n">
        <f aca="false">00_Assumptions!$D$29</f>
        <v>0.4</v>
      </c>
      <c r="F16" s="21" t="n">
        <f aca="false">00_Assumptions!$D$29</f>
        <v>0.4</v>
      </c>
      <c r="G16" s="21" t="n">
        <f aca="false">00_Assumptions!$D$29</f>
        <v>0.4</v>
      </c>
      <c r="H16" s="21" t="n">
        <f aca="false">00_Assumptions!$D$29</f>
        <v>0.4</v>
      </c>
    </row>
    <row r="17" customFormat="false" ht="15" hidden="false" customHeight="false" outlineLevel="0" collapsed="false">
      <c r="A17" s="10" t="s">
        <v>1208</v>
      </c>
      <c r="B17" s="2" t="s">
        <v>65</v>
      </c>
      <c r="C17" s="2" t="s">
        <v>293</v>
      </c>
      <c r="D17" s="17" t="n">
        <f aca="false">D15*(00_Assumptions!$K$50-D16)</f>
        <v>9</v>
      </c>
      <c r="E17" s="17" t="n">
        <f aca="false">E15*(00_Assumptions!$K$50-E16)</f>
        <v>9</v>
      </c>
      <c r="F17" s="17" t="n">
        <f aca="false">F15*(00_Assumptions!$K$50-F16)</f>
        <v>9</v>
      </c>
      <c r="G17" s="17" t="n">
        <f aca="false">G15*(00_Assumptions!$K$50-G16)</f>
        <v>9</v>
      </c>
      <c r="H17" s="17" t="n">
        <f aca="false">H15*(00_Assumptions!$K$50-H16)</f>
        <v>9</v>
      </c>
    </row>
    <row r="18" customFormat="false" ht="15" hidden="false" customHeight="false" outlineLevel="0" collapsed="false">
      <c r="A18" s="10" t="s">
        <v>1209</v>
      </c>
      <c r="B18" s="2" t="s">
        <v>1210</v>
      </c>
      <c r="C18" s="2" t="s">
        <v>293</v>
      </c>
      <c r="D18" s="14" t="n">
        <f aca="false">IFERROR(D14*00_Assumptions!$E$50/D17/00_Assumptions!$J$50,0)</f>
        <v>0</v>
      </c>
      <c r="E18" s="14" t="n">
        <f aca="false">IFERROR(E14*00_Assumptions!$E$50/E17/00_Assumptions!$J$50,0)</f>
        <v>5555.55555555556</v>
      </c>
      <c r="F18" s="14" t="n">
        <f aca="false">IFERROR(F14*00_Assumptions!$E$50/F17/00_Assumptions!$J$50,0)</f>
        <v>33333.3333333333</v>
      </c>
      <c r="G18" s="14" t="n">
        <f aca="false">IFERROR(G14*00_Assumptions!$E$50/G17/00_Assumptions!$J$50,0)</f>
        <v>111111.111111111</v>
      </c>
      <c r="H18" s="14" t="n">
        <f aca="false">IFERROR(H14*00_Assumptions!$E$50/H17/00_Assumptions!$J$50,0)</f>
        <v>222222.222222222</v>
      </c>
    </row>
    <row r="19" customFormat="false" ht="15" hidden="false" customHeight="false" outlineLevel="0" collapsed="false">
      <c r="A19" s="10" t="s">
        <v>1211</v>
      </c>
      <c r="B19" s="2" t="s">
        <v>29</v>
      </c>
      <c r="C19" s="2" t="s">
        <v>1212</v>
      </c>
      <c r="D19" s="21" t="n">
        <f aca="false">00_Assumptions!$D$80</f>
        <v>0.641221374045802</v>
      </c>
      <c r="E19" s="21" t="n">
        <f aca="false">00_Assumptions!$E$80</f>
        <v>0.641221374045802</v>
      </c>
      <c r="F19" s="21" t="n">
        <f aca="false">00_Assumptions!$F$80</f>
        <v>0.45</v>
      </c>
      <c r="G19" s="21" t="n">
        <f aca="false">00_Assumptions!$G$80</f>
        <v>0.4</v>
      </c>
      <c r="H19" s="21" t="n">
        <f aca="false">00_Assumptions!$H$80</f>
        <v>0.35</v>
      </c>
    </row>
    <row r="20" customFormat="false" ht="15" hidden="false" customHeight="false" outlineLevel="0" collapsed="false">
      <c r="A20" s="3" t="s">
        <v>1213</v>
      </c>
      <c r="B20" s="2" t="s">
        <v>62</v>
      </c>
      <c r="C20" s="2" t="s">
        <v>293</v>
      </c>
      <c r="D20" s="8" t="n">
        <f aca="false">D14*D19*02_Compute!D16</f>
        <v>0</v>
      </c>
      <c r="E20" s="8" t="n">
        <f aca="false">E14*E19*02_Compute!E16</f>
        <v>32.0610687022901</v>
      </c>
      <c r="F20" s="8" t="n">
        <f aca="false">F14*F19*02_Compute!F16</f>
        <v>135</v>
      </c>
      <c r="G20" s="8" t="n">
        <f aca="false">G14*G19*02_Compute!G16</f>
        <v>400</v>
      </c>
      <c r="H20" s="8" t="n">
        <f aca="false">H14*H19*02_Compute!H16</f>
        <v>700</v>
      </c>
    </row>
    <row r="21" customFormat="false" ht="15" hidden="false" customHeight="false" outlineLevel="0" collapsed="false">
      <c r="A21" s="10" t="s">
        <v>1214</v>
      </c>
      <c r="B21" s="2" t="s">
        <v>651</v>
      </c>
      <c r="C21" s="2" t="s">
        <v>654</v>
      </c>
      <c r="D21" s="14" t="n">
        <f aca="false">IF(SW_GF_MODELCLASS="MoE-efficient",01_Data!$D$138,01_Data!$D$143)</f>
        <v>224</v>
      </c>
      <c r="E21" s="14" t="n">
        <f aca="false">IF(SW_GF_MODELCLASS="MoE-efficient",01_Data!$D$138,01_Data!$D$143)</f>
        <v>224</v>
      </c>
      <c r="F21" s="14" t="n">
        <f aca="false">IF(SW_GF_MODELCLASS="MoE-efficient",01_Data!$D$138,01_Data!$D$143)</f>
        <v>224</v>
      </c>
      <c r="G21" s="14" t="n">
        <f aca="false">IF(SW_GF_MODELCLASS="MoE-efficient",01_Data!$D$138,01_Data!$D$143)</f>
        <v>224</v>
      </c>
      <c r="H21" s="14" t="n">
        <f aca="false">IF(SW_GF_MODELCLASS="MoE-efficient",01_Data!$D$138,01_Data!$D$143)</f>
        <v>224</v>
      </c>
    </row>
    <row r="22" customFormat="false" ht="15" hidden="false" customHeight="false" outlineLevel="0" collapsed="false">
      <c r="A22" s="10" t="s">
        <v>1215</v>
      </c>
      <c r="B22" s="2" t="s">
        <v>65</v>
      </c>
      <c r="C22" s="2" t="s">
        <v>1216</v>
      </c>
      <c r="D22" s="17" t="n">
        <f aca="false">00_Assumptions!$D$12/(D21*00_Assumptions!$F$50*00_Assumptions!$D$14/00_Assumptions!$G$50)</f>
        <v>5.41125541125541</v>
      </c>
      <c r="E22" s="17" t="n">
        <f aca="false">00_Assumptions!$D$12/(E21*00_Assumptions!$F$50*00_Assumptions!$D$14/00_Assumptions!$G$50)</f>
        <v>5.41125541125541</v>
      </c>
      <c r="F22" s="17" t="n">
        <f aca="false">00_Assumptions!$D$12/(F21*00_Assumptions!$F$50*00_Assumptions!$D$14/00_Assumptions!$G$50)</f>
        <v>5.41125541125541</v>
      </c>
      <c r="G22" s="17" t="n">
        <f aca="false">00_Assumptions!$D$12/(G21*00_Assumptions!$F$50*00_Assumptions!$D$14/00_Assumptions!$G$50)</f>
        <v>5.41125541125541</v>
      </c>
      <c r="H22" s="17" t="n">
        <f aca="false">00_Assumptions!$D$12/(H21*00_Assumptions!$F$50*00_Assumptions!$D$14/00_Assumptions!$G$50)</f>
        <v>5.41125541125541</v>
      </c>
    </row>
    <row r="23" customFormat="false" ht="15" hidden="false" customHeight="false" outlineLevel="0" collapsed="false">
      <c r="A23" s="10" t="s">
        <v>1217</v>
      </c>
      <c r="B23" s="2" t="s">
        <v>62</v>
      </c>
      <c r="C23" s="2" t="s">
        <v>293</v>
      </c>
      <c r="D23" s="29" t="n">
        <f aca="false">D18*00_Assumptions!$J$50*D22/00_Assumptions!$E$50</f>
        <v>0</v>
      </c>
      <c r="E23" s="29" t="n">
        <f aca="false">E18*00_Assumptions!$J$50*E22/00_Assumptions!$E$50</f>
        <v>30.0625300625301</v>
      </c>
      <c r="F23" s="29" t="n">
        <f aca="false">F18*00_Assumptions!$J$50*F22/00_Assumptions!$E$50</f>
        <v>180.37518037518</v>
      </c>
      <c r="G23" s="29" t="n">
        <f aca="false">G18*00_Assumptions!$J$50*G22/00_Assumptions!$E$50</f>
        <v>601.250601250601</v>
      </c>
      <c r="H23" s="29" t="n">
        <f aca="false">H18*00_Assumptions!$J$50*H22/00_Assumptions!$E$50</f>
        <v>1202.5012025012</v>
      </c>
    </row>
    <row r="24" customFormat="false" ht="15" hidden="false" customHeight="false" outlineLevel="0" collapsed="false">
      <c r="A24" s="10" t="s">
        <v>1218</v>
      </c>
      <c r="B24" s="2" t="s">
        <v>29</v>
      </c>
      <c r="C24" s="2" t="s">
        <v>293</v>
      </c>
      <c r="D24" s="21" t="n">
        <f aca="false">IFERROR(00_Assumptions!$K$50-D22/D17,0)</f>
        <v>0.398749398749399</v>
      </c>
      <c r="E24" s="21" t="n">
        <f aca="false">IFERROR(00_Assumptions!$K$50-E22/E17,0)</f>
        <v>0.398749398749399</v>
      </c>
      <c r="F24" s="21" t="n">
        <f aca="false">IFERROR(00_Assumptions!$K$50-F22/F17,0)</f>
        <v>0.398749398749399</v>
      </c>
      <c r="G24" s="21" t="n">
        <f aca="false">IFERROR(00_Assumptions!$K$50-G22/G17,0)</f>
        <v>0.398749398749399</v>
      </c>
      <c r="H24" s="21" t="n">
        <f aca="false">IFERROR(00_Assumptions!$K$50-H22/H17,0)</f>
        <v>0.398749398749399</v>
      </c>
    </row>
    <row r="25" customFormat="false" ht="15" hidden="false" customHeight="false" outlineLevel="0" collapsed="false">
      <c r="A25" s="10" t="s">
        <v>1219</v>
      </c>
      <c r="B25" s="2" t="s">
        <v>1172</v>
      </c>
      <c r="C25" s="2" t="s">
        <v>1220</v>
      </c>
      <c r="D25" s="53" t="n">
        <f aca="false">IF(D14&gt;=00_Assumptions!$D$47,00_Assumptions!$K$50,00_Assumptions!$L$50)</f>
        <v>0</v>
      </c>
      <c r="E25" s="53" t="n">
        <f aca="false">IF(E14&gt;=00_Assumptions!$D$47,00_Assumptions!$K$50,00_Assumptions!$L$50)</f>
        <v>0</v>
      </c>
      <c r="F25" s="53" t="n">
        <f aca="false">IF(F14&gt;=00_Assumptions!$D$47,00_Assumptions!$K$50,00_Assumptions!$L$50)</f>
        <v>0</v>
      </c>
      <c r="G25" s="53" t="n">
        <f aca="false">IF(G14&gt;=00_Assumptions!$D$47,00_Assumptions!$K$50,00_Assumptions!$L$50)</f>
        <v>1</v>
      </c>
      <c r="H25" s="53" t="n">
        <f aca="false">IF(H14&gt;=00_Assumptions!$D$47,00_Assumptions!$K$50,00_Assumptions!$L$50)</f>
        <v>1</v>
      </c>
    </row>
    <row r="26" customFormat="false" ht="15" hidden="false" customHeight="false" outlineLevel="0" collapsed="false">
      <c r="A26" s="3" t="s">
        <v>1221</v>
      </c>
      <c r="D26" s="7" t="n">
        <f aca="false">IFERROR(MATCH(00_Assumptions!$K$50,D25:H25,0),"not by Y5")</f>
        <v>4</v>
      </c>
      <c r="E26" s="21" t="n">
        <f aca="false">00_Assumptions!$D$46</f>
        <v>0.4</v>
      </c>
      <c r="F26" s="2" t="s">
        <v>1222</v>
      </c>
    </row>
    <row r="34" customFormat="false" ht="15" hidden="false" customHeight="false" outlineLevel="0" collapsed="false">
      <c r="A34" s="34" t="s">
        <v>1223</v>
      </c>
      <c r="B34" s="35"/>
      <c r="C34" s="35"/>
      <c r="D34" s="35"/>
      <c r="E34" s="35"/>
      <c r="F34" s="35"/>
      <c r="G34" s="35"/>
      <c r="H34" s="35"/>
      <c r="I34" s="35"/>
      <c r="J34" s="35"/>
    </row>
    <row r="35" customFormat="false" ht="15" hidden="false" customHeight="false" outlineLevel="0" collapsed="false">
      <c r="A35" s="47" t="s">
        <v>1093</v>
      </c>
      <c r="B35" s="47" t="s">
        <v>12</v>
      </c>
      <c r="C35" s="47" t="s">
        <v>1094</v>
      </c>
      <c r="D35" s="48" t="str">
        <f aca="false">00_Assumptions!$D$3</f>
        <v>Y1</v>
      </c>
      <c r="E35" s="48" t="str">
        <f aca="false">00_Assumptions!$E$3</f>
        <v>Y2</v>
      </c>
      <c r="F35" s="48" t="str">
        <f aca="false">00_Assumptions!$F$3</f>
        <v>Y3</v>
      </c>
      <c r="G35" s="48" t="str">
        <f aca="false">00_Assumptions!$G$3</f>
        <v>Y4</v>
      </c>
      <c r="H35" s="48" t="str">
        <f aca="false">00_Assumptions!$H$3</f>
        <v>Y5</v>
      </c>
    </row>
    <row r="36" customFormat="false" ht="15" hidden="false" customHeight="false" outlineLevel="0" collapsed="false">
      <c r="A36" s="3" t="s">
        <v>1202</v>
      </c>
      <c r="B36" s="2" t="s">
        <v>62</v>
      </c>
      <c r="C36" s="2" t="s">
        <v>1203</v>
      </c>
      <c r="D36" s="8" t="n">
        <f aca="false">00_Assumptions!$D$76</f>
        <v>0</v>
      </c>
      <c r="E36" s="8" t="n">
        <f aca="false">00_Assumptions!$E$76</f>
        <v>200</v>
      </c>
      <c r="F36" s="8" t="n">
        <f aca="false">00_Assumptions!$F$76</f>
        <v>1000</v>
      </c>
      <c r="G36" s="8" t="n">
        <f aca="false">00_Assumptions!$G$76</f>
        <v>3000</v>
      </c>
      <c r="H36" s="8" t="n">
        <f aca="false">00_Assumptions!$H$76</f>
        <v>6000</v>
      </c>
    </row>
    <row r="37" customFormat="false" ht="15" hidden="false" customHeight="false" outlineLevel="0" collapsed="false">
      <c r="A37" s="10" t="s">
        <v>1204</v>
      </c>
      <c r="B37" s="2" t="s">
        <v>65</v>
      </c>
      <c r="C37" s="2" t="s">
        <v>1205</v>
      </c>
      <c r="D37" s="17" t="n">
        <f aca="false">00_Assumptions!$E$28</f>
        <v>15</v>
      </c>
      <c r="E37" s="17" t="n">
        <f aca="false">00_Assumptions!$E$28</f>
        <v>15</v>
      </c>
      <c r="F37" s="17" t="n">
        <f aca="false">00_Assumptions!$E$28</f>
        <v>15</v>
      </c>
      <c r="G37" s="17" t="n">
        <f aca="false">00_Assumptions!$E$28</f>
        <v>15</v>
      </c>
      <c r="H37" s="17" t="n">
        <f aca="false">00_Assumptions!$E$28</f>
        <v>15</v>
      </c>
    </row>
    <row r="38" customFormat="false" ht="15" hidden="false" customHeight="false" outlineLevel="0" collapsed="false">
      <c r="A38" s="10" t="s">
        <v>1206</v>
      </c>
      <c r="B38" s="2" t="s">
        <v>29</v>
      </c>
      <c r="C38" s="2" t="s">
        <v>1207</v>
      </c>
      <c r="D38" s="21" t="n">
        <f aca="false">00_Assumptions!$E$29</f>
        <v>0.4</v>
      </c>
      <c r="E38" s="21" t="n">
        <f aca="false">00_Assumptions!$E$29</f>
        <v>0.4</v>
      </c>
      <c r="F38" s="21" t="n">
        <f aca="false">00_Assumptions!$E$29</f>
        <v>0.4</v>
      </c>
      <c r="G38" s="21" t="n">
        <f aca="false">00_Assumptions!$E$29</f>
        <v>0.4</v>
      </c>
      <c r="H38" s="21" t="n">
        <f aca="false">00_Assumptions!$E$29</f>
        <v>0.4</v>
      </c>
    </row>
    <row r="39" customFormat="false" ht="15" hidden="false" customHeight="false" outlineLevel="0" collapsed="false">
      <c r="A39" s="10" t="s">
        <v>1208</v>
      </c>
      <c r="B39" s="2" t="s">
        <v>65</v>
      </c>
      <c r="C39" s="2" t="s">
        <v>293</v>
      </c>
      <c r="D39" s="17" t="n">
        <f aca="false">D37*(00_Assumptions!$K$50-D38)</f>
        <v>9</v>
      </c>
      <c r="E39" s="17" t="n">
        <f aca="false">E37*(00_Assumptions!$K$50-E38)</f>
        <v>9</v>
      </c>
      <c r="F39" s="17" t="n">
        <f aca="false">F37*(00_Assumptions!$K$50-F38)</f>
        <v>9</v>
      </c>
      <c r="G39" s="17" t="n">
        <f aca="false">G37*(00_Assumptions!$K$50-G38)</f>
        <v>9</v>
      </c>
      <c r="H39" s="17" t="n">
        <f aca="false">H37*(00_Assumptions!$K$50-H38)</f>
        <v>9</v>
      </c>
    </row>
    <row r="40" customFormat="false" ht="15" hidden="false" customHeight="false" outlineLevel="0" collapsed="false">
      <c r="A40" s="10" t="s">
        <v>1209</v>
      </c>
      <c r="B40" s="2" t="s">
        <v>1210</v>
      </c>
      <c r="C40" s="2" t="s">
        <v>293</v>
      </c>
      <c r="D40" s="14" t="n">
        <f aca="false">IFERROR(D36*00_Assumptions!$E$50/D39/00_Assumptions!$J$50,0)</f>
        <v>0</v>
      </c>
      <c r="E40" s="14" t="n">
        <f aca="false">IFERROR(E36*00_Assumptions!$E$50/E39/00_Assumptions!$J$50,0)</f>
        <v>22222.2222222222</v>
      </c>
      <c r="F40" s="14" t="n">
        <f aca="false">IFERROR(F36*00_Assumptions!$E$50/F39/00_Assumptions!$J$50,0)</f>
        <v>111111.111111111</v>
      </c>
      <c r="G40" s="14" t="n">
        <f aca="false">IFERROR(G36*00_Assumptions!$E$50/G39/00_Assumptions!$J$50,0)</f>
        <v>333333.333333333</v>
      </c>
      <c r="H40" s="14" t="n">
        <f aca="false">IFERROR(H36*00_Assumptions!$E$50/H39/00_Assumptions!$J$50,0)</f>
        <v>666666.666666667</v>
      </c>
    </row>
    <row r="41" customFormat="false" ht="15" hidden="false" customHeight="false" outlineLevel="0" collapsed="false">
      <c r="A41" s="10" t="s">
        <v>1211</v>
      </c>
      <c r="B41" s="2" t="s">
        <v>29</v>
      </c>
      <c r="C41" s="2" t="s">
        <v>1212</v>
      </c>
      <c r="D41" s="21" t="n">
        <f aca="false">00_Assumptions!$D$81</f>
        <v>0.641221374045802</v>
      </c>
      <c r="E41" s="21" t="n">
        <f aca="false">00_Assumptions!$E$81</f>
        <v>0.55</v>
      </c>
      <c r="F41" s="21" t="n">
        <f aca="false">00_Assumptions!$F$81</f>
        <v>0.4</v>
      </c>
      <c r="G41" s="21" t="n">
        <f aca="false">00_Assumptions!$G$81</f>
        <v>0.35</v>
      </c>
      <c r="H41" s="21" t="n">
        <f aca="false">00_Assumptions!$H$81</f>
        <v>0.3</v>
      </c>
    </row>
    <row r="42" customFormat="false" ht="15" hidden="false" customHeight="false" outlineLevel="0" collapsed="false">
      <c r="A42" s="3" t="s">
        <v>1213</v>
      </c>
      <c r="B42" s="2" t="s">
        <v>62</v>
      </c>
      <c r="C42" s="2" t="s">
        <v>293</v>
      </c>
      <c r="D42" s="8" t="n">
        <f aca="false">D36*D41*02_Compute!D38</f>
        <v>0</v>
      </c>
      <c r="E42" s="8" t="n">
        <f aca="false">E36*E41*02_Compute!E38</f>
        <v>110</v>
      </c>
      <c r="F42" s="8" t="n">
        <f aca="false">F36*F41*02_Compute!F38</f>
        <v>400</v>
      </c>
      <c r="G42" s="8" t="n">
        <f aca="false">G36*G41*02_Compute!G38</f>
        <v>1050</v>
      </c>
      <c r="H42" s="8" t="n">
        <f aca="false">H36*H41*02_Compute!H38</f>
        <v>1800</v>
      </c>
    </row>
    <row r="43" customFormat="false" ht="15" hidden="false" customHeight="false" outlineLevel="0" collapsed="false">
      <c r="A43" s="10" t="s">
        <v>1214</v>
      </c>
      <c r="B43" s="2" t="s">
        <v>651</v>
      </c>
      <c r="C43" s="2" t="s">
        <v>654</v>
      </c>
      <c r="D43" s="14" t="n">
        <f aca="false">IF(SW_GF_MODELCLASS="MoE-efficient",01_Data!$D$138,01_Data!$D$143)</f>
        <v>224</v>
      </c>
      <c r="E43" s="14" t="n">
        <f aca="false">IF(SW_GF_MODELCLASS="MoE-efficient",01_Data!$D$138,01_Data!$D$143)</f>
        <v>224</v>
      </c>
      <c r="F43" s="14" t="n">
        <f aca="false">IF(SW_GF_MODELCLASS="MoE-efficient",01_Data!$D$138,01_Data!$D$143)</f>
        <v>224</v>
      </c>
      <c r="G43" s="14" t="n">
        <f aca="false">IF(SW_GF_MODELCLASS="MoE-efficient",01_Data!$D$138,01_Data!$D$143)</f>
        <v>224</v>
      </c>
      <c r="H43" s="14" t="n">
        <f aca="false">IF(SW_GF_MODELCLASS="MoE-efficient",01_Data!$D$138,01_Data!$D$143)</f>
        <v>224</v>
      </c>
    </row>
    <row r="44" customFormat="false" ht="15" hidden="false" customHeight="false" outlineLevel="0" collapsed="false">
      <c r="A44" s="10" t="s">
        <v>1215</v>
      </c>
      <c r="B44" s="2" t="s">
        <v>65</v>
      </c>
      <c r="C44" s="2" t="s">
        <v>1216</v>
      </c>
      <c r="D44" s="17" t="n">
        <f aca="false">00_Assumptions!$E$12/(D43*00_Assumptions!$F$50*00_Assumptions!$E$14/00_Assumptions!$G$50)</f>
        <v>6.98953823953824</v>
      </c>
      <c r="E44" s="17" t="n">
        <f aca="false">00_Assumptions!$E$12/(E43*00_Assumptions!$F$50*00_Assumptions!$E$14/00_Assumptions!$G$50)</f>
        <v>6.98953823953824</v>
      </c>
      <c r="F44" s="17" t="n">
        <f aca="false">00_Assumptions!$E$12/(F43*00_Assumptions!$F$50*00_Assumptions!$E$14/00_Assumptions!$G$50)</f>
        <v>6.98953823953824</v>
      </c>
      <c r="G44" s="17" t="n">
        <f aca="false">00_Assumptions!$E$12/(G43*00_Assumptions!$F$50*00_Assumptions!$E$14/00_Assumptions!$G$50)</f>
        <v>6.98953823953824</v>
      </c>
      <c r="H44" s="17" t="n">
        <f aca="false">00_Assumptions!$E$12/(H43*00_Assumptions!$F$50*00_Assumptions!$E$14/00_Assumptions!$G$50)</f>
        <v>6.98953823953824</v>
      </c>
    </row>
    <row r="45" customFormat="false" ht="15" hidden="false" customHeight="false" outlineLevel="0" collapsed="false">
      <c r="A45" s="10" t="s">
        <v>1217</v>
      </c>
      <c r="B45" s="2" t="s">
        <v>62</v>
      </c>
      <c r="C45" s="2" t="s">
        <v>293</v>
      </c>
      <c r="D45" s="29" t="n">
        <f aca="false">D40*00_Assumptions!$J$50*D44/00_Assumptions!$E$50</f>
        <v>0</v>
      </c>
      <c r="E45" s="29" t="n">
        <f aca="false">E40*00_Assumptions!$J$50*E44/00_Assumptions!$E$50</f>
        <v>155.323071989739</v>
      </c>
      <c r="F45" s="29" t="n">
        <f aca="false">F40*00_Assumptions!$J$50*F44/00_Assumptions!$E$50</f>
        <v>776.615359948693</v>
      </c>
      <c r="G45" s="29" t="n">
        <f aca="false">G40*00_Assumptions!$J$50*G44/00_Assumptions!$E$50</f>
        <v>2329.84607984608</v>
      </c>
      <c r="H45" s="29" t="n">
        <f aca="false">H40*00_Assumptions!$J$50*H44/00_Assumptions!$E$50</f>
        <v>4659.69215969216</v>
      </c>
    </row>
    <row r="46" customFormat="false" ht="15" hidden="false" customHeight="false" outlineLevel="0" collapsed="false">
      <c r="A46" s="10" t="s">
        <v>1218</v>
      </c>
      <c r="B46" s="2" t="s">
        <v>29</v>
      </c>
      <c r="C46" s="2" t="s">
        <v>293</v>
      </c>
      <c r="D46" s="21" t="n">
        <f aca="false">IFERROR(00_Assumptions!$K$50-D44/D39,0)</f>
        <v>0.223384640051307</v>
      </c>
      <c r="E46" s="21" t="n">
        <f aca="false">IFERROR(00_Assumptions!$K$50-E44/E39,0)</f>
        <v>0.223384640051307</v>
      </c>
      <c r="F46" s="21" t="n">
        <f aca="false">IFERROR(00_Assumptions!$K$50-F44/F39,0)</f>
        <v>0.223384640051307</v>
      </c>
      <c r="G46" s="21" t="n">
        <f aca="false">IFERROR(00_Assumptions!$K$50-G44/G39,0)</f>
        <v>0.223384640051307</v>
      </c>
      <c r="H46" s="21" t="n">
        <f aca="false">IFERROR(00_Assumptions!$K$50-H44/H39,0)</f>
        <v>0.223384640051307</v>
      </c>
    </row>
    <row r="47" customFormat="false" ht="15" hidden="false" customHeight="false" outlineLevel="0" collapsed="false">
      <c r="A47" s="10" t="s">
        <v>1219</v>
      </c>
      <c r="B47" s="2" t="s">
        <v>1172</v>
      </c>
      <c r="C47" s="2" t="s">
        <v>1220</v>
      </c>
      <c r="D47" s="53" t="n">
        <f aca="false">IF(D36&gt;=00_Assumptions!$E$47,00_Assumptions!$K$50,00_Assumptions!$L$50)</f>
        <v>0</v>
      </c>
      <c r="E47" s="53" t="n">
        <f aca="false">IF(E36&gt;=00_Assumptions!$E$47,00_Assumptions!$K$50,00_Assumptions!$L$50)</f>
        <v>0</v>
      </c>
      <c r="F47" s="53" t="n">
        <f aca="false">IF(F36&gt;=00_Assumptions!$E$47,00_Assumptions!$K$50,00_Assumptions!$L$50)</f>
        <v>1</v>
      </c>
      <c r="G47" s="53" t="n">
        <f aca="false">IF(G36&gt;=00_Assumptions!$E$47,00_Assumptions!$K$50,00_Assumptions!$L$50)</f>
        <v>1</v>
      </c>
      <c r="H47" s="53" t="n">
        <f aca="false">IF(H36&gt;=00_Assumptions!$E$47,00_Assumptions!$K$50,00_Assumptions!$L$50)</f>
        <v>1</v>
      </c>
    </row>
    <row r="48" customFormat="false" ht="15" hidden="false" customHeight="false" outlineLevel="0" collapsed="false">
      <c r="A48" s="3" t="s">
        <v>1221</v>
      </c>
      <c r="D48" s="7" t="n">
        <f aca="false">IFERROR(MATCH(00_Assumptions!$K$50,D47:H47,0),"not by Y5")</f>
        <v>3</v>
      </c>
      <c r="E48" s="21" t="n">
        <f aca="false">00_Assumptions!$E$46</f>
        <v>0.7</v>
      </c>
      <c r="F48" s="2" t="s">
        <v>1222</v>
      </c>
    </row>
    <row r="56" customFormat="false" ht="15" hidden="false" customHeight="false" outlineLevel="0" collapsed="false">
      <c r="A56" s="34" t="s">
        <v>1224</v>
      </c>
      <c r="B56" s="35"/>
      <c r="C56" s="35"/>
      <c r="D56" s="35"/>
      <c r="E56" s="35"/>
      <c r="F56" s="35"/>
      <c r="G56" s="35"/>
      <c r="H56" s="35"/>
      <c r="I56" s="35"/>
      <c r="J56" s="35"/>
    </row>
    <row r="57" customFormat="false" ht="15" hidden="false" customHeight="false" outlineLevel="0" collapsed="false">
      <c r="A57" s="47" t="s">
        <v>1093</v>
      </c>
      <c r="B57" s="47" t="s">
        <v>12</v>
      </c>
      <c r="C57" s="47" t="s">
        <v>1094</v>
      </c>
      <c r="D57" s="48" t="str">
        <f aca="false">00_Assumptions!$D$3</f>
        <v>Y1</v>
      </c>
      <c r="E57" s="48" t="str">
        <f aca="false">00_Assumptions!$E$3</f>
        <v>Y2</v>
      </c>
      <c r="F57" s="48" t="str">
        <f aca="false">00_Assumptions!$F$3</f>
        <v>Y3</v>
      </c>
      <c r="G57" s="48" t="str">
        <f aca="false">00_Assumptions!$G$3</f>
        <v>Y4</v>
      </c>
      <c r="H57" s="48" t="str">
        <f aca="false">00_Assumptions!$H$3</f>
        <v>Y5</v>
      </c>
    </row>
    <row r="58" customFormat="false" ht="15" hidden="false" customHeight="false" outlineLevel="0" collapsed="false">
      <c r="A58" s="3" t="s">
        <v>1202</v>
      </c>
      <c r="B58" s="2" t="s">
        <v>62</v>
      </c>
      <c r="C58" s="2" t="s">
        <v>1203</v>
      </c>
      <c r="D58" s="8" t="n">
        <f aca="false">00_Assumptions!$D$77</f>
        <v>0</v>
      </c>
      <c r="E58" s="8" t="n">
        <f aca="false">00_Assumptions!$E$77</f>
        <v>100</v>
      </c>
      <c r="F58" s="8" t="n">
        <f aca="false">00_Assumptions!$F$77</f>
        <v>500</v>
      </c>
      <c r="G58" s="8" t="n">
        <f aca="false">00_Assumptions!$G$77</f>
        <v>1000</v>
      </c>
      <c r="H58" s="8" t="n">
        <f aca="false">00_Assumptions!$H$77</f>
        <v>3000</v>
      </c>
    </row>
    <row r="59" customFormat="false" ht="15" hidden="false" customHeight="false" outlineLevel="0" collapsed="false">
      <c r="A59" s="10" t="s">
        <v>1204</v>
      </c>
      <c r="B59" s="2" t="s">
        <v>65</v>
      </c>
      <c r="C59" s="2" t="s">
        <v>1205</v>
      </c>
      <c r="D59" s="17" t="n">
        <f aca="false">00_Assumptions!$F$28</f>
        <v>15</v>
      </c>
      <c r="E59" s="17" t="n">
        <f aca="false">00_Assumptions!$F$28</f>
        <v>15</v>
      </c>
      <c r="F59" s="17" t="n">
        <f aca="false">00_Assumptions!$F$28</f>
        <v>15</v>
      </c>
      <c r="G59" s="17" t="n">
        <f aca="false">00_Assumptions!$F$28</f>
        <v>15</v>
      </c>
      <c r="H59" s="17" t="n">
        <f aca="false">00_Assumptions!$F$28</f>
        <v>15</v>
      </c>
    </row>
    <row r="60" customFormat="false" ht="15" hidden="false" customHeight="false" outlineLevel="0" collapsed="false">
      <c r="A60" s="10" t="s">
        <v>1206</v>
      </c>
      <c r="B60" s="2" t="s">
        <v>29</v>
      </c>
      <c r="C60" s="2" t="s">
        <v>1207</v>
      </c>
      <c r="D60" s="21" t="n">
        <f aca="false">00_Assumptions!$F$29</f>
        <v>0.4</v>
      </c>
      <c r="E60" s="21" t="n">
        <f aca="false">00_Assumptions!$F$29</f>
        <v>0.4</v>
      </c>
      <c r="F60" s="21" t="n">
        <f aca="false">00_Assumptions!$F$29</f>
        <v>0.4</v>
      </c>
      <c r="G60" s="21" t="n">
        <f aca="false">00_Assumptions!$F$29</f>
        <v>0.4</v>
      </c>
      <c r="H60" s="21" t="n">
        <f aca="false">00_Assumptions!$F$29</f>
        <v>0.4</v>
      </c>
    </row>
    <row r="61" customFormat="false" ht="15" hidden="false" customHeight="false" outlineLevel="0" collapsed="false">
      <c r="A61" s="10" t="s">
        <v>1208</v>
      </c>
      <c r="B61" s="2" t="s">
        <v>65</v>
      </c>
      <c r="C61" s="2" t="s">
        <v>293</v>
      </c>
      <c r="D61" s="17" t="n">
        <f aca="false">D59*(00_Assumptions!$K$50-D60)</f>
        <v>9</v>
      </c>
      <c r="E61" s="17" t="n">
        <f aca="false">E59*(00_Assumptions!$K$50-E60)</f>
        <v>9</v>
      </c>
      <c r="F61" s="17" t="n">
        <f aca="false">F59*(00_Assumptions!$K$50-F60)</f>
        <v>9</v>
      </c>
      <c r="G61" s="17" t="n">
        <f aca="false">G59*(00_Assumptions!$K$50-G60)</f>
        <v>9</v>
      </c>
      <c r="H61" s="17" t="n">
        <f aca="false">H59*(00_Assumptions!$K$50-H60)</f>
        <v>9</v>
      </c>
    </row>
    <row r="62" customFormat="false" ht="15" hidden="false" customHeight="false" outlineLevel="0" collapsed="false">
      <c r="A62" s="10" t="s">
        <v>1209</v>
      </c>
      <c r="B62" s="2" t="s">
        <v>1210</v>
      </c>
      <c r="C62" s="2" t="s">
        <v>293</v>
      </c>
      <c r="D62" s="14" t="n">
        <f aca="false">IFERROR(D58*00_Assumptions!$E$50/D61/00_Assumptions!$J$50,0)</f>
        <v>0</v>
      </c>
      <c r="E62" s="14" t="n">
        <f aca="false">IFERROR(E58*00_Assumptions!$E$50/E61/00_Assumptions!$J$50,0)</f>
        <v>11111.1111111111</v>
      </c>
      <c r="F62" s="14" t="n">
        <f aca="false">IFERROR(F58*00_Assumptions!$E$50/F61/00_Assumptions!$J$50,0)</f>
        <v>55555.5555555556</v>
      </c>
      <c r="G62" s="14" t="n">
        <f aca="false">IFERROR(G58*00_Assumptions!$E$50/G61/00_Assumptions!$J$50,0)</f>
        <v>111111.111111111</v>
      </c>
      <c r="H62" s="14" t="n">
        <f aca="false">IFERROR(H58*00_Assumptions!$E$50/H61/00_Assumptions!$J$50,0)</f>
        <v>333333.333333333</v>
      </c>
    </row>
    <row r="63" customFormat="false" ht="15" hidden="false" customHeight="false" outlineLevel="0" collapsed="false">
      <c r="A63" s="10" t="s">
        <v>1211</v>
      </c>
      <c r="B63" s="2" t="s">
        <v>29</v>
      </c>
      <c r="C63" s="2" t="s">
        <v>1212</v>
      </c>
      <c r="D63" s="21" t="n">
        <f aca="false">00_Assumptions!$D$82</f>
        <v>0.641221374045802</v>
      </c>
      <c r="E63" s="21" t="n">
        <f aca="false">00_Assumptions!$E$82</f>
        <v>0.55</v>
      </c>
      <c r="F63" s="21" t="n">
        <f aca="false">00_Assumptions!$F$82</f>
        <v>0.4</v>
      </c>
      <c r="G63" s="21" t="n">
        <f aca="false">00_Assumptions!$G$82</f>
        <v>0.35</v>
      </c>
      <c r="H63" s="21" t="n">
        <f aca="false">00_Assumptions!$H$82</f>
        <v>0.3</v>
      </c>
    </row>
    <row r="64" customFormat="false" ht="15" hidden="false" customHeight="false" outlineLevel="0" collapsed="false">
      <c r="A64" s="3" t="s">
        <v>1213</v>
      </c>
      <c r="B64" s="2" t="s">
        <v>62</v>
      </c>
      <c r="C64" s="2" t="s">
        <v>293</v>
      </c>
      <c r="D64" s="8" t="n">
        <f aca="false">D58*D63*02_Compute!D60</f>
        <v>0</v>
      </c>
      <c r="E64" s="8" t="n">
        <f aca="false">E58*E63*02_Compute!E60</f>
        <v>55</v>
      </c>
      <c r="F64" s="8" t="n">
        <f aca="false">F58*F63*02_Compute!F60</f>
        <v>200</v>
      </c>
      <c r="G64" s="8" t="n">
        <f aca="false">G58*G63*02_Compute!G60</f>
        <v>350</v>
      </c>
      <c r="H64" s="8" t="n">
        <f aca="false">H58*H63*02_Compute!H60</f>
        <v>765</v>
      </c>
    </row>
    <row r="65" customFormat="false" ht="15" hidden="false" customHeight="false" outlineLevel="0" collapsed="false">
      <c r="A65" s="10" t="s">
        <v>1214</v>
      </c>
      <c r="B65" s="2" t="s">
        <v>651</v>
      </c>
      <c r="C65" s="2" t="s">
        <v>654</v>
      </c>
      <c r="D65" s="14" t="n">
        <f aca="false">IF(SW_GF_MODELCLASS="MoE-efficient",01_Data!$D$138,01_Data!$D$143)</f>
        <v>224</v>
      </c>
      <c r="E65" s="14" t="n">
        <f aca="false">IF(SW_GF_MODELCLASS="MoE-efficient",01_Data!$D$138,01_Data!$D$143)</f>
        <v>224</v>
      </c>
      <c r="F65" s="14" t="n">
        <f aca="false">IF(SW_GF_MODELCLASS="MoE-efficient",01_Data!$D$138,01_Data!$D$143)</f>
        <v>224</v>
      </c>
      <c r="G65" s="14" t="n">
        <f aca="false">IF(SW_GF_MODELCLASS="MoE-efficient",01_Data!$D$138,01_Data!$D$143)</f>
        <v>224</v>
      </c>
      <c r="H65" s="14" t="n">
        <f aca="false">IF(SW_GF_MODELCLASS="MoE-efficient",01_Data!$D$138,01_Data!$D$143)</f>
        <v>224</v>
      </c>
    </row>
    <row r="66" customFormat="false" ht="15" hidden="false" customHeight="false" outlineLevel="0" collapsed="false">
      <c r="A66" s="10" t="s">
        <v>1215</v>
      </c>
      <c r="B66" s="2" t="s">
        <v>65</v>
      </c>
      <c r="C66" s="2" t="s">
        <v>1216</v>
      </c>
      <c r="D66" s="17" t="n">
        <f aca="false">00_Assumptions!$F$12/(D65*00_Assumptions!$F$50*00_Assumptions!$F$14/00_Assumptions!$G$50)</f>
        <v>5.41125541125541</v>
      </c>
      <c r="E66" s="17" t="n">
        <f aca="false">00_Assumptions!$F$12/(E65*00_Assumptions!$F$50*00_Assumptions!$F$14/00_Assumptions!$G$50)</f>
        <v>5.41125541125541</v>
      </c>
      <c r="F66" s="17" t="n">
        <f aca="false">00_Assumptions!$F$12/(F65*00_Assumptions!$F$50*00_Assumptions!$F$14/00_Assumptions!$G$50)</f>
        <v>5.41125541125541</v>
      </c>
      <c r="G66" s="17" t="n">
        <f aca="false">00_Assumptions!$F$12/(G65*00_Assumptions!$F$50*00_Assumptions!$F$14/00_Assumptions!$G$50)</f>
        <v>5.41125541125541</v>
      </c>
      <c r="H66" s="17" t="n">
        <f aca="false">00_Assumptions!$F$12/(H65*00_Assumptions!$F$50*00_Assumptions!$F$14/00_Assumptions!$G$50)</f>
        <v>5.41125541125541</v>
      </c>
    </row>
    <row r="67" customFormat="false" ht="15" hidden="false" customHeight="false" outlineLevel="0" collapsed="false">
      <c r="A67" s="10" t="s">
        <v>1217</v>
      </c>
      <c r="B67" s="2" t="s">
        <v>62</v>
      </c>
      <c r="C67" s="2" t="s">
        <v>293</v>
      </c>
      <c r="D67" s="29" t="n">
        <f aca="false">D62*00_Assumptions!$J$50*D66/00_Assumptions!$E$50</f>
        <v>0</v>
      </c>
      <c r="E67" s="29" t="n">
        <f aca="false">E62*00_Assumptions!$J$50*E66/00_Assumptions!$E$50</f>
        <v>60.1250601250601</v>
      </c>
      <c r="F67" s="29" t="n">
        <f aca="false">F62*00_Assumptions!$J$50*F66/00_Assumptions!$E$50</f>
        <v>300.625300625301</v>
      </c>
      <c r="G67" s="29" t="n">
        <f aca="false">G62*00_Assumptions!$J$50*G66/00_Assumptions!$E$50</f>
        <v>601.250601250601</v>
      </c>
      <c r="H67" s="29" t="n">
        <f aca="false">H62*00_Assumptions!$J$50*H66/00_Assumptions!$E$50</f>
        <v>1803.7518037518</v>
      </c>
    </row>
    <row r="68" customFormat="false" ht="15" hidden="false" customHeight="false" outlineLevel="0" collapsed="false">
      <c r="A68" s="10" t="s">
        <v>1218</v>
      </c>
      <c r="B68" s="2" t="s">
        <v>29</v>
      </c>
      <c r="C68" s="2" t="s">
        <v>293</v>
      </c>
      <c r="D68" s="21" t="n">
        <f aca="false">IFERROR(00_Assumptions!$K$50-D66/D61,0)</f>
        <v>0.398749398749399</v>
      </c>
      <c r="E68" s="21" t="n">
        <f aca="false">IFERROR(00_Assumptions!$K$50-E66/E61,0)</f>
        <v>0.398749398749399</v>
      </c>
      <c r="F68" s="21" t="n">
        <f aca="false">IFERROR(00_Assumptions!$K$50-F66/F61,0)</f>
        <v>0.398749398749399</v>
      </c>
      <c r="G68" s="21" t="n">
        <f aca="false">IFERROR(00_Assumptions!$K$50-G66/G61,0)</f>
        <v>0.398749398749399</v>
      </c>
      <c r="H68" s="21" t="n">
        <f aca="false">IFERROR(00_Assumptions!$K$50-H66/H61,0)</f>
        <v>0.398749398749399</v>
      </c>
    </row>
    <row r="69" customFormat="false" ht="15" hidden="false" customHeight="false" outlineLevel="0" collapsed="false">
      <c r="A69" s="10" t="s">
        <v>1219</v>
      </c>
      <c r="B69" s="2" t="s">
        <v>1172</v>
      </c>
      <c r="C69" s="2" t="s">
        <v>1220</v>
      </c>
      <c r="D69" s="53" t="n">
        <f aca="false">IF(D58&gt;=00_Assumptions!$F$47,00_Assumptions!$K$50,00_Assumptions!$L$50)</f>
        <v>0</v>
      </c>
      <c r="E69" s="53" t="n">
        <f aca="false">IF(E58&gt;=00_Assumptions!$F$47,00_Assumptions!$K$50,00_Assumptions!$L$50)</f>
        <v>0</v>
      </c>
      <c r="F69" s="53" t="n">
        <f aca="false">IF(F58&gt;=00_Assumptions!$F$47,00_Assumptions!$K$50,00_Assumptions!$L$50)</f>
        <v>0</v>
      </c>
      <c r="G69" s="53" t="n">
        <f aca="false">IF(G58&gt;=00_Assumptions!$F$47,00_Assumptions!$K$50,00_Assumptions!$L$50)</f>
        <v>1</v>
      </c>
      <c r="H69" s="53" t="n">
        <f aca="false">IF(H58&gt;=00_Assumptions!$F$47,00_Assumptions!$K$50,00_Assumptions!$L$50)</f>
        <v>1</v>
      </c>
    </row>
    <row r="70" customFormat="false" ht="15" hidden="false" customHeight="false" outlineLevel="0" collapsed="false">
      <c r="A70" s="3" t="s">
        <v>1221</v>
      </c>
      <c r="D70" s="7" t="n">
        <f aca="false">IFERROR(MATCH(00_Assumptions!$K$50,D69:H69,0),"not by Y5")</f>
        <v>4</v>
      </c>
      <c r="E70" s="21" t="n">
        <f aca="false">00_Assumptions!$F$46</f>
        <v>0.7</v>
      </c>
      <c r="F70" s="2" t="s">
        <v>1222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9" min="4" style="1" width="14"/>
    <col collapsed="false" customWidth="true" hidden="false" outlineLevel="0" max="10" min="10" style="1" width="40"/>
  </cols>
  <sheetData>
    <row r="1" customFormat="false" ht="15" hidden="false" customHeight="false" outlineLevel="0" collapsed="false">
      <c r="A1" s="2" t="s">
        <v>1225</v>
      </c>
    </row>
    <row r="3" customFormat="false" ht="15" hidden="false" customHeight="false" outlineLevel="0" collapsed="false">
      <c r="A3" s="34" t="s">
        <v>1226</v>
      </c>
      <c r="B3" s="35"/>
      <c r="C3" s="35"/>
      <c r="D3" s="35"/>
      <c r="E3" s="35"/>
      <c r="F3" s="35"/>
      <c r="G3" s="35"/>
      <c r="H3" s="35"/>
      <c r="I3" s="35"/>
      <c r="J3" s="35"/>
    </row>
    <row r="4" customFormat="false" ht="15" hidden="false" customHeight="false" outlineLevel="0" collapsed="false">
      <c r="A4" s="47" t="s">
        <v>1093</v>
      </c>
      <c r="B4" s="47" t="s">
        <v>12</v>
      </c>
      <c r="C4" s="47" t="s">
        <v>1094</v>
      </c>
      <c r="D4" s="48" t="str">
        <f aca="false">00_Assumptions!$D$3</f>
        <v>Y1</v>
      </c>
      <c r="E4" s="48" t="str">
        <f aca="false">00_Assumptions!$E$3</f>
        <v>Y2</v>
      </c>
      <c r="F4" s="48" t="str">
        <f aca="false">00_Assumptions!$F$3</f>
        <v>Y3</v>
      </c>
      <c r="G4" s="48" t="str">
        <f aca="false">00_Assumptions!$G$3</f>
        <v>Y4</v>
      </c>
      <c r="H4" s="48" t="str">
        <f aca="false">00_Assumptions!$H$3</f>
        <v>Y5</v>
      </c>
    </row>
    <row r="5" customFormat="false" ht="15" hidden="false" customHeight="false" outlineLevel="0" collapsed="false">
      <c r="A5" s="10" t="s">
        <v>1227</v>
      </c>
      <c r="B5" s="2" t="s">
        <v>133</v>
      </c>
      <c r="C5" s="2" t="s">
        <v>1228</v>
      </c>
      <c r="D5" s="14" t="n">
        <f aca="false">00_Assumptions!$D$85</f>
        <v>100</v>
      </c>
      <c r="E5" s="14" t="n">
        <f aca="false">00_Assumptions!$E$85</f>
        <v>150</v>
      </c>
      <c r="F5" s="14" t="n">
        <f aca="false">00_Assumptions!$F$85</f>
        <v>200</v>
      </c>
      <c r="G5" s="14" t="n">
        <f aca="false">00_Assumptions!$G$85</f>
        <v>250</v>
      </c>
      <c r="H5" s="14" t="n">
        <f aca="false">00_Assumptions!$H$85</f>
        <v>300</v>
      </c>
    </row>
    <row r="6" customFormat="false" ht="15" hidden="false" customHeight="false" outlineLevel="0" collapsed="false">
      <c r="A6" s="10" t="s">
        <v>1229</v>
      </c>
      <c r="B6" s="2" t="s">
        <v>73</v>
      </c>
      <c r="C6" s="2" t="s">
        <v>1230</v>
      </c>
      <c r="D6" s="17" t="n">
        <f aca="false">00_Assumptions!$D$30*00_Assumptions!$D$31+00_Assumptions!$D$32*00_Assumptions!$D$33+(00_Assumptions!$K$50-00_Assumptions!$D$30-00_Assumptions!$D$32)*00_Assumptions!$D$34</f>
        <v>2.165</v>
      </c>
      <c r="E6" s="17" t="n">
        <f aca="false">00_Assumptions!$D$30*00_Assumptions!$D$31+00_Assumptions!$D$32*00_Assumptions!$D$33+(00_Assumptions!$K$50-00_Assumptions!$D$30-00_Assumptions!$D$32)*00_Assumptions!$D$34</f>
        <v>2.165</v>
      </c>
      <c r="F6" s="17" t="n">
        <f aca="false">00_Assumptions!$D$30*00_Assumptions!$D$31+00_Assumptions!$D$32*00_Assumptions!$D$33+(00_Assumptions!$K$50-00_Assumptions!$D$30-00_Assumptions!$D$32)*00_Assumptions!$D$34</f>
        <v>2.165</v>
      </c>
      <c r="G6" s="17" t="n">
        <f aca="false">00_Assumptions!$D$30*00_Assumptions!$D$31+00_Assumptions!$D$32*00_Assumptions!$D$33+(00_Assumptions!$K$50-00_Assumptions!$D$30-00_Assumptions!$D$32)*00_Assumptions!$D$34</f>
        <v>2.165</v>
      </c>
      <c r="H6" s="17" t="n">
        <f aca="false">00_Assumptions!$D$30*00_Assumptions!$D$31+00_Assumptions!$D$32*00_Assumptions!$D$33+(00_Assumptions!$K$50-00_Assumptions!$D$30-00_Assumptions!$D$32)*00_Assumptions!$D$34</f>
        <v>2.165</v>
      </c>
    </row>
    <row r="7" customFormat="false" ht="15" hidden="false" customHeight="false" outlineLevel="0" collapsed="false">
      <c r="A7" s="3" t="s">
        <v>1231</v>
      </c>
      <c r="B7" s="2" t="s">
        <v>62</v>
      </c>
      <c r="C7" s="2" t="s">
        <v>293</v>
      </c>
      <c r="D7" s="8" t="n">
        <f aca="false">D5*D6*(00_Assumptions!$K$50-00_Assumptions!$D$45)</f>
        <v>216.5</v>
      </c>
      <c r="E7" s="8" t="n">
        <f aca="false">E5*E6*(00_Assumptions!$K$50-00_Assumptions!$D$45)</f>
        <v>324.75</v>
      </c>
      <c r="F7" s="8" t="n">
        <f aca="false">F5*F6*(00_Assumptions!$K$50-00_Assumptions!$D$45)</f>
        <v>433</v>
      </c>
      <c r="G7" s="8" t="n">
        <f aca="false">G5*G6*(00_Assumptions!$K$50-00_Assumptions!$D$45)</f>
        <v>541.25</v>
      </c>
      <c r="H7" s="8" t="n">
        <f aca="false">H5*H6*(00_Assumptions!$K$50-00_Assumptions!$D$45)</f>
        <v>649.5</v>
      </c>
    </row>
    <row r="8" customFormat="false" ht="15" hidden="false" customHeight="false" outlineLevel="0" collapsed="false">
      <c r="A8" s="10" t="s">
        <v>1232</v>
      </c>
      <c r="B8" s="2" t="s">
        <v>62</v>
      </c>
      <c r="C8" s="2" t="s">
        <v>1233</v>
      </c>
      <c r="D8" s="29" t="n">
        <f aca="false">00_Assumptions!$D$90</f>
        <v>0</v>
      </c>
      <c r="E8" s="29" t="n">
        <f aca="false">00_Assumptions!$E$90</f>
        <v>0</v>
      </c>
      <c r="F8" s="29" t="n">
        <f aca="false">00_Assumptions!$F$90</f>
        <v>0</v>
      </c>
      <c r="G8" s="29" t="n">
        <f aca="false">00_Assumptions!$G$90</f>
        <v>0</v>
      </c>
      <c r="H8" s="29" t="n">
        <f aca="false">00_Assumptions!$H$90</f>
        <v>0</v>
      </c>
    </row>
    <row r="9" customFormat="false" ht="15" hidden="false" customHeight="false" outlineLevel="0" collapsed="false">
      <c r="A9" s="10" t="s">
        <v>1234</v>
      </c>
      <c r="B9" s="2" t="s">
        <v>62</v>
      </c>
      <c r="C9" s="2" t="s">
        <v>1235</v>
      </c>
      <c r="D9" s="29" t="n">
        <f aca="false">00_Assumptions!$D$39</f>
        <v>125</v>
      </c>
      <c r="E9" s="29" t="n">
        <f aca="false">00_Assumptions!$D$39</f>
        <v>125</v>
      </c>
      <c r="F9" s="29" t="n">
        <f aca="false">00_Assumptions!$D$39</f>
        <v>125</v>
      </c>
      <c r="G9" s="29" t="n">
        <f aca="false">00_Assumptions!$D$39</f>
        <v>125</v>
      </c>
      <c r="H9" s="29" t="n">
        <f aca="false">00_Assumptions!$D$39</f>
        <v>125</v>
      </c>
    </row>
    <row r="10" customFormat="false" ht="15" hidden="false" customHeight="false" outlineLevel="0" collapsed="false">
      <c r="A10" s="10" t="s">
        <v>1236</v>
      </c>
      <c r="B10" s="2" t="s">
        <v>62</v>
      </c>
      <c r="C10" s="2" t="s">
        <v>1237</v>
      </c>
      <c r="D10" s="29" t="n">
        <f aca="false">00_Assumptions!$D$95</f>
        <v>200</v>
      </c>
      <c r="E10" s="29" t="n">
        <f aca="false">00_Assumptions!$E$95</f>
        <v>200</v>
      </c>
      <c r="F10" s="29" t="n">
        <f aca="false">00_Assumptions!$F$95</f>
        <v>200</v>
      </c>
      <c r="G10" s="29" t="n">
        <f aca="false">00_Assumptions!$G$95</f>
        <v>200</v>
      </c>
      <c r="H10" s="29" t="n">
        <f aca="false">00_Assumptions!$H$95</f>
        <v>200</v>
      </c>
    </row>
    <row r="11" customFormat="false" ht="15" hidden="false" customHeight="false" outlineLevel="0" collapsed="false">
      <c r="A11" s="10" t="s">
        <v>1238</v>
      </c>
      <c r="B11" s="2" t="s">
        <v>62</v>
      </c>
      <c r="C11" s="2" t="s">
        <v>1239</v>
      </c>
      <c r="D11" s="29" t="n">
        <f aca="false">D7*00_Assumptions!$D$35</f>
        <v>6.495</v>
      </c>
      <c r="E11" s="29" t="n">
        <f aca="false">E7*00_Assumptions!$D$35</f>
        <v>9.7425</v>
      </c>
      <c r="F11" s="29" t="n">
        <f aca="false">F7*00_Assumptions!$D$35</f>
        <v>12.99</v>
      </c>
      <c r="G11" s="29" t="n">
        <f aca="false">G7*00_Assumptions!$D$35</f>
        <v>16.2375</v>
      </c>
      <c r="H11" s="29" t="n">
        <f aca="false">H7*00_Assumptions!$D$35</f>
        <v>19.485</v>
      </c>
    </row>
    <row r="12" customFormat="false" ht="15" hidden="false" customHeight="false" outlineLevel="0" collapsed="false">
      <c r="A12" s="10" t="s">
        <v>1240</v>
      </c>
      <c r="B12" s="2" t="s">
        <v>62</v>
      </c>
      <c r="C12" s="2" t="s">
        <v>1241</v>
      </c>
      <c r="D12" s="29" t="n">
        <f aca="false">00_Assumptions!$D$36+00_Assumptions!$D$37</f>
        <v>120</v>
      </c>
      <c r="E12" s="29" t="n">
        <f aca="false">00_Assumptions!$D$36+00_Assumptions!$D$37</f>
        <v>120</v>
      </c>
      <c r="F12" s="29" t="n">
        <f aca="false">00_Assumptions!$D$36+00_Assumptions!$D$37</f>
        <v>120</v>
      </c>
      <c r="G12" s="29" t="n">
        <f aca="false">00_Assumptions!$D$36+00_Assumptions!$D$37</f>
        <v>120</v>
      </c>
      <c r="H12" s="29" t="n">
        <f aca="false">00_Assumptions!$D$36+00_Assumptions!$D$37</f>
        <v>120</v>
      </c>
    </row>
    <row r="13" customFormat="false" ht="15" hidden="false" customHeight="false" outlineLevel="0" collapsed="false">
      <c r="A13" s="10" t="s">
        <v>1242</v>
      </c>
      <c r="B13" s="2" t="s">
        <v>62</v>
      </c>
      <c r="C13" s="2" t="s">
        <v>1243</v>
      </c>
      <c r="D13" s="29" t="n">
        <f aca="false">D7*00_Assumptions!$D$38</f>
        <v>43.3</v>
      </c>
      <c r="E13" s="29" t="n">
        <f aca="false">E7*00_Assumptions!$D$38</f>
        <v>64.95</v>
      </c>
      <c r="F13" s="29" t="n">
        <f aca="false">F7*00_Assumptions!$D$38</f>
        <v>86.6</v>
      </c>
      <c r="G13" s="29" t="n">
        <f aca="false">G7*00_Assumptions!$D$38</f>
        <v>108.25</v>
      </c>
      <c r="H13" s="29" t="n">
        <f aca="false">H7*00_Assumptions!$D$38</f>
        <v>129.9</v>
      </c>
    </row>
    <row r="14" customFormat="false" ht="15" hidden="false" customHeight="false" outlineLevel="0" collapsed="false">
      <c r="A14" s="10" t="s">
        <v>1244</v>
      </c>
      <c r="B14" s="2" t="s">
        <v>62</v>
      </c>
      <c r="C14" s="2" t="s">
        <v>1245</v>
      </c>
      <c r="D14" s="29" t="n">
        <f aca="false">IF(00_Assumptions!$D$2&lt;=00_Assumptions!$D$42,00_Assumptions!$D$40*(00_Assumptions!$K$50+00_Assumptions!$D$41),00_Assumptions!$L$50)</f>
        <v>0</v>
      </c>
      <c r="E14" s="29" t="n">
        <f aca="false">IF(00_Assumptions!$E$2&lt;=00_Assumptions!$D$42,00_Assumptions!$D$40*(00_Assumptions!$K$50+00_Assumptions!$D$41),00_Assumptions!$L$50)</f>
        <v>0</v>
      </c>
      <c r="F14" s="29" t="n">
        <f aca="false">IF(00_Assumptions!$F$2&lt;=00_Assumptions!$D$42,00_Assumptions!$D$40*(00_Assumptions!$K$50+00_Assumptions!$D$41),00_Assumptions!$L$50)</f>
        <v>0</v>
      </c>
      <c r="G14" s="29" t="n">
        <f aca="false">IF(00_Assumptions!$G$2&lt;=00_Assumptions!$D$42,00_Assumptions!$D$40*(00_Assumptions!$K$50+00_Assumptions!$D$41),00_Assumptions!$L$50)</f>
        <v>0</v>
      </c>
      <c r="H14" s="29" t="n">
        <f aca="false">IF(00_Assumptions!$H$2&lt;=00_Assumptions!$D$42,00_Assumptions!$D$40*(00_Assumptions!$K$50+00_Assumptions!$D$41),00_Assumptions!$L$50)</f>
        <v>0</v>
      </c>
    </row>
    <row r="15" customFormat="false" ht="15" hidden="false" customHeight="false" outlineLevel="0" collapsed="false">
      <c r="A15" s="3" t="s">
        <v>1246</v>
      </c>
      <c r="B15" s="2" t="s">
        <v>62</v>
      </c>
      <c r="C15" s="2" t="s">
        <v>1247</v>
      </c>
      <c r="D15" s="51" t="n">
        <f aca="false">D7+SUM(D8:D14)</f>
        <v>711.295</v>
      </c>
      <c r="E15" s="51" t="n">
        <f aca="false">E7+SUM(E8:E14)</f>
        <v>844.4425</v>
      </c>
      <c r="F15" s="51" t="n">
        <f aca="false">F7+SUM(F8:F14)</f>
        <v>977.59</v>
      </c>
      <c r="G15" s="51" t="n">
        <f aca="false">G7+SUM(G8:G14)</f>
        <v>1110.7375</v>
      </c>
      <c r="H15" s="51" t="n">
        <f aca="false">H7+SUM(H8:H14)</f>
        <v>1243.885</v>
      </c>
    </row>
    <row r="25" customFormat="false" ht="15" hidden="false" customHeight="false" outlineLevel="0" collapsed="false">
      <c r="A25" s="34" t="s">
        <v>1248</v>
      </c>
      <c r="B25" s="35"/>
      <c r="C25" s="35"/>
      <c r="D25" s="35"/>
      <c r="E25" s="35"/>
      <c r="F25" s="35"/>
      <c r="G25" s="35"/>
      <c r="H25" s="35"/>
      <c r="I25" s="35"/>
      <c r="J25" s="35"/>
    </row>
    <row r="26" customFormat="false" ht="15" hidden="false" customHeight="false" outlineLevel="0" collapsed="false">
      <c r="A26" s="47" t="s">
        <v>1093</v>
      </c>
      <c r="B26" s="47" t="s">
        <v>12</v>
      </c>
      <c r="C26" s="47" t="s">
        <v>1094</v>
      </c>
      <c r="D26" s="48" t="str">
        <f aca="false">00_Assumptions!$D$3</f>
        <v>Y1</v>
      </c>
      <c r="E26" s="48" t="str">
        <f aca="false">00_Assumptions!$E$3</f>
        <v>Y2</v>
      </c>
      <c r="F26" s="48" t="str">
        <f aca="false">00_Assumptions!$F$3</f>
        <v>Y3</v>
      </c>
      <c r="G26" s="48" t="str">
        <f aca="false">00_Assumptions!$G$3</f>
        <v>Y4</v>
      </c>
      <c r="H26" s="48" t="str">
        <f aca="false">00_Assumptions!$H$3</f>
        <v>Y5</v>
      </c>
    </row>
    <row r="27" customFormat="false" ht="15" hidden="false" customHeight="false" outlineLevel="0" collapsed="false">
      <c r="A27" s="10" t="s">
        <v>1227</v>
      </c>
      <c r="B27" s="2" t="s">
        <v>133</v>
      </c>
      <c r="C27" s="2" t="s">
        <v>1228</v>
      </c>
      <c r="D27" s="14" t="n">
        <f aca="false">00_Assumptions!$D$86</f>
        <v>500</v>
      </c>
      <c r="E27" s="14" t="n">
        <f aca="false">00_Assumptions!$E$86</f>
        <v>1125</v>
      </c>
      <c r="F27" s="14" t="n">
        <f aca="false">00_Assumptions!$F$86</f>
        <v>1750</v>
      </c>
      <c r="G27" s="14" t="n">
        <f aca="false">00_Assumptions!$G$86</f>
        <v>2375</v>
      </c>
      <c r="H27" s="14" t="n">
        <f aca="false">00_Assumptions!$H$86</f>
        <v>3000</v>
      </c>
    </row>
    <row r="28" customFormat="false" ht="15" hidden="false" customHeight="false" outlineLevel="0" collapsed="false">
      <c r="A28" s="10" t="s">
        <v>1229</v>
      </c>
      <c r="B28" s="2" t="s">
        <v>73</v>
      </c>
      <c r="C28" s="2" t="s">
        <v>1230</v>
      </c>
      <c r="D28" s="17" t="n">
        <f aca="false">00_Assumptions!$E$30*00_Assumptions!$E$31+00_Assumptions!$E$32*00_Assumptions!$E$33+(00_Assumptions!$K$50-00_Assumptions!$E$30-00_Assumptions!$E$32)*00_Assumptions!$E$34</f>
        <v>1.1521</v>
      </c>
      <c r="E28" s="17" t="n">
        <f aca="false">00_Assumptions!$E$30*00_Assumptions!$E$31+00_Assumptions!$E$32*00_Assumptions!$E$33+(00_Assumptions!$K$50-00_Assumptions!$E$30-00_Assumptions!$E$32)*00_Assumptions!$E$34</f>
        <v>1.1521</v>
      </c>
      <c r="F28" s="17" t="n">
        <f aca="false">00_Assumptions!$E$30*00_Assumptions!$E$31+00_Assumptions!$E$32*00_Assumptions!$E$33+(00_Assumptions!$K$50-00_Assumptions!$E$30-00_Assumptions!$E$32)*00_Assumptions!$E$34</f>
        <v>1.1521</v>
      </c>
      <c r="G28" s="17" t="n">
        <f aca="false">00_Assumptions!$E$30*00_Assumptions!$E$31+00_Assumptions!$E$32*00_Assumptions!$E$33+(00_Assumptions!$K$50-00_Assumptions!$E$30-00_Assumptions!$E$32)*00_Assumptions!$E$34</f>
        <v>1.1521</v>
      </c>
      <c r="H28" s="17" t="n">
        <f aca="false">00_Assumptions!$E$30*00_Assumptions!$E$31+00_Assumptions!$E$32*00_Assumptions!$E$33+(00_Assumptions!$K$50-00_Assumptions!$E$30-00_Assumptions!$E$32)*00_Assumptions!$E$34</f>
        <v>1.1521</v>
      </c>
    </row>
    <row r="29" customFormat="false" ht="15" hidden="false" customHeight="false" outlineLevel="0" collapsed="false">
      <c r="A29" s="3" t="s">
        <v>1231</v>
      </c>
      <c r="B29" s="2" t="s">
        <v>62</v>
      </c>
      <c r="C29" s="2" t="s">
        <v>293</v>
      </c>
      <c r="D29" s="8" t="n">
        <f aca="false">D27*D28*(00_Assumptions!$K$50-00_Assumptions!$E$45)</f>
        <v>576.05</v>
      </c>
      <c r="E29" s="8" t="n">
        <f aca="false">E27*E28*(00_Assumptions!$K$50-00_Assumptions!$E$45)</f>
        <v>1296.1125</v>
      </c>
      <c r="F29" s="8" t="n">
        <f aca="false">F27*F28*(00_Assumptions!$K$50-00_Assumptions!$E$45)</f>
        <v>2016.175</v>
      </c>
      <c r="G29" s="8" t="n">
        <f aca="false">G27*G28*(00_Assumptions!$K$50-00_Assumptions!$E$45)</f>
        <v>2736.2375</v>
      </c>
      <c r="H29" s="8" t="n">
        <f aca="false">H27*H28*(00_Assumptions!$K$50-00_Assumptions!$E$45)</f>
        <v>3456.3</v>
      </c>
    </row>
    <row r="30" customFormat="false" ht="15" hidden="false" customHeight="false" outlineLevel="0" collapsed="false">
      <c r="A30" s="10" t="s">
        <v>1232</v>
      </c>
      <c r="B30" s="2" t="s">
        <v>62</v>
      </c>
      <c r="C30" s="2" t="s">
        <v>1233</v>
      </c>
      <c r="D30" s="29" t="n">
        <f aca="false">00_Assumptions!$D$91</f>
        <v>0</v>
      </c>
      <c r="E30" s="29" t="n">
        <f aca="false">00_Assumptions!$E$91</f>
        <v>0</v>
      </c>
      <c r="F30" s="29" t="n">
        <f aca="false">00_Assumptions!$F$91</f>
        <v>750</v>
      </c>
      <c r="G30" s="29" t="n">
        <f aca="false">00_Assumptions!$G$91</f>
        <v>750</v>
      </c>
      <c r="H30" s="29" t="n">
        <f aca="false">00_Assumptions!$H$91</f>
        <v>750</v>
      </c>
    </row>
    <row r="31" customFormat="false" ht="15" hidden="false" customHeight="false" outlineLevel="0" collapsed="false">
      <c r="A31" s="10" t="s">
        <v>1234</v>
      </c>
      <c r="B31" s="2" t="s">
        <v>62</v>
      </c>
      <c r="C31" s="2" t="s">
        <v>1235</v>
      </c>
      <c r="D31" s="29" t="n">
        <f aca="false">00_Assumptions!$E$39</f>
        <v>650</v>
      </c>
      <c r="E31" s="29" t="n">
        <f aca="false">00_Assumptions!$E$39</f>
        <v>650</v>
      </c>
      <c r="F31" s="29" t="n">
        <f aca="false">00_Assumptions!$E$39</f>
        <v>650</v>
      </c>
      <c r="G31" s="29" t="n">
        <f aca="false">00_Assumptions!$E$39</f>
        <v>650</v>
      </c>
      <c r="H31" s="29" t="n">
        <f aca="false">00_Assumptions!$E$39</f>
        <v>650</v>
      </c>
    </row>
    <row r="32" customFormat="false" ht="15" hidden="false" customHeight="false" outlineLevel="0" collapsed="false">
      <c r="A32" s="10" t="s">
        <v>1236</v>
      </c>
      <c r="B32" s="2" t="s">
        <v>62</v>
      </c>
      <c r="C32" s="2" t="s">
        <v>1237</v>
      </c>
      <c r="D32" s="29" t="n">
        <f aca="false">00_Assumptions!$D$96</f>
        <v>500</v>
      </c>
      <c r="E32" s="29" t="n">
        <f aca="false">00_Assumptions!$E$96</f>
        <v>1000</v>
      </c>
      <c r="F32" s="29" t="n">
        <f aca="false">00_Assumptions!$F$96</f>
        <v>2000</v>
      </c>
      <c r="G32" s="29" t="n">
        <f aca="false">00_Assumptions!$G$96</f>
        <v>2000</v>
      </c>
      <c r="H32" s="29" t="n">
        <f aca="false">00_Assumptions!$H$96</f>
        <v>2000</v>
      </c>
    </row>
    <row r="33" customFormat="false" ht="15" hidden="false" customHeight="false" outlineLevel="0" collapsed="false">
      <c r="A33" s="10" t="s">
        <v>1238</v>
      </c>
      <c r="B33" s="2" t="s">
        <v>62</v>
      </c>
      <c r="C33" s="2" t="s">
        <v>1239</v>
      </c>
      <c r="D33" s="29" t="n">
        <f aca="false">D29*00_Assumptions!$E$35</f>
        <v>28.8025</v>
      </c>
      <c r="E33" s="29" t="n">
        <f aca="false">E29*00_Assumptions!$E$35</f>
        <v>64.805625</v>
      </c>
      <c r="F33" s="29" t="n">
        <f aca="false">F29*00_Assumptions!$E$35</f>
        <v>100.80875</v>
      </c>
      <c r="G33" s="29" t="n">
        <f aca="false">G29*00_Assumptions!$E$35</f>
        <v>136.811875</v>
      </c>
      <c r="H33" s="29" t="n">
        <f aca="false">H29*00_Assumptions!$E$35</f>
        <v>172.815</v>
      </c>
    </row>
    <row r="34" customFormat="false" ht="15" hidden="false" customHeight="false" outlineLevel="0" collapsed="false">
      <c r="A34" s="10" t="s">
        <v>1240</v>
      </c>
      <c r="B34" s="2" t="s">
        <v>62</v>
      </c>
      <c r="C34" s="2" t="s">
        <v>1241</v>
      </c>
      <c r="D34" s="29" t="n">
        <f aca="false">00_Assumptions!$E$36+00_Assumptions!$E$37</f>
        <v>350</v>
      </c>
      <c r="E34" s="29" t="n">
        <f aca="false">00_Assumptions!$E$36+00_Assumptions!$E$37</f>
        <v>350</v>
      </c>
      <c r="F34" s="29" t="n">
        <f aca="false">00_Assumptions!$E$36+00_Assumptions!$E$37</f>
        <v>350</v>
      </c>
      <c r="G34" s="29" t="n">
        <f aca="false">00_Assumptions!$E$36+00_Assumptions!$E$37</f>
        <v>350</v>
      </c>
      <c r="H34" s="29" t="n">
        <f aca="false">00_Assumptions!$E$36+00_Assumptions!$E$37</f>
        <v>350</v>
      </c>
    </row>
    <row r="35" customFormat="false" ht="15" hidden="false" customHeight="false" outlineLevel="0" collapsed="false">
      <c r="A35" s="10" t="s">
        <v>1242</v>
      </c>
      <c r="B35" s="2" t="s">
        <v>62</v>
      </c>
      <c r="C35" s="2" t="s">
        <v>1243</v>
      </c>
      <c r="D35" s="29" t="n">
        <f aca="false">D29*00_Assumptions!$E$38</f>
        <v>288.025</v>
      </c>
      <c r="E35" s="29" t="n">
        <f aca="false">E29*00_Assumptions!$E$38</f>
        <v>648.05625</v>
      </c>
      <c r="F35" s="29" t="n">
        <f aca="false">F29*00_Assumptions!$E$38</f>
        <v>1008.0875</v>
      </c>
      <c r="G35" s="29" t="n">
        <f aca="false">G29*00_Assumptions!$E$38</f>
        <v>1368.11875</v>
      </c>
      <c r="H35" s="29" t="n">
        <f aca="false">H29*00_Assumptions!$E$38</f>
        <v>1728.15</v>
      </c>
    </row>
    <row r="36" customFormat="false" ht="15" hidden="false" customHeight="false" outlineLevel="0" collapsed="false">
      <c r="A36" s="10" t="s">
        <v>1244</v>
      </c>
      <c r="B36" s="2" t="s">
        <v>62</v>
      </c>
      <c r="C36" s="2" t="s">
        <v>1245</v>
      </c>
      <c r="D36" s="29" t="n">
        <f aca="false">IF(00_Assumptions!$D$2&lt;=00_Assumptions!$E$42,00_Assumptions!$E$40*(00_Assumptions!$K$50+00_Assumptions!$E$41),00_Assumptions!$L$50)</f>
        <v>0</v>
      </c>
      <c r="E36" s="29" t="n">
        <f aca="false">IF(00_Assumptions!$E$2&lt;=00_Assumptions!$E$42,00_Assumptions!$E$40*(00_Assumptions!$K$50+00_Assumptions!$E$41),00_Assumptions!$L$50)</f>
        <v>0</v>
      </c>
      <c r="F36" s="29" t="n">
        <f aca="false">IF(00_Assumptions!$F$2&lt;=00_Assumptions!$E$42,00_Assumptions!$E$40*(00_Assumptions!$K$50+00_Assumptions!$E$41),00_Assumptions!$L$50)</f>
        <v>0</v>
      </c>
      <c r="G36" s="29" t="n">
        <f aca="false">IF(00_Assumptions!$G$2&lt;=00_Assumptions!$E$42,00_Assumptions!$E$40*(00_Assumptions!$K$50+00_Assumptions!$E$41),00_Assumptions!$L$50)</f>
        <v>0</v>
      </c>
      <c r="H36" s="29" t="n">
        <f aca="false">IF(00_Assumptions!$H$2&lt;=00_Assumptions!$E$42,00_Assumptions!$E$40*(00_Assumptions!$K$50+00_Assumptions!$E$41),00_Assumptions!$L$50)</f>
        <v>0</v>
      </c>
    </row>
    <row r="37" customFormat="false" ht="15" hidden="false" customHeight="false" outlineLevel="0" collapsed="false">
      <c r="A37" s="3" t="s">
        <v>1246</v>
      </c>
      <c r="B37" s="2" t="s">
        <v>62</v>
      </c>
      <c r="C37" s="2" t="s">
        <v>1247</v>
      </c>
      <c r="D37" s="51" t="n">
        <f aca="false">D29+SUM(D30:D36)</f>
        <v>2392.8775</v>
      </c>
      <c r="E37" s="51" t="n">
        <f aca="false">E29+SUM(E30:E36)</f>
        <v>4008.974375</v>
      </c>
      <c r="F37" s="51" t="n">
        <f aca="false">F29+SUM(F30:F36)</f>
        <v>6875.07125</v>
      </c>
      <c r="G37" s="51" t="n">
        <f aca="false">G29+SUM(G30:G36)</f>
        <v>7991.168125</v>
      </c>
      <c r="H37" s="51" t="n">
        <f aca="false">H29+SUM(H30:H36)</f>
        <v>9107.265</v>
      </c>
    </row>
    <row r="47" customFormat="false" ht="15" hidden="false" customHeight="false" outlineLevel="0" collapsed="false">
      <c r="A47" s="34" t="s">
        <v>1249</v>
      </c>
      <c r="B47" s="35"/>
      <c r="C47" s="35"/>
      <c r="D47" s="35"/>
      <c r="E47" s="35"/>
      <c r="F47" s="35"/>
      <c r="G47" s="35"/>
      <c r="H47" s="35"/>
      <c r="I47" s="35"/>
      <c r="J47" s="35"/>
    </row>
    <row r="48" customFormat="false" ht="15" hidden="false" customHeight="false" outlineLevel="0" collapsed="false">
      <c r="A48" s="47" t="s">
        <v>1093</v>
      </c>
      <c r="B48" s="47" t="s">
        <v>12</v>
      </c>
      <c r="C48" s="47" t="s">
        <v>1094</v>
      </c>
      <c r="D48" s="48" t="str">
        <f aca="false">00_Assumptions!$D$3</f>
        <v>Y1</v>
      </c>
      <c r="E48" s="48" t="str">
        <f aca="false">00_Assumptions!$E$3</f>
        <v>Y2</v>
      </c>
      <c r="F48" s="48" t="str">
        <f aca="false">00_Assumptions!$F$3</f>
        <v>Y3</v>
      </c>
      <c r="G48" s="48" t="str">
        <f aca="false">00_Assumptions!$G$3</f>
        <v>Y4</v>
      </c>
      <c r="H48" s="48" t="str">
        <f aca="false">00_Assumptions!$H$3</f>
        <v>Y5</v>
      </c>
    </row>
    <row r="49" customFormat="false" ht="15" hidden="false" customHeight="false" outlineLevel="0" collapsed="false">
      <c r="A49" s="10" t="s">
        <v>1227</v>
      </c>
      <c r="B49" s="2" t="s">
        <v>133</v>
      </c>
      <c r="C49" s="2" t="s">
        <v>1228</v>
      </c>
      <c r="D49" s="14" t="n">
        <f aca="false">00_Assumptions!$D$87</f>
        <v>800</v>
      </c>
      <c r="E49" s="14" t="n">
        <f aca="false">00_Assumptions!$E$87</f>
        <v>1600</v>
      </c>
      <c r="F49" s="14" t="n">
        <f aca="false">00_Assumptions!$F$87</f>
        <v>2400</v>
      </c>
      <c r="G49" s="14" t="n">
        <f aca="false">00_Assumptions!$G$87</f>
        <v>3200</v>
      </c>
      <c r="H49" s="14" t="n">
        <f aca="false">00_Assumptions!$H$87</f>
        <v>4000</v>
      </c>
    </row>
    <row r="50" customFormat="false" ht="15" hidden="false" customHeight="false" outlineLevel="0" collapsed="false">
      <c r="A50" s="10" t="s">
        <v>1229</v>
      </c>
      <c r="B50" s="2" t="s">
        <v>73</v>
      </c>
      <c r="C50" s="2" t="s">
        <v>1230</v>
      </c>
      <c r="D50" s="17" t="n">
        <f aca="false">00_Assumptions!$F$30*00_Assumptions!$F$31+00_Assumptions!$F$32*00_Assumptions!$F$33+(00_Assumptions!$K$50-00_Assumptions!$F$30-00_Assumptions!$F$32)*00_Assumptions!$F$34</f>
        <v>1.0074</v>
      </c>
      <c r="E50" s="17" t="n">
        <f aca="false">00_Assumptions!$F$30*00_Assumptions!$F$31+00_Assumptions!$F$32*00_Assumptions!$F$33+(00_Assumptions!$K$50-00_Assumptions!$F$30-00_Assumptions!$F$32)*00_Assumptions!$F$34</f>
        <v>1.0074</v>
      </c>
      <c r="F50" s="17" t="n">
        <f aca="false">00_Assumptions!$F$30*00_Assumptions!$F$31+00_Assumptions!$F$32*00_Assumptions!$F$33+(00_Assumptions!$K$50-00_Assumptions!$F$30-00_Assumptions!$F$32)*00_Assumptions!$F$34</f>
        <v>1.0074</v>
      </c>
      <c r="G50" s="17" t="n">
        <f aca="false">00_Assumptions!$F$30*00_Assumptions!$F$31+00_Assumptions!$F$32*00_Assumptions!$F$33+(00_Assumptions!$K$50-00_Assumptions!$F$30-00_Assumptions!$F$32)*00_Assumptions!$F$34</f>
        <v>1.0074</v>
      </c>
      <c r="H50" s="17" t="n">
        <f aca="false">00_Assumptions!$F$30*00_Assumptions!$F$31+00_Assumptions!$F$32*00_Assumptions!$F$33+(00_Assumptions!$K$50-00_Assumptions!$F$30-00_Assumptions!$F$32)*00_Assumptions!$F$34</f>
        <v>1.0074</v>
      </c>
    </row>
    <row r="51" customFormat="false" ht="15" hidden="false" customHeight="false" outlineLevel="0" collapsed="false">
      <c r="A51" s="3" t="s">
        <v>1231</v>
      </c>
      <c r="B51" s="2" t="s">
        <v>62</v>
      </c>
      <c r="C51" s="2" t="s">
        <v>293</v>
      </c>
      <c r="D51" s="8" t="n">
        <f aca="false">D49*D50*(00_Assumptions!$K$50-00_Assumptions!$F$45)</f>
        <v>725.328</v>
      </c>
      <c r="E51" s="8" t="n">
        <f aca="false">E49*E50*(00_Assumptions!$K$50-00_Assumptions!$F$45)</f>
        <v>1450.656</v>
      </c>
      <c r="F51" s="8" t="n">
        <f aca="false">F49*F50*(00_Assumptions!$K$50-00_Assumptions!$F$45)</f>
        <v>2175.984</v>
      </c>
      <c r="G51" s="8" t="n">
        <f aca="false">G49*G50*(00_Assumptions!$K$50-00_Assumptions!$F$45)</f>
        <v>2901.312</v>
      </c>
      <c r="H51" s="8" t="n">
        <f aca="false">H49*H50*(00_Assumptions!$K$50-00_Assumptions!$F$45)</f>
        <v>3626.64</v>
      </c>
    </row>
    <row r="52" customFormat="false" ht="15" hidden="false" customHeight="false" outlineLevel="0" collapsed="false">
      <c r="A52" s="10" t="s">
        <v>1232</v>
      </c>
      <c r="B52" s="2" t="s">
        <v>62</v>
      </c>
      <c r="C52" s="2" t="s">
        <v>1233</v>
      </c>
      <c r="D52" s="29" t="n">
        <f aca="false">00_Assumptions!$D$92</f>
        <v>0</v>
      </c>
      <c r="E52" s="29" t="n">
        <f aca="false">00_Assumptions!$E$92</f>
        <v>0</v>
      </c>
      <c r="F52" s="29" t="n">
        <f aca="false">00_Assumptions!$F$92</f>
        <v>750</v>
      </c>
      <c r="G52" s="29" t="n">
        <f aca="false">00_Assumptions!$G$92</f>
        <v>750</v>
      </c>
      <c r="H52" s="29" t="n">
        <f aca="false">00_Assumptions!$H$92</f>
        <v>750</v>
      </c>
    </row>
    <row r="53" customFormat="false" ht="15" hidden="false" customHeight="false" outlineLevel="0" collapsed="false">
      <c r="A53" s="10" t="s">
        <v>1234</v>
      </c>
      <c r="B53" s="2" t="s">
        <v>62</v>
      </c>
      <c r="C53" s="2" t="s">
        <v>1235</v>
      </c>
      <c r="D53" s="29" t="n">
        <f aca="false">00_Assumptions!$F$39</f>
        <v>650</v>
      </c>
      <c r="E53" s="29" t="n">
        <f aca="false">00_Assumptions!$F$39</f>
        <v>650</v>
      </c>
      <c r="F53" s="29" t="n">
        <f aca="false">00_Assumptions!$F$39</f>
        <v>650</v>
      </c>
      <c r="G53" s="29" t="n">
        <f aca="false">00_Assumptions!$F$39</f>
        <v>650</v>
      </c>
      <c r="H53" s="29" t="n">
        <f aca="false">00_Assumptions!$F$39</f>
        <v>650</v>
      </c>
    </row>
    <row r="54" customFormat="false" ht="15" hidden="false" customHeight="false" outlineLevel="0" collapsed="false">
      <c r="A54" s="10" t="s">
        <v>1236</v>
      </c>
      <c r="B54" s="2" t="s">
        <v>62</v>
      </c>
      <c r="C54" s="2" t="s">
        <v>1237</v>
      </c>
      <c r="D54" s="29" t="n">
        <f aca="false">00_Assumptions!$D$97</f>
        <v>500</v>
      </c>
      <c r="E54" s="29" t="n">
        <f aca="false">00_Assumptions!$E$97</f>
        <v>1000</v>
      </c>
      <c r="F54" s="29" t="n">
        <f aca="false">00_Assumptions!$F$97</f>
        <v>2000</v>
      </c>
      <c r="G54" s="29" t="n">
        <f aca="false">00_Assumptions!$G$97</f>
        <v>2000</v>
      </c>
      <c r="H54" s="29" t="n">
        <f aca="false">00_Assumptions!$H$97</f>
        <v>2000</v>
      </c>
    </row>
    <row r="55" customFormat="false" ht="15" hidden="false" customHeight="false" outlineLevel="0" collapsed="false">
      <c r="A55" s="10" t="s">
        <v>1238</v>
      </c>
      <c r="B55" s="2" t="s">
        <v>62</v>
      </c>
      <c r="C55" s="2" t="s">
        <v>1239</v>
      </c>
      <c r="D55" s="29" t="n">
        <f aca="false">D51*00_Assumptions!$F$35</f>
        <v>36.2664</v>
      </c>
      <c r="E55" s="29" t="n">
        <f aca="false">E51*00_Assumptions!$F$35</f>
        <v>72.5328</v>
      </c>
      <c r="F55" s="29" t="n">
        <f aca="false">F51*00_Assumptions!$F$35</f>
        <v>108.7992</v>
      </c>
      <c r="G55" s="29" t="n">
        <f aca="false">G51*00_Assumptions!$F$35</f>
        <v>145.0656</v>
      </c>
      <c r="H55" s="29" t="n">
        <f aca="false">H51*00_Assumptions!$F$35</f>
        <v>181.332</v>
      </c>
    </row>
    <row r="56" customFormat="false" ht="15" hidden="false" customHeight="false" outlineLevel="0" collapsed="false">
      <c r="A56" s="10" t="s">
        <v>1240</v>
      </c>
      <c r="B56" s="2" t="s">
        <v>62</v>
      </c>
      <c r="C56" s="2" t="s">
        <v>1241</v>
      </c>
      <c r="D56" s="29" t="n">
        <f aca="false">00_Assumptions!$F$36+00_Assumptions!$F$37</f>
        <v>350</v>
      </c>
      <c r="E56" s="29" t="n">
        <f aca="false">00_Assumptions!$F$36+00_Assumptions!$F$37</f>
        <v>350</v>
      </c>
      <c r="F56" s="29" t="n">
        <f aca="false">00_Assumptions!$F$36+00_Assumptions!$F$37</f>
        <v>350</v>
      </c>
      <c r="G56" s="29" t="n">
        <f aca="false">00_Assumptions!$F$36+00_Assumptions!$F$37</f>
        <v>350</v>
      </c>
      <c r="H56" s="29" t="n">
        <f aca="false">00_Assumptions!$F$36+00_Assumptions!$F$37</f>
        <v>350</v>
      </c>
    </row>
    <row r="57" customFormat="false" ht="15" hidden="false" customHeight="false" outlineLevel="0" collapsed="false">
      <c r="A57" s="10" t="s">
        <v>1242</v>
      </c>
      <c r="B57" s="2" t="s">
        <v>62</v>
      </c>
      <c r="C57" s="2" t="s">
        <v>1243</v>
      </c>
      <c r="D57" s="29" t="n">
        <f aca="false">D51*00_Assumptions!$F$38</f>
        <v>362.664</v>
      </c>
      <c r="E57" s="29" t="n">
        <f aca="false">E51*00_Assumptions!$F$38</f>
        <v>725.328</v>
      </c>
      <c r="F57" s="29" t="n">
        <f aca="false">F51*00_Assumptions!$F$38</f>
        <v>1087.992</v>
      </c>
      <c r="G57" s="29" t="n">
        <f aca="false">G51*00_Assumptions!$F$38</f>
        <v>1450.656</v>
      </c>
      <c r="H57" s="29" t="n">
        <f aca="false">H51*00_Assumptions!$F$38</f>
        <v>1813.32</v>
      </c>
    </row>
    <row r="58" customFormat="false" ht="15" hidden="false" customHeight="false" outlineLevel="0" collapsed="false">
      <c r="A58" s="10" t="s">
        <v>1244</v>
      </c>
      <c r="B58" s="2" t="s">
        <v>62</v>
      </c>
      <c r="C58" s="2" t="s">
        <v>1245</v>
      </c>
      <c r="D58" s="29" t="n">
        <f aca="false">IF(00_Assumptions!$D$2&lt;=00_Assumptions!$F$42,00_Assumptions!$F$40*(00_Assumptions!$K$50+00_Assumptions!$F$41),00_Assumptions!$L$50)</f>
        <v>2600</v>
      </c>
      <c r="E58" s="29" t="n">
        <f aca="false">IF(00_Assumptions!$E$2&lt;=00_Assumptions!$F$42,00_Assumptions!$F$40*(00_Assumptions!$K$50+00_Assumptions!$F$41),00_Assumptions!$L$50)</f>
        <v>2600</v>
      </c>
      <c r="F58" s="29" t="n">
        <f aca="false">IF(00_Assumptions!$F$2&lt;=00_Assumptions!$F$42,00_Assumptions!$F$40*(00_Assumptions!$K$50+00_Assumptions!$F$41),00_Assumptions!$L$50)</f>
        <v>2600</v>
      </c>
      <c r="G58" s="29" t="n">
        <f aca="false">IF(00_Assumptions!$G$2&lt;=00_Assumptions!$F$42,00_Assumptions!$F$40*(00_Assumptions!$K$50+00_Assumptions!$F$41),00_Assumptions!$L$50)</f>
        <v>2600</v>
      </c>
      <c r="H58" s="29" t="n">
        <f aca="false">IF(00_Assumptions!$H$2&lt;=00_Assumptions!$F$42,00_Assumptions!$F$40*(00_Assumptions!$K$50+00_Assumptions!$F$41),00_Assumptions!$L$50)</f>
        <v>0</v>
      </c>
    </row>
    <row r="59" customFormat="false" ht="15" hidden="false" customHeight="false" outlineLevel="0" collapsed="false">
      <c r="A59" s="3" t="s">
        <v>1246</v>
      </c>
      <c r="B59" s="2" t="s">
        <v>62</v>
      </c>
      <c r="C59" s="2" t="s">
        <v>1247</v>
      </c>
      <c r="D59" s="51" t="n">
        <f aca="false">D51+SUM(D52:D58)</f>
        <v>5224.2584</v>
      </c>
      <c r="E59" s="51" t="n">
        <f aca="false">E51+SUM(E52:E58)</f>
        <v>6848.5168</v>
      </c>
      <c r="F59" s="51" t="n">
        <f aca="false">F51+SUM(F52:F58)</f>
        <v>9722.7752</v>
      </c>
      <c r="G59" s="51" t="n">
        <f aca="false">G51+SUM(G52:G58)</f>
        <v>10847.0336</v>
      </c>
      <c r="H59" s="51" t="n">
        <f aca="false">H51+SUM(H52:H58)</f>
        <v>9371.292</v>
      </c>
    </row>
    <row r="69" customFormat="false" ht="15" hidden="false" customHeight="false" outlineLevel="0" collapsed="false">
      <c r="A69" s="2" t="s">
        <v>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9" min="4" style="1" width="14"/>
    <col collapsed="false" customWidth="true" hidden="false" outlineLevel="0" max="10" min="10" style="1" width="40"/>
  </cols>
  <sheetData>
    <row r="1" customFormat="false" ht="15" hidden="false" customHeight="false" outlineLevel="0" collapsed="false">
      <c r="A1" s="2" t="s">
        <v>1251</v>
      </c>
    </row>
    <row r="5" customFormat="false" ht="15" hidden="false" customHeight="false" outlineLevel="0" collapsed="false">
      <c r="A5" s="34" t="s">
        <v>1252</v>
      </c>
      <c r="B5" s="35"/>
      <c r="C5" s="35"/>
      <c r="D5" s="35"/>
      <c r="E5" s="35"/>
      <c r="F5" s="35"/>
      <c r="G5" s="35"/>
      <c r="H5" s="35"/>
      <c r="I5" s="35"/>
      <c r="J5" s="35"/>
    </row>
    <row r="6" customFormat="false" ht="15" hidden="false" customHeight="false" outlineLevel="0" collapsed="false">
      <c r="A6" s="47" t="s">
        <v>1093</v>
      </c>
      <c r="B6" s="47" t="s">
        <v>12</v>
      </c>
      <c r="C6" s="47" t="s">
        <v>1253</v>
      </c>
      <c r="D6" s="48" t="str">
        <f aca="false">00_Assumptions!$D$3</f>
        <v>Y1</v>
      </c>
      <c r="E6" s="48" t="str">
        <f aca="false">00_Assumptions!$E$3</f>
        <v>Y2</v>
      </c>
      <c r="F6" s="48" t="str">
        <f aca="false">00_Assumptions!$F$3</f>
        <v>Y3</v>
      </c>
      <c r="G6" s="48" t="str">
        <f aca="false">00_Assumptions!$G$3</f>
        <v>Y4</v>
      </c>
      <c r="H6" s="48" t="str">
        <f aca="false">00_Assumptions!$H$3</f>
        <v>Y5</v>
      </c>
    </row>
    <row r="7" customFormat="false" ht="15" hidden="false" customHeight="false" outlineLevel="0" collapsed="false">
      <c r="A7" s="10" t="s">
        <v>1254</v>
      </c>
      <c r="B7" s="2" t="s">
        <v>62</v>
      </c>
      <c r="C7" s="2" t="s">
        <v>1136</v>
      </c>
      <c r="D7" s="29" t="n">
        <f aca="false">02_Compute!D14</f>
        <v>394.2</v>
      </c>
      <c r="E7" s="29" t="n">
        <f aca="false">02_Compute!E14</f>
        <v>591.3</v>
      </c>
      <c r="F7" s="29" t="n">
        <f aca="false">02_Compute!F14</f>
        <v>788.4</v>
      </c>
      <c r="G7" s="29" t="n">
        <f aca="false">02_Compute!G14</f>
        <v>788.4</v>
      </c>
      <c r="H7" s="29" t="n">
        <f aca="false">02_Compute!H14</f>
        <v>788.4</v>
      </c>
    </row>
    <row r="8" customFormat="false" ht="15" hidden="false" customHeight="false" outlineLevel="0" collapsed="false">
      <c r="A8" s="10" t="s">
        <v>1255</v>
      </c>
      <c r="B8" s="2" t="s">
        <v>62</v>
      </c>
      <c r="C8" s="2" t="s">
        <v>1136</v>
      </c>
      <c r="D8" s="29" t="n">
        <f aca="false">02_Compute!D9</f>
        <v>0</v>
      </c>
      <c r="E8" s="29" t="n">
        <f aca="false">02_Compute!E9</f>
        <v>0</v>
      </c>
      <c r="F8" s="29" t="n">
        <f aca="false">02_Compute!F9</f>
        <v>0</v>
      </c>
      <c r="G8" s="29" t="n">
        <f aca="false">02_Compute!G9</f>
        <v>0</v>
      </c>
      <c r="H8" s="29" t="n">
        <f aca="false">02_Compute!H9</f>
        <v>0</v>
      </c>
    </row>
    <row r="9" customFormat="false" ht="15" hidden="false" customHeight="false" outlineLevel="0" collapsed="false">
      <c r="A9" s="10" t="s">
        <v>1256</v>
      </c>
      <c r="B9" s="2" t="s">
        <v>62</v>
      </c>
      <c r="C9" s="2" t="s">
        <v>1136</v>
      </c>
      <c r="D9" s="29" t="n">
        <f aca="false">02_Compute!D10</f>
        <v>0</v>
      </c>
      <c r="E9" s="29" t="n">
        <f aca="false">02_Compute!E10</f>
        <v>0</v>
      </c>
      <c r="F9" s="29" t="n">
        <f aca="false">02_Compute!F10</f>
        <v>0</v>
      </c>
      <c r="G9" s="29" t="n">
        <f aca="false">02_Compute!G10</f>
        <v>0</v>
      </c>
      <c r="H9" s="29" t="n">
        <f aca="false">02_Compute!H10</f>
        <v>0</v>
      </c>
    </row>
    <row r="10" customFormat="false" ht="15" hidden="false" customHeight="false" outlineLevel="0" collapsed="false">
      <c r="A10" s="10" t="s">
        <v>1257</v>
      </c>
      <c r="B10" s="2" t="s">
        <v>62</v>
      </c>
      <c r="C10" s="2" t="s">
        <v>1136</v>
      </c>
      <c r="D10" s="29" t="n">
        <f aca="false">02_Compute!D11</f>
        <v>0</v>
      </c>
      <c r="E10" s="29" t="n">
        <f aca="false">02_Compute!E11</f>
        <v>0</v>
      </c>
      <c r="F10" s="29" t="n">
        <f aca="false">02_Compute!F11</f>
        <v>0</v>
      </c>
      <c r="G10" s="29" t="n">
        <f aca="false">02_Compute!G11</f>
        <v>0</v>
      </c>
      <c r="H10" s="29" t="n">
        <f aca="false">02_Compute!H11</f>
        <v>0</v>
      </c>
    </row>
    <row r="11" customFormat="false" ht="15" hidden="false" customHeight="false" outlineLevel="0" collapsed="false">
      <c r="A11" s="10" t="s">
        <v>1258</v>
      </c>
      <c r="B11" s="2" t="s">
        <v>62</v>
      </c>
      <c r="C11" s="2" t="s">
        <v>1259</v>
      </c>
      <c r="D11" s="29" t="n">
        <f aca="false">03_Facility!D10</f>
        <v>0</v>
      </c>
      <c r="E11" s="29" t="n">
        <f aca="false">03_Facility!E10</f>
        <v>0</v>
      </c>
      <c r="F11" s="29" t="n">
        <f aca="false">03_Facility!F10</f>
        <v>0</v>
      </c>
      <c r="G11" s="29" t="n">
        <f aca="false">03_Facility!G10</f>
        <v>0</v>
      </c>
      <c r="H11" s="29" t="n">
        <f aca="false">03_Facility!H10</f>
        <v>0</v>
      </c>
    </row>
    <row r="12" customFormat="false" ht="15" hidden="false" customHeight="false" outlineLevel="0" collapsed="false">
      <c r="A12" s="10" t="s">
        <v>1260</v>
      </c>
      <c r="B12" s="2" t="s">
        <v>62</v>
      </c>
      <c r="C12" s="2" t="s">
        <v>1259</v>
      </c>
      <c r="D12" s="29" t="n">
        <f aca="false">03_Facility!D9</f>
        <v>0</v>
      </c>
      <c r="E12" s="29" t="n">
        <f aca="false">03_Facility!E9</f>
        <v>0</v>
      </c>
      <c r="F12" s="29" t="n">
        <f aca="false">03_Facility!F9</f>
        <v>0</v>
      </c>
      <c r="G12" s="29" t="n">
        <f aca="false">03_Facility!G9</f>
        <v>0</v>
      </c>
      <c r="H12" s="29" t="n">
        <f aca="false">03_Facility!H9</f>
        <v>0</v>
      </c>
    </row>
    <row r="13" customFormat="false" ht="15" hidden="false" customHeight="false" outlineLevel="0" collapsed="false">
      <c r="A13" s="10" t="s">
        <v>1261</v>
      </c>
      <c r="B13" s="2" t="s">
        <v>62</v>
      </c>
      <c r="C13" s="2" t="s">
        <v>1259</v>
      </c>
      <c r="D13" s="29" t="n">
        <f aca="false">03_Facility!D8</f>
        <v>0</v>
      </c>
      <c r="E13" s="29" t="n">
        <f aca="false">03_Facility!E8</f>
        <v>0</v>
      </c>
      <c r="F13" s="29" t="n">
        <f aca="false">03_Facility!F8</f>
        <v>0</v>
      </c>
      <c r="G13" s="29" t="n">
        <f aca="false">03_Facility!G8</f>
        <v>0</v>
      </c>
      <c r="H13" s="29" t="n">
        <f aca="false">03_Facility!H8</f>
        <v>0</v>
      </c>
    </row>
    <row r="14" customFormat="false" ht="15" hidden="false" customHeight="false" outlineLevel="0" collapsed="false">
      <c r="A14" s="10" t="s">
        <v>1262</v>
      </c>
      <c r="B14" s="2" t="s">
        <v>62</v>
      </c>
      <c r="C14" s="2" t="s">
        <v>1263</v>
      </c>
      <c r="D14" s="29" t="n">
        <f aca="false">04_Training!D11</f>
        <v>0</v>
      </c>
      <c r="E14" s="29" t="n">
        <f aca="false">04_Training!E11</f>
        <v>0</v>
      </c>
      <c r="F14" s="29" t="n">
        <f aca="false">04_Training!F11</f>
        <v>0</v>
      </c>
      <c r="G14" s="29" t="n">
        <f aca="false">04_Training!G11</f>
        <v>0</v>
      </c>
      <c r="H14" s="29" t="n">
        <f aca="false">04_Training!H11</f>
        <v>0</v>
      </c>
    </row>
    <row r="15" customFormat="false" ht="15" hidden="false" customHeight="false" outlineLevel="0" collapsed="false">
      <c r="A15" s="10" t="s">
        <v>1264</v>
      </c>
      <c r="B15" s="2" t="s">
        <v>62</v>
      </c>
      <c r="C15" s="2" t="s">
        <v>1165</v>
      </c>
      <c r="D15" s="29" t="n">
        <f aca="false">05_Inference!D20</f>
        <v>0</v>
      </c>
      <c r="E15" s="29" t="n">
        <f aca="false">05_Inference!E20</f>
        <v>32.0610687022901</v>
      </c>
      <c r="F15" s="29" t="n">
        <f aca="false">05_Inference!F20</f>
        <v>135</v>
      </c>
      <c r="G15" s="29" t="n">
        <f aca="false">05_Inference!G20</f>
        <v>400</v>
      </c>
      <c r="H15" s="29" t="n">
        <f aca="false">05_Inference!H20</f>
        <v>700</v>
      </c>
    </row>
    <row r="16" customFormat="false" ht="15" hidden="false" customHeight="false" outlineLevel="0" collapsed="false">
      <c r="A16" s="10" t="s">
        <v>1265</v>
      </c>
      <c r="B16" s="2" t="s">
        <v>62</v>
      </c>
      <c r="C16" s="2" t="s">
        <v>1266</v>
      </c>
      <c r="D16" s="29" t="n">
        <f aca="false">06_People_Other!D7</f>
        <v>216.5</v>
      </c>
      <c r="E16" s="29" t="n">
        <f aca="false">06_People_Other!E7</f>
        <v>324.75</v>
      </c>
      <c r="F16" s="29" t="n">
        <f aca="false">06_People_Other!F7</f>
        <v>433</v>
      </c>
      <c r="G16" s="29" t="n">
        <f aca="false">06_People_Other!G7</f>
        <v>541.25</v>
      </c>
      <c r="H16" s="29" t="n">
        <f aca="false">06_People_Other!H7</f>
        <v>649.5</v>
      </c>
    </row>
    <row r="17" customFormat="false" ht="15" hidden="false" customHeight="false" outlineLevel="0" collapsed="false">
      <c r="A17" s="10" t="s">
        <v>1267</v>
      </c>
      <c r="B17" s="2" t="s">
        <v>62</v>
      </c>
      <c r="C17" s="2" t="s">
        <v>1266</v>
      </c>
      <c r="D17" s="29" t="n">
        <f aca="false">06_People_Other!D8</f>
        <v>0</v>
      </c>
      <c r="E17" s="29" t="n">
        <f aca="false">06_People_Other!E8</f>
        <v>0</v>
      </c>
      <c r="F17" s="29" t="n">
        <f aca="false">06_People_Other!F8</f>
        <v>0</v>
      </c>
      <c r="G17" s="29" t="n">
        <f aca="false">06_People_Other!G8</f>
        <v>0</v>
      </c>
      <c r="H17" s="29" t="n">
        <f aca="false">06_People_Other!H8</f>
        <v>0</v>
      </c>
    </row>
    <row r="18" customFormat="false" ht="15" hidden="false" customHeight="false" outlineLevel="0" collapsed="false">
      <c r="A18" s="10" t="s">
        <v>1268</v>
      </c>
      <c r="B18" s="2" t="s">
        <v>62</v>
      </c>
      <c r="C18" s="2" t="s">
        <v>1266</v>
      </c>
      <c r="D18" s="29" t="n">
        <f aca="false">06_People_Other!D9+06_People_Other!D10</f>
        <v>325</v>
      </c>
      <c r="E18" s="29" t="n">
        <f aca="false">06_People_Other!E9+06_People_Other!E10</f>
        <v>325</v>
      </c>
      <c r="F18" s="29" t="n">
        <f aca="false">06_People_Other!F9+06_People_Other!F10</f>
        <v>325</v>
      </c>
      <c r="G18" s="29" t="n">
        <f aca="false">06_People_Other!G9+06_People_Other!G10</f>
        <v>325</v>
      </c>
      <c r="H18" s="29" t="n">
        <f aca="false">06_People_Other!H9+06_People_Other!H10</f>
        <v>325</v>
      </c>
    </row>
    <row r="19" customFormat="false" ht="15" hidden="false" customHeight="false" outlineLevel="0" collapsed="false">
      <c r="A19" s="10" t="s">
        <v>1269</v>
      </c>
      <c r="B19" s="2" t="s">
        <v>62</v>
      </c>
      <c r="C19" s="2" t="s">
        <v>1266</v>
      </c>
      <c r="D19" s="29" t="n">
        <f aca="false">06_People_Other!D11</f>
        <v>6.495</v>
      </c>
      <c r="E19" s="29" t="n">
        <f aca="false">06_People_Other!E11</f>
        <v>9.7425</v>
      </c>
      <c r="F19" s="29" t="n">
        <f aca="false">06_People_Other!F11</f>
        <v>12.99</v>
      </c>
      <c r="G19" s="29" t="n">
        <f aca="false">06_People_Other!G11</f>
        <v>16.2375</v>
      </c>
      <c r="H19" s="29" t="n">
        <f aca="false">06_People_Other!H11</f>
        <v>19.485</v>
      </c>
    </row>
    <row r="20" customFormat="false" ht="15" hidden="false" customHeight="false" outlineLevel="0" collapsed="false">
      <c r="A20" s="10" t="s">
        <v>1270</v>
      </c>
      <c r="B20" s="2" t="s">
        <v>62</v>
      </c>
      <c r="C20" s="2" t="s">
        <v>1266</v>
      </c>
      <c r="D20" s="29" t="n">
        <f aca="false">06_People_Other!D12</f>
        <v>120</v>
      </c>
      <c r="E20" s="29" t="n">
        <f aca="false">06_People_Other!E12</f>
        <v>120</v>
      </c>
      <c r="F20" s="29" t="n">
        <f aca="false">06_People_Other!F12</f>
        <v>120</v>
      </c>
      <c r="G20" s="29" t="n">
        <f aca="false">06_People_Other!G12</f>
        <v>120</v>
      </c>
      <c r="H20" s="29" t="n">
        <f aca="false">06_People_Other!H12</f>
        <v>120</v>
      </c>
    </row>
    <row r="21" customFormat="false" ht="15" hidden="false" customHeight="false" outlineLevel="0" collapsed="false">
      <c r="A21" s="10" t="s">
        <v>1271</v>
      </c>
      <c r="B21" s="2" t="s">
        <v>62</v>
      </c>
      <c r="C21" s="2" t="s">
        <v>1266</v>
      </c>
      <c r="D21" s="29" t="n">
        <f aca="false">06_People_Other!D13</f>
        <v>43.3</v>
      </c>
      <c r="E21" s="29" t="n">
        <f aca="false">06_People_Other!E13</f>
        <v>64.95</v>
      </c>
      <c r="F21" s="29" t="n">
        <f aca="false">06_People_Other!F13</f>
        <v>86.6</v>
      </c>
      <c r="G21" s="29" t="n">
        <f aca="false">06_People_Other!G13</f>
        <v>108.25</v>
      </c>
      <c r="H21" s="29" t="n">
        <f aca="false">06_People_Other!H13</f>
        <v>129.9</v>
      </c>
    </row>
    <row r="22" customFormat="false" ht="15" hidden="false" customHeight="false" outlineLevel="0" collapsed="false">
      <c r="A22" s="10" t="s">
        <v>1272</v>
      </c>
      <c r="B22" s="2" t="s">
        <v>62</v>
      </c>
      <c r="C22" s="2" t="s">
        <v>1266</v>
      </c>
      <c r="D22" s="29" t="n">
        <f aca="false">06_People_Other!D14</f>
        <v>0</v>
      </c>
      <c r="E22" s="29" t="n">
        <f aca="false">06_People_Other!E14</f>
        <v>0</v>
      </c>
      <c r="F22" s="29" t="n">
        <f aca="false">06_People_Other!F14</f>
        <v>0</v>
      </c>
      <c r="G22" s="29" t="n">
        <f aca="false">06_People_Other!G14</f>
        <v>0</v>
      </c>
      <c r="H22" s="29" t="n">
        <f aca="false">06_People_Other!H14</f>
        <v>0</v>
      </c>
    </row>
    <row r="23" customFormat="false" ht="15" hidden="false" customHeight="false" outlineLevel="0" collapsed="false">
      <c r="A23" s="3" t="s">
        <v>1273</v>
      </c>
      <c r="B23" s="2" t="s">
        <v>62</v>
      </c>
      <c r="C23" s="2" t="s">
        <v>1247</v>
      </c>
      <c r="D23" s="51" t="n">
        <f aca="false">SUM(D7:D22)</f>
        <v>1105.495</v>
      </c>
      <c r="E23" s="51" t="n">
        <f aca="false">SUM(E7:E22)</f>
        <v>1467.80356870229</v>
      </c>
      <c r="F23" s="51" t="n">
        <f aca="false">SUM(F7:F22)</f>
        <v>1900.99</v>
      </c>
      <c r="G23" s="51" t="n">
        <f aca="false">SUM(G7:G22)</f>
        <v>2299.1375</v>
      </c>
      <c r="H23" s="51" t="n">
        <f aca="false">SUM(H7:H22)</f>
        <v>2732.285</v>
      </c>
    </row>
    <row r="24" customFormat="false" ht="15" hidden="false" customHeight="false" outlineLevel="0" collapsed="false">
      <c r="A24" s="10" t="s">
        <v>1274</v>
      </c>
      <c r="B24" s="2" t="s">
        <v>62</v>
      </c>
      <c r="C24" s="2" t="s">
        <v>1165</v>
      </c>
      <c r="D24" s="29" t="n">
        <f aca="false">05_Inference!D14</f>
        <v>0</v>
      </c>
      <c r="E24" s="29" t="n">
        <f aca="false">05_Inference!E14</f>
        <v>50</v>
      </c>
      <c r="F24" s="29" t="n">
        <f aca="false">05_Inference!F14</f>
        <v>300</v>
      </c>
      <c r="G24" s="29" t="n">
        <f aca="false">05_Inference!G14</f>
        <v>1000</v>
      </c>
      <c r="H24" s="29" t="n">
        <f aca="false">05_Inference!H14</f>
        <v>2000</v>
      </c>
    </row>
    <row r="25" customFormat="false" ht="15" hidden="false" customHeight="false" outlineLevel="0" collapsed="false">
      <c r="A25" s="3" t="s">
        <v>1275</v>
      </c>
      <c r="B25" s="2" t="s">
        <v>62</v>
      </c>
      <c r="C25" s="2" t="s">
        <v>293</v>
      </c>
      <c r="D25" s="51" t="n">
        <f aca="false">D23-D24</f>
        <v>1105.495</v>
      </c>
      <c r="E25" s="51" t="n">
        <f aca="false">E23-E24</f>
        <v>1417.80356870229</v>
      </c>
      <c r="F25" s="51" t="n">
        <f aca="false">F23-F24</f>
        <v>1600.99</v>
      </c>
      <c r="G25" s="51" t="n">
        <f aca="false">G23-G24</f>
        <v>1299.1375</v>
      </c>
      <c r="H25" s="51" t="n">
        <f aca="false">H23-H24</f>
        <v>732.285</v>
      </c>
    </row>
    <row r="26" customFormat="false" ht="15" hidden="false" customHeight="false" outlineLevel="0" collapsed="false">
      <c r="A26" s="10" t="s">
        <v>1276</v>
      </c>
      <c r="B26" s="2" t="s">
        <v>62</v>
      </c>
      <c r="C26" s="2" t="s">
        <v>1136</v>
      </c>
      <c r="D26" s="29" t="n">
        <f aca="false">02_Compute!D17</f>
        <v>0</v>
      </c>
      <c r="E26" s="29" t="n">
        <f aca="false">02_Compute!E17</f>
        <v>0</v>
      </c>
      <c r="F26" s="29" t="n">
        <f aca="false">02_Compute!F17</f>
        <v>0</v>
      </c>
      <c r="G26" s="29" t="n">
        <f aca="false">02_Compute!G17</f>
        <v>0</v>
      </c>
      <c r="H26" s="29" t="n">
        <f aca="false">02_Compute!H17</f>
        <v>0</v>
      </c>
    </row>
    <row r="27" customFormat="false" ht="15" hidden="false" customHeight="false" outlineLevel="0" collapsed="false">
      <c r="A27" s="10" t="s">
        <v>1277</v>
      </c>
      <c r="B27" s="2" t="s">
        <v>62</v>
      </c>
      <c r="C27" s="2" t="s">
        <v>1136</v>
      </c>
      <c r="D27" s="29" t="n">
        <f aca="false">02_Compute!D21+02_Compute!D18</f>
        <v>0</v>
      </c>
      <c r="E27" s="29" t="n">
        <f aca="false">02_Compute!E21+02_Compute!E18</f>
        <v>0</v>
      </c>
      <c r="F27" s="29" t="n">
        <f aca="false">02_Compute!F21+02_Compute!F18</f>
        <v>0</v>
      </c>
      <c r="G27" s="29" t="n">
        <f aca="false">02_Compute!G21+02_Compute!G18</f>
        <v>0</v>
      </c>
      <c r="H27" s="29" t="n">
        <f aca="false">02_Compute!H21+02_Compute!H18</f>
        <v>0</v>
      </c>
    </row>
    <row r="28" customFormat="false" ht="15" hidden="false" customHeight="false" outlineLevel="0" collapsed="false">
      <c r="A28" s="3" t="s">
        <v>1278</v>
      </c>
      <c r="B28" s="2" t="s">
        <v>62</v>
      </c>
      <c r="C28" s="2" t="s">
        <v>293</v>
      </c>
      <c r="D28" s="51" t="n">
        <f aca="false">D25-D26+D27</f>
        <v>1105.495</v>
      </c>
      <c r="E28" s="51" t="n">
        <f aca="false">E25-E26+E27</f>
        <v>1417.80356870229</v>
      </c>
      <c r="F28" s="51" t="n">
        <f aca="false">F25-F26+F27</f>
        <v>1600.99</v>
      </c>
      <c r="G28" s="51" t="n">
        <f aca="false">G25-G26+G27</f>
        <v>1299.1375</v>
      </c>
      <c r="H28" s="51" t="n">
        <f aca="false">H25-H26+H27</f>
        <v>732.285</v>
      </c>
    </row>
    <row r="29" customFormat="false" ht="15" hidden="false" customHeight="false" outlineLevel="0" collapsed="false">
      <c r="A29" s="3" t="s">
        <v>1279</v>
      </c>
      <c r="B29" s="2" t="s">
        <v>62</v>
      </c>
      <c r="C29" s="2" t="s">
        <v>1280</v>
      </c>
      <c r="D29" s="51" t="n">
        <f aca="false">D28</f>
        <v>1105.495</v>
      </c>
      <c r="E29" s="51" t="n">
        <f aca="false">D29+E28</f>
        <v>2523.29856870229</v>
      </c>
      <c r="F29" s="51" t="n">
        <f aca="false">E29+F28</f>
        <v>4124.28856870229</v>
      </c>
      <c r="G29" s="51" t="n">
        <f aca="false">F29+G28</f>
        <v>5423.42606870229</v>
      </c>
      <c r="H29" s="51" t="n">
        <f aca="false">G29+H28</f>
        <v>6155.71106870229</v>
      </c>
    </row>
    <row r="30" customFormat="false" ht="15" hidden="false" customHeight="false" outlineLevel="0" collapsed="false">
      <c r="A30" s="10" t="s">
        <v>1281</v>
      </c>
      <c r="B30" s="2" t="s">
        <v>62</v>
      </c>
      <c r="C30" s="2" t="s">
        <v>1136</v>
      </c>
      <c r="D30" s="29" t="n">
        <f aca="false">02_Compute!D19</f>
        <v>0</v>
      </c>
      <c r="E30" s="29" t="n">
        <f aca="false">02_Compute!E19</f>
        <v>0</v>
      </c>
      <c r="F30" s="29" t="n">
        <f aca="false">02_Compute!F19</f>
        <v>0</v>
      </c>
      <c r="G30" s="29" t="n">
        <f aca="false">02_Compute!G19</f>
        <v>0</v>
      </c>
      <c r="H30" s="29" t="n">
        <f aca="false">02_Compute!H19</f>
        <v>0</v>
      </c>
    </row>
    <row r="31" customFormat="false" ht="15" hidden="false" customHeight="false" outlineLevel="0" collapsed="false">
      <c r="A31" s="34" t="s">
        <v>1282</v>
      </c>
      <c r="B31" s="54" t="s">
        <v>62</v>
      </c>
      <c r="C31" s="54" t="s">
        <v>293</v>
      </c>
      <c r="D31" s="55" t="n">
        <f aca="false">D29+D30</f>
        <v>1105.495</v>
      </c>
      <c r="E31" s="55" t="n">
        <f aca="false">E29+E30</f>
        <v>2523.29856870229</v>
      </c>
      <c r="F31" s="55" t="n">
        <f aca="false">F29+F30</f>
        <v>4124.28856870229</v>
      </c>
      <c r="G31" s="55" t="n">
        <f aca="false">G29+G30</f>
        <v>5423.42606870229</v>
      </c>
      <c r="H31" s="55" t="n">
        <f aca="false">H29+H30</f>
        <v>6155.71106870229</v>
      </c>
      <c r="I31" s="35"/>
      <c r="J31" s="35"/>
    </row>
    <row r="32" customFormat="false" ht="15" hidden="false" customHeight="false" outlineLevel="0" collapsed="false">
      <c r="A32" s="47" t="s">
        <v>1093</v>
      </c>
      <c r="B32" s="47" t="s">
        <v>12</v>
      </c>
      <c r="C32" s="47" t="s">
        <v>1253</v>
      </c>
      <c r="D32" s="48" t="str">
        <f aca="false">00_Assumptions!$D$3</f>
        <v>Y1</v>
      </c>
      <c r="E32" s="48" t="str">
        <f aca="false">00_Assumptions!$E$3</f>
        <v>Y2</v>
      </c>
      <c r="F32" s="48" t="str">
        <f aca="false">00_Assumptions!$F$3</f>
        <v>Y3</v>
      </c>
      <c r="G32" s="48" t="str">
        <f aca="false">00_Assumptions!$G$3</f>
        <v>Y4</v>
      </c>
      <c r="H32" s="48" t="str">
        <f aca="false">00_Assumptions!$H$3</f>
        <v>Y5</v>
      </c>
    </row>
    <row r="33" customFormat="false" ht="15" hidden="false" customHeight="false" outlineLevel="0" collapsed="false">
      <c r="A33" s="10" t="s">
        <v>1254</v>
      </c>
      <c r="B33" s="2" t="s">
        <v>62</v>
      </c>
      <c r="C33" s="2" t="s">
        <v>1136</v>
      </c>
      <c r="D33" s="29" t="n">
        <f aca="false">02_Compute!D36</f>
        <v>2036.7</v>
      </c>
      <c r="E33" s="29" t="n">
        <f aca="false">02_Compute!E36</f>
        <v>1782.1125</v>
      </c>
      <c r="F33" s="29" t="n">
        <f aca="false">02_Compute!F36</f>
        <v>2545.875</v>
      </c>
      <c r="G33" s="29" t="n">
        <f aca="false">02_Compute!G36</f>
        <v>3309.6375</v>
      </c>
      <c r="H33" s="29" t="n">
        <f aca="false">02_Compute!H36</f>
        <v>4073.4</v>
      </c>
    </row>
    <row r="34" customFormat="false" ht="15" hidden="false" customHeight="false" outlineLevel="0" collapsed="false">
      <c r="A34" s="10" t="s">
        <v>1255</v>
      </c>
      <c r="B34" s="2" t="s">
        <v>62</v>
      </c>
      <c r="C34" s="2" t="s">
        <v>1136</v>
      </c>
      <c r="D34" s="29" t="n">
        <f aca="false">02_Compute!D31</f>
        <v>0</v>
      </c>
      <c r="E34" s="29" t="n">
        <f aca="false">02_Compute!E31</f>
        <v>4253.47222222222</v>
      </c>
      <c r="F34" s="29" t="n">
        <f aca="false">02_Compute!F31</f>
        <v>1822.91666666667</v>
      </c>
      <c r="G34" s="29" t="n">
        <f aca="false">02_Compute!G31</f>
        <v>1822.91666666667</v>
      </c>
      <c r="H34" s="29" t="n">
        <f aca="false">02_Compute!H31</f>
        <v>1822.91666666667</v>
      </c>
    </row>
    <row r="35" customFormat="false" ht="15" hidden="false" customHeight="false" outlineLevel="0" collapsed="false">
      <c r="A35" s="10" t="s">
        <v>1256</v>
      </c>
      <c r="B35" s="2" t="s">
        <v>62</v>
      </c>
      <c r="C35" s="2" t="s">
        <v>1136</v>
      </c>
      <c r="D35" s="29" t="n">
        <f aca="false">02_Compute!D32</f>
        <v>0</v>
      </c>
      <c r="E35" s="29" t="n">
        <f aca="false">02_Compute!E32</f>
        <v>340.277777777778</v>
      </c>
      <c r="F35" s="29" t="n">
        <f aca="false">02_Compute!F32</f>
        <v>145.833333333333</v>
      </c>
      <c r="G35" s="29" t="n">
        <f aca="false">02_Compute!G32</f>
        <v>145.833333333333</v>
      </c>
      <c r="H35" s="29" t="n">
        <f aca="false">02_Compute!H32</f>
        <v>145.833333333333</v>
      </c>
    </row>
    <row r="36" customFormat="false" ht="15" hidden="false" customHeight="false" outlineLevel="0" collapsed="false">
      <c r="A36" s="10" t="s">
        <v>1257</v>
      </c>
      <c r="B36" s="2" t="s">
        <v>62</v>
      </c>
      <c r="C36" s="2" t="s">
        <v>1136</v>
      </c>
      <c r="D36" s="29" t="n">
        <f aca="false">02_Compute!D33</f>
        <v>0</v>
      </c>
      <c r="E36" s="29" t="n">
        <f aca="false">02_Compute!E33</f>
        <v>137.8125</v>
      </c>
      <c r="F36" s="29" t="n">
        <f aca="false">02_Compute!F33</f>
        <v>59.0625</v>
      </c>
      <c r="G36" s="29" t="n">
        <f aca="false">02_Compute!G33</f>
        <v>59.0625</v>
      </c>
      <c r="H36" s="29" t="n">
        <f aca="false">02_Compute!H33</f>
        <v>59.0625</v>
      </c>
    </row>
    <row r="37" customFormat="false" ht="15" hidden="false" customHeight="false" outlineLevel="0" collapsed="false">
      <c r="A37" s="10" t="s">
        <v>1258</v>
      </c>
      <c r="B37" s="2" t="s">
        <v>62</v>
      </c>
      <c r="C37" s="2" t="s">
        <v>1259</v>
      </c>
      <c r="D37" s="29" t="n">
        <f aca="false">03_Facility!D32</f>
        <v>0</v>
      </c>
      <c r="E37" s="29" t="n">
        <f aca="false">03_Facility!E32</f>
        <v>0</v>
      </c>
      <c r="F37" s="29" t="n">
        <f aca="false">03_Facility!F32</f>
        <v>0</v>
      </c>
      <c r="G37" s="29" t="n">
        <f aca="false">03_Facility!G32</f>
        <v>0</v>
      </c>
      <c r="H37" s="29" t="n">
        <f aca="false">03_Facility!H32</f>
        <v>0</v>
      </c>
    </row>
    <row r="38" customFormat="false" ht="15" hidden="false" customHeight="false" outlineLevel="0" collapsed="false">
      <c r="A38" s="10" t="s">
        <v>1260</v>
      </c>
      <c r="B38" s="2" t="s">
        <v>62</v>
      </c>
      <c r="C38" s="2" t="s">
        <v>1259</v>
      </c>
      <c r="D38" s="29" t="n">
        <f aca="false">03_Facility!D31</f>
        <v>0</v>
      </c>
      <c r="E38" s="29" t="n">
        <f aca="false">03_Facility!E31</f>
        <v>341.051136363636</v>
      </c>
      <c r="F38" s="29" t="n">
        <f aca="false">03_Facility!F31</f>
        <v>487.215909090909</v>
      </c>
      <c r="G38" s="29" t="n">
        <f aca="false">03_Facility!G31</f>
        <v>633.380681818182</v>
      </c>
      <c r="H38" s="29" t="n">
        <f aca="false">03_Facility!H31</f>
        <v>779.545454545455</v>
      </c>
    </row>
    <row r="39" customFormat="false" ht="15" hidden="false" customHeight="false" outlineLevel="0" collapsed="false">
      <c r="A39" s="10" t="s">
        <v>1261</v>
      </c>
      <c r="B39" s="2" t="s">
        <v>62</v>
      </c>
      <c r="C39" s="2" t="s">
        <v>1259</v>
      </c>
      <c r="D39" s="29" t="n">
        <f aca="false">03_Facility!D30</f>
        <v>0</v>
      </c>
      <c r="E39" s="29" t="n">
        <f aca="false">03_Facility!E30</f>
        <v>74.140479</v>
      </c>
      <c r="F39" s="29" t="n">
        <f aca="false">03_Facility!F30</f>
        <v>105.91497</v>
      </c>
      <c r="G39" s="29" t="n">
        <f aca="false">03_Facility!G30</f>
        <v>137.689461</v>
      </c>
      <c r="H39" s="29" t="n">
        <f aca="false">03_Facility!H30</f>
        <v>169.463952</v>
      </c>
    </row>
    <row r="40" customFormat="false" ht="15" hidden="false" customHeight="false" outlineLevel="0" collapsed="false">
      <c r="A40" s="10" t="s">
        <v>1262</v>
      </c>
      <c r="B40" s="2" t="s">
        <v>62</v>
      </c>
      <c r="C40" s="2" t="s">
        <v>1263</v>
      </c>
      <c r="D40" s="29" t="n">
        <f aca="false">04_Training!D33</f>
        <v>0</v>
      </c>
      <c r="E40" s="29" t="n">
        <f aca="false">04_Training!E33</f>
        <v>1884.87181056229</v>
      </c>
      <c r="F40" s="29" t="n">
        <f aca="false">04_Training!F33</f>
        <v>1835.53115794613</v>
      </c>
      <c r="G40" s="29" t="n">
        <f aca="false">04_Training!G33</f>
        <v>3786.19050532997</v>
      </c>
      <c r="H40" s="29" t="n">
        <f aca="false">04_Training!H33</f>
        <v>7154.67392678788</v>
      </c>
    </row>
    <row r="41" customFormat="false" ht="15" hidden="false" customHeight="false" outlineLevel="0" collapsed="false">
      <c r="A41" s="10" t="s">
        <v>1264</v>
      </c>
      <c r="B41" s="2" t="s">
        <v>62</v>
      </c>
      <c r="C41" s="2" t="s">
        <v>1165</v>
      </c>
      <c r="D41" s="29" t="n">
        <f aca="false">05_Inference!D42</f>
        <v>0</v>
      </c>
      <c r="E41" s="29" t="n">
        <f aca="false">05_Inference!E42</f>
        <v>110</v>
      </c>
      <c r="F41" s="29" t="n">
        <f aca="false">05_Inference!F42</f>
        <v>400</v>
      </c>
      <c r="G41" s="29" t="n">
        <f aca="false">05_Inference!G42</f>
        <v>1050</v>
      </c>
      <c r="H41" s="29" t="n">
        <f aca="false">05_Inference!H42</f>
        <v>1800</v>
      </c>
    </row>
    <row r="42" customFormat="false" ht="15" hidden="false" customHeight="false" outlineLevel="0" collapsed="false">
      <c r="A42" s="10" t="s">
        <v>1265</v>
      </c>
      <c r="B42" s="2" t="s">
        <v>62</v>
      </c>
      <c r="C42" s="2" t="s">
        <v>1266</v>
      </c>
      <c r="D42" s="29" t="n">
        <f aca="false">06_People_Other!D29</f>
        <v>576.05</v>
      </c>
      <c r="E42" s="29" t="n">
        <f aca="false">06_People_Other!E29</f>
        <v>1296.1125</v>
      </c>
      <c r="F42" s="29" t="n">
        <f aca="false">06_People_Other!F29</f>
        <v>2016.175</v>
      </c>
      <c r="G42" s="29" t="n">
        <f aca="false">06_People_Other!G29</f>
        <v>2736.2375</v>
      </c>
      <c r="H42" s="29" t="n">
        <f aca="false">06_People_Other!H29</f>
        <v>3456.3</v>
      </c>
    </row>
    <row r="43" customFormat="false" ht="15" hidden="false" customHeight="false" outlineLevel="0" collapsed="false">
      <c r="A43" s="10" t="s">
        <v>1267</v>
      </c>
      <c r="B43" s="2" t="s">
        <v>62</v>
      </c>
      <c r="C43" s="2" t="s">
        <v>1266</v>
      </c>
      <c r="D43" s="29" t="n">
        <f aca="false">06_People_Other!D30</f>
        <v>0</v>
      </c>
      <c r="E43" s="29" t="n">
        <f aca="false">06_People_Other!E30</f>
        <v>0</v>
      </c>
      <c r="F43" s="29" t="n">
        <f aca="false">06_People_Other!F30</f>
        <v>750</v>
      </c>
      <c r="G43" s="29" t="n">
        <f aca="false">06_People_Other!G30</f>
        <v>750</v>
      </c>
      <c r="H43" s="29" t="n">
        <f aca="false">06_People_Other!H30</f>
        <v>750</v>
      </c>
    </row>
    <row r="44" customFormat="false" ht="15" hidden="false" customHeight="false" outlineLevel="0" collapsed="false">
      <c r="A44" s="10" t="s">
        <v>1268</v>
      </c>
      <c r="B44" s="2" t="s">
        <v>62</v>
      </c>
      <c r="C44" s="2" t="s">
        <v>1266</v>
      </c>
      <c r="D44" s="29" t="n">
        <f aca="false">06_People_Other!D31+06_People_Other!D32</f>
        <v>1150</v>
      </c>
      <c r="E44" s="29" t="n">
        <f aca="false">06_People_Other!E31+06_People_Other!E32</f>
        <v>1650</v>
      </c>
      <c r="F44" s="29" t="n">
        <f aca="false">06_People_Other!F31+06_People_Other!F32</f>
        <v>2650</v>
      </c>
      <c r="G44" s="29" t="n">
        <f aca="false">06_People_Other!G31+06_People_Other!G32</f>
        <v>2650</v>
      </c>
      <c r="H44" s="29" t="n">
        <f aca="false">06_People_Other!H31+06_People_Other!H32</f>
        <v>2650</v>
      </c>
    </row>
    <row r="45" customFormat="false" ht="15" hidden="false" customHeight="false" outlineLevel="0" collapsed="false">
      <c r="A45" s="10" t="s">
        <v>1269</v>
      </c>
      <c r="B45" s="2" t="s">
        <v>62</v>
      </c>
      <c r="C45" s="2" t="s">
        <v>1266</v>
      </c>
      <c r="D45" s="29" t="n">
        <f aca="false">06_People_Other!D33</f>
        <v>28.8025</v>
      </c>
      <c r="E45" s="29" t="n">
        <f aca="false">06_People_Other!E33</f>
        <v>64.805625</v>
      </c>
      <c r="F45" s="29" t="n">
        <f aca="false">06_People_Other!F33</f>
        <v>100.80875</v>
      </c>
      <c r="G45" s="29" t="n">
        <f aca="false">06_People_Other!G33</f>
        <v>136.811875</v>
      </c>
      <c r="H45" s="29" t="n">
        <f aca="false">06_People_Other!H33</f>
        <v>172.815</v>
      </c>
    </row>
    <row r="46" customFormat="false" ht="15" hidden="false" customHeight="false" outlineLevel="0" collapsed="false">
      <c r="A46" s="10" t="s">
        <v>1270</v>
      </c>
      <c r="B46" s="2" t="s">
        <v>62</v>
      </c>
      <c r="C46" s="2" t="s">
        <v>1266</v>
      </c>
      <c r="D46" s="29" t="n">
        <f aca="false">06_People_Other!D34</f>
        <v>350</v>
      </c>
      <c r="E46" s="29" t="n">
        <f aca="false">06_People_Other!E34</f>
        <v>350</v>
      </c>
      <c r="F46" s="29" t="n">
        <f aca="false">06_People_Other!F34</f>
        <v>350</v>
      </c>
      <c r="G46" s="29" t="n">
        <f aca="false">06_People_Other!G34</f>
        <v>350</v>
      </c>
      <c r="H46" s="29" t="n">
        <f aca="false">06_People_Other!H34</f>
        <v>350</v>
      </c>
    </row>
    <row r="47" customFormat="false" ht="15" hidden="false" customHeight="false" outlineLevel="0" collapsed="false">
      <c r="A47" s="10" t="s">
        <v>1271</v>
      </c>
      <c r="B47" s="2" t="s">
        <v>62</v>
      </c>
      <c r="C47" s="2" t="s">
        <v>1266</v>
      </c>
      <c r="D47" s="29" t="n">
        <f aca="false">06_People_Other!D35</f>
        <v>288.025</v>
      </c>
      <c r="E47" s="29" t="n">
        <f aca="false">06_People_Other!E35</f>
        <v>648.05625</v>
      </c>
      <c r="F47" s="29" t="n">
        <f aca="false">06_People_Other!F35</f>
        <v>1008.0875</v>
      </c>
      <c r="G47" s="29" t="n">
        <f aca="false">06_People_Other!G35</f>
        <v>1368.11875</v>
      </c>
      <c r="H47" s="29" t="n">
        <f aca="false">06_People_Other!H35</f>
        <v>1728.15</v>
      </c>
    </row>
    <row r="48" customFormat="false" ht="15" hidden="false" customHeight="false" outlineLevel="0" collapsed="false">
      <c r="A48" s="10" t="s">
        <v>1272</v>
      </c>
      <c r="B48" s="2" t="s">
        <v>62</v>
      </c>
      <c r="C48" s="2" t="s">
        <v>1266</v>
      </c>
      <c r="D48" s="29" t="n">
        <f aca="false">06_People_Other!D36</f>
        <v>0</v>
      </c>
      <c r="E48" s="29" t="n">
        <f aca="false">06_People_Other!E36</f>
        <v>0</v>
      </c>
      <c r="F48" s="29" t="n">
        <f aca="false">06_People_Other!F36</f>
        <v>0</v>
      </c>
      <c r="G48" s="29" t="n">
        <f aca="false">06_People_Other!G36</f>
        <v>0</v>
      </c>
      <c r="H48" s="29" t="n">
        <f aca="false">06_People_Other!H36</f>
        <v>0</v>
      </c>
    </row>
    <row r="49" customFormat="false" ht="15" hidden="false" customHeight="false" outlineLevel="0" collapsed="false">
      <c r="A49" s="3" t="s">
        <v>1273</v>
      </c>
      <c r="B49" s="2" t="s">
        <v>62</v>
      </c>
      <c r="C49" s="2" t="s">
        <v>1247</v>
      </c>
      <c r="D49" s="51" t="n">
        <f aca="false">SUM(D33:D48)</f>
        <v>4429.5775</v>
      </c>
      <c r="E49" s="51" t="n">
        <f aca="false">SUM(E33:E48)</f>
        <v>12932.7128009259</v>
      </c>
      <c r="F49" s="51" t="n">
        <f aca="false">SUM(F33:F48)</f>
        <v>14277.420787037</v>
      </c>
      <c r="G49" s="51" t="n">
        <f aca="false">SUM(G33:G48)</f>
        <v>18935.8787731482</v>
      </c>
      <c r="H49" s="51" t="n">
        <f aca="false">SUM(H33:H48)</f>
        <v>25112.1608333333</v>
      </c>
    </row>
    <row r="50" customFormat="false" ht="15" hidden="false" customHeight="false" outlineLevel="0" collapsed="false">
      <c r="A50" s="10" t="s">
        <v>1274</v>
      </c>
      <c r="B50" s="2" t="s">
        <v>62</v>
      </c>
      <c r="C50" s="2" t="s">
        <v>1165</v>
      </c>
      <c r="D50" s="29" t="n">
        <f aca="false">05_Inference!D36</f>
        <v>0</v>
      </c>
      <c r="E50" s="29" t="n">
        <f aca="false">05_Inference!E36</f>
        <v>200</v>
      </c>
      <c r="F50" s="29" t="n">
        <f aca="false">05_Inference!F36</f>
        <v>1000</v>
      </c>
      <c r="G50" s="29" t="n">
        <f aca="false">05_Inference!G36</f>
        <v>3000</v>
      </c>
      <c r="H50" s="29" t="n">
        <f aca="false">05_Inference!H36</f>
        <v>6000</v>
      </c>
    </row>
    <row r="51" customFormat="false" ht="15" hidden="false" customHeight="false" outlineLevel="0" collapsed="false">
      <c r="A51" s="3" t="s">
        <v>1275</v>
      </c>
      <c r="B51" s="2" t="s">
        <v>62</v>
      </c>
      <c r="C51" s="2" t="s">
        <v>293</v>
      </c>
      <c r="D51" s="51" t="n">
        <f aca="false">D49-D50</f>
        <v>4429.5775</v>
      </c>
      <c r="E51" s="51" t="n">
        <f aca="false">E49-E50</f>
        <v>12732.7128009259</v>
      </c>
      <c r="F51" s="51" t="n">
        <f aca="false">F49-F50</f>
        <v>13277.420787037</v>
      </c>
      <c r="G51" s="51" t="n">
        <f aca="false">G49-G50</f>
        <v>15935.8787731482</v>
      </c>
      <c r="H51" s="51" t="n">
        <f aca="false">H49-H50</f>
        <v>19112.1608333333</v>
      </c>
    </row>
    <row r="52" customFormat="false" ht="15" hidden="false" customHeight="false" outlineLevel="0" collapsed="false">
      <c r="A52" s="10" t="s">
        <v>1276</v>
      </c>
      <c r="B52" s="2" t="s">
        <v>62</v>
      </c>
      <c r="C52" s="2" t="s">
        <v>1136</v>
      </c>
      <c r="D52" s="29" t="n">
        <f aca="false">02_Compute!D39</f>
        <v>0</v>
      </c>
      <c r="E52" s="29" t="n">
        <f aca="false">02_Compute!E39</f>
        <v>2838.9375</v>
      </c>
      <c r="F52" s="29" t="n">
        <f aca="false">02_Compute!F39</f>
        <v>1216.6875</v>
      </c>
      <c r="G52" s="29" t="n">
        <f aca="false">02_Compute!G39</f>
        <v>1216.6875</v>
      </c>
      <c r="H52" s="29" t="n">
        <f aca="false">02_Compute!H39</f>
        <v>1216.6875</v>
      </c>
    </row>
    <row r="53" customFormat="false" ht="15" hidden="false" customHeight="false" outlineLevel="0" collapsed="false">
      <c r="A53" s="10" t="s">
        <v>1277</v>
      </c>
      <c r="B53" s="2" t="s">
        <v>62</v>
      </c>
      <c r="C53" s="2" t="s">
        <v>1136</v>
      </c>
      <c r="D53" s="29" t="n">
        <f aca="false">02_Compute!D43+02_Compute!D40</f>
        <v>0</v>
      </c>
      <c r="E53" s="29" t="n">
        <f aca="false">02_Compute!E43+02_Compute!E40</f>
        <v>0</v>
      </c>
      <c r="F53" s="29" t="n">
        <f aca="false">02_Compute!F43+02_Compute!F40</f>
        <v>975.884765625</v>
      </c>
      <c r="G53" s="29" t="n">
        <f aca="false">02_Compute!G43+02_Compute!G40</f>
        <v>1327.58349609375</v>
      </c>
      <c r="H53" s="29" t="n">
        <f aca="false">02_Compute!H43+02_Compute!H40</f>
        <v>1650.76611328125</v>
      </c>
    </row>
    <row r="54" customFormat="false" ht="15" hidden="false" customHeight="false" outlineLevel="0" collapsed="false">
      <c r="A54" s="3" t="s">
        <v>1278</v>
      </c>
      <c r="B54" s="2" t="s">
        <v>62</v>
      </c>
      <c r="C54" s="2" t="s">
        <v>293</v>
      </c>
      <c r="D54" s="51" t="n">
        <f aca="false">D51-D52+D53</f>
        <v>4429.5775</v>
      </c>
      <c r="E54" s="51" t="n">
        <f aca="false">E51-E52+E53</f>
        <v>9893.77530092593</v>
      </c>
      <c r="F54" s="51" t="n">
        <f aca="false">F51-F52+F53</f>
        <v>13036.618052662</v>
      </c>
      <c r="G54" s="51" t="n">
        <f aca="false">G51-G52+G53</f>
        <v>16046.7747692419</v>
      </c>
      <c r="H54" s="51" t="n">
        <f aca="false">H51-H52+H53</f>
        <v>19546.2394466146</v>
      </c>
    </row>
    <row r="55" customFormat="false" ht="15" hidden="false" customHeight="false" outlineLevel="0" collapsed="false">
      <c r="A55" s="3" t="s">
        <v>1279</v>
      </c>
      <c r="B55" s="2" t="s">
        <v>62</v>
      </c>
      <c r="C55" s="2" t="s">
        <v>1280</v>
      </c>
      <c r="D55" s="51" t="n">
        <f aca="false">D54</f>
        <v>4429.5775</v>
      </c>
      <c r="E55" s="51" t="n">
        <f aca="false">D55+E54</f>
        <v>14323.3528009259</v>
      </c>
      <c r="F55" s="51" t="n">
        <f aca="false">E55+F54</f>
        <v>27359.970853588</v>
      </c>
      <c r="G55" s="51" t="n">
        <f aca="false">F55+G54</f>
        <v>43406.7456228299</v>
      </c>
      <c r="H55" s="51" t="n">
        <f aca="false">G55+H54</f>
        <v>62952.9850694445</v>
      </c>
    </row>
    <row r="56" customFormat="false" ht="15" hidden="false" customHeight="false" outlineLevel="0" collapsed="false">
      <c r="A56" s="10" t="s">
        <v>1281</v>
      </c>
      <c r="B56" s="2" t="s">
        <v>62</v>
      </c>
      <c r="C56" s="2" t="s">
        <v>1136</v>
      </c>
      <c r="D56" s="29" t="n">
        <f aca="false">02_Compute!D41</f>
        <v>0</v>
      </c>
      <c r="E56" s="29" t="n">
        <f aca="false">02_Compute!E41</f>
        <v>2838.9375</v>
      </c>
      <c r="F56" s="29" t="n">
        <f aca="false">02_Compute!F41</f>
        <v>3345.890625</v>
      </c>
      <c r="G56" s="29" t="n">
        <f aca="false">02_Compute!G41</f>
        <v>3548.671875</v>
      </c>
      <c r="H56" s="29" t="n">
        <f aca="false">02_Compute!H41</f>
        <v>3447.28125</v>
      </c>
    </row>
    <row r="57" customFormat="false" ht="15" hidden="false" customHeight="false" outlineLevel="0" collapsed="false">
      <c r="A57" s="34" t="s">
        <v>1283</v>
      </c>
      <c r="B57" s="54" t="s">
        <v>62</v>
      </c>
      <c r="C57" s="54" t="s">
        <v>293</v>
      </c>
      <c r="D57" s="55" t="n">
        <f aca="false">D55+D56</f>
        <v>4429.5775</v>
      </c>
      <c r="E57" s="55" t="n">
        <f aca="false">E55+E56</f>
        <v>17162.2903009259</v>
      </c>
      <c r="F57" s="55" t="n">
        <f aca="false">F55+F56</f>
        <v>30705.861478588</v>
      </c>
      <c r="G57" s="55" t="n">
        <f aca="false">G55+G56</f>
        <v>46955.4174978299</v>
      </c>
      <c r="H57" s="55" t="n">
        <f aca="false">H55+H56</f>
        <v>66400.2663194445</v>
      </c>
      <c r="I57" s="35"/>
      <c r="J57" s="35"/>
    </row>
    <row r="58" customFormat="false" ht="15" hidden="false" customHeight="false" outlineLevel="0" collapsed="false">
      <c r="A58" s="47" t="s">
        <v>1093</v>
      </c>
      <c r="B58" s="47" t="s">
        <v>12</v>
      </c>
      <c r="C58" s="47" t="s">
        <v>1253</v>
      </c>
      <c r="D58" s="48" t="str">
        <f aca="false">00_Assumptions!$D$3</f>
        <v>Y1</v>
      </c>
      <c r="E58" s="48" t="str">
        <f aca="false">00_Assumptions!$E$3</f>
        <v>Y2</v>
      </c>
      <c r="F58" s="48" t="str">
        <f aca="false">00_Assumptions!$F$3</f>
        <v>Y3</v>
      </c>
      <c r="G58" s="48" t="str">
        <f aca="false">00_Assumptions!$G$3</f>
        <v>Y4</v>
      </c>
      <c r="H58" s="48" t="str">
        <f aca="false">00_Assumptions!$H$3</f>
        <v>Y5</v>
      </c>
    </row>
    <row r="59" customFormat="false" ht="15" hidden="false" customHeight="false" outlineLevel="0" collapsed="false">
      <c r="A59" s="10" t="s">
        <v>1254</v>
      </c>
      <c r="B59" s="2" t="s">
        <v>62</v>
      </c>
      <c r="C59" s="2" t="s">
        <v>1136</v>
      </c>
      <c r="D59" s="29" t="n">
        <f aca="false">02_Compute!D58</f>
        <v>788.4</v>
      </c>
      <c r="E59" s="29" t="n">
        <f aca="false">02_Compute!E58</f>
        <v>946.08</v>
      </c>
      <c r="F59" s="29" t="n">
        <f aca="false">02_Compute!F58</f>
        <v>1261.44</v>
      </c>
      <c r="G59" s="29" t="n">
        <f aca="false">02_Compute!G58</f>
        <v>1876.392</v>
      </c>
      <c r="H59" s="29" t="n">
        <f aca="false">02_Compute!H58</f>
        <v>1876.392</v>
      </c>
    </row>
    <row r="60" customFormat="false" ht="15" hidden="false" customHeight="false" outlineLevel="0" collapsed="false">
      <c r="A60" s="10" t="s">
        <v>1255</v>
      </c>
      <c r="B60" s="2" t="s">
        <v>62</v>
      </c>
      <c r="C60" s="2" t="s">
        <v>1136</v>
      </c>
      <c r="D60" s="29" t="n">
        <f aca="false">02_Compute!D53</f>
        <v>0</v>
      </c>
      <c r="E60" s="29" t="n">
        <f aca="false">02_Compute!E53</f>
        <v>8333.33333333333</v>
      </c>
      <c r="F60" s="29" t="n">
        <f aca="false">02_Compute!F53</f>
        <v>2777.77777777778</v>
      </c>
      <c r="G60" s="29" t="n">
        <f aca="false">02_Compute!G53</f>
        <v>5416.66666666667</v>
      </c>
      <c r="H60" s="29" t="n">
        <f aca="false">02_Compute!H53</f>
        <v>0</v>
      </c>
    </row>
    <row r="61" customFormat="false" ht="15" hidden="false" customHeight="false" outlineLevel="0" collapsed="false">
      <c r="A61" s="10" t="s">
        <v>1256</v>
      </c>
      <c r="B61" s="2" t="s">
        <v>62</v>
      </c>
      <c r="C61" s="2" t="s">
        <v>1136</v>
      </c>
      <c r="D61" s="29" t="n">
        <f aca="false">02_Compute!D54</f>
        <v>0</v>
      </c>
      <c r="E61" s="29" t="n">
        <f aca="false">02_Compute!E54</f>
        <v>666.666666666667</v>
      </c>
      <c r="F61" s="29" t="n">
        <f aca="false">02_Compute!F54</f>
        <v>222.222222222222</v>
      </c>
      <c r="G61" s="29" t="n">
        <f aca="false">02_Compute!G54</f>
        <v>433.333333333333</v>
      </c>
      <c r="H61" s="29" t="n">
        <f aca="false">02_Compute!H54</f>
        <v>0</v>
      </c>
    </row>
    <row r="62" customFormat="false" ht="15" hidden="false" customHeight="false" outlineLevel="0" collapsed="false">
      <c r="A62" s="10" t="s">
        <v>1257</v>
      </c>
      <c r="B62" s="2" t="s">
        <v>62</v>
      </c>
      <c r="C62" s="2" t="s">
        <v>1136</v>
      </c>
      <c r="D62" s="29" t="n">
        <f aca="false">02_Compute!D55</f>
        <v>0</v>
      </c>
      <c r="E62" s="29" t="n">
        <f aca="false">02_Compute!E55</f>
        <v>270</v>
      </c>
      <c r="F62" s="29" t="n">
        <f aca="false">02_Compute!F55</f>
        <v>90</v>
      </c>
      <c r="G62" s="29" t="n">
        <f aca="false">02_Compute!G55</f>
        <v>175.5</v>
      </c>
      <c r="H62" s="29" t="n">
        <f aca="false">02_Compute!H55</f>
        <v>0</v>
      </c>
    </row>
    <row r="63" customFormat="false" ht="15" hidden="false" customHeight="false" outlineLevel="0" collapsed="false">
      <c r="A63" s="10" t="s">
        <v>1258</v>
      </c>
      <c r="B63" s="2" t="s">
        <v>62</v>
      </c>
      <c r="C63" s="2" t="s">
        <v>1259</v>
      </c>
      <c r="D63" s="29" t="n">
        <f aca="false">03_Facility!D54</f>
        <v>1760</v>
      </c>
      <c r="E63" s="29" t="n">
        <f aca="false">03_Facility!E54</f>
        <v>8800</v>
      </c>
      <c r="F63" s="29" t="n">
        <f aca="false">03_Facility!F54</f>
        <v>4400</v>
      </c>
      <c r="G63" s="29" t="n">
        <f aca="false">03_Facility!G54</f>
        <v>2640</v>
      </c>
      <c r="H63" s="29" t="n">
        <f aca="false">03_Facility!H54</f>
        <v>0</v>
      </c>
    </row>
    <row r="64" customFormat="false" ht="15" hidden="false" customHeight="false" outlineLevel="0" collapsed="false">
      <c r="A64" s="10" t="s">
        <v>1260</v>
      </c>
      <c r="B64" s="2" t="s">
        <v>62</v>
      </c>
      <c r="C64" s="2" t="s">
        <v>1259</v>
      </c>
      <c r="D64" s="29" t="n">
        <f aca="false">03_Facility!D53</f>
        <v>0</v>
      </c>
      <c r="E64" s="29" t="n">
        <f aca="false">03_Facility!E53</f>
        <v>0</v>
      </c>
      <c r="F64" s="29" t="n">
        <f aca="false">03_Facility!F53</f>
        <v>0</v>
      </c>
      <c r="G64" s="29" t="n">
        <f aca="false">03_Facility!G53</f>
        <v>0</v>
      </c>
      <c r="H64" s="29" t="n">
        <f aca="false">03_Facility!H53</f>
        <v>0</v>
      </c>
    </row>
    <row r="65" customFormat="false" ht="15" hidden="false" customHeight="false" outlineLevel="0" collapsed="false">
      <c r="A65" s="10" t="s">
        <v>1261</v>
      </c>
      <c r="B65" s="2" t="s">
        <v>62</v>
      </c>
      <c r="C65" s="2" t="s">
        <v>1259</v>
      </c>
      <c r="D65" s="29" t="n">
        <f aca="false">03_Facility!D52</f>
        <v>0</v>
      </c>
      <c r="E65" s="29" t="n">
        <f aca="false">03_Facility!E52</f>
        <v>203.3567424</v>
      </c>
      <c r="F65" s="29" t="n">
        <f aca="false">03_Facility!F52</f>
        <v>271.1423232</v>
      </c>
      <c r="G65" s="29" t="n">
        <f aca="false">03_Facility!G52</f>
        <v>403.32420576</v>
      </c>
      <c r="H65" s="29" t="n">
        <f aca="false">03_Facility!H52</f>
        <v>403.32420576</v>
      </c>
    </row>
    <row r="66" customFormat="false" ht="15" hidden="false" customHeight="false" outlineLevel="0" collapsed="false">
      <c r="A66" s="10" t="s">
        <v>1262</v>
      </c>
      <c r="B66" s="2" t="s">
        <v>62</v>
      </c>
      <c r="C66" s="2" t="s">
        <v>1263</v>
      </c>
      <c r="D66" s="29" t="n">
        <f aca="false">04_Training!D55</f>
        <v>711.6</v>
      </c>
      <c r="E66" s="29" t="n">
        <f aca="false">04_Training!E55</f>
        <v>1572.78547982222</v>
      </c>
      <c r="F66" s="29" t="n">
        <f aca="false">04_Training!F55</f>
        <v>1763.7139730963</v>
      </c>
      <c r="G66" s="29" t="n">
        <f aca="false">04_Training!G55</f>
        <v>2711.02453498074</v>
      </c>
      <c r="H66" s="29" t="n">
        <f aca="false">04_Training!H55</f>
        <v>9398.52453498074</v>
      </c>
    </row>
    <row r="67" customFormat="false" ht="15" hidden="false" customHeight="false" outlineLevel="0" collapsed="false">
      <c r="A67" s="10" t="s">
        <v>1264</v>
      </c>
      <c r="B67" s="2" t="s">
        <v>62</v>
      </c>
      <c r="C67" s="2" t="s">
        <v>1165</v>
      </c>
      <c r="D67" s="29" t="n">
        <f aca="false">05_Inference!D64</f>
        <v>0</v>
      </c>
      <c r="E67" s="29" t="n">
        <f aca="false">05_Inference!E64</f>
        <v>55</v>
      </c>
      <c r="F67" s="29" t="n">
        <f aca="false">05_Inference!F64</f>
        <v>200</v>
      </c>
      <c r="G67" s="29" t="n">
        <f aca="false">05_Inference!G64</f>
        <v>350</v>
      </c>
      <c r="H67" s="29" t="n">
        <f aca="false">05_Inference!H64</f>
        <v>765</v>
      </c>
    </row>
    <row r="68" customFormat="false" ht="15" hidden="false" customHeight="false" outlineLevel="0" collapsed="false">
      <c r="A68" s="10" t="s">
        <v>1265</v>
      </c>
      <c r="B68" s="2" t="s">
        <v>62</v>
      </c>
      <c r="C68" s="2" t="s">
        <v>1266</v>
      </c>
      <c r="D68" s="29" t="n">
        <f aca="false">06_People_Other!D51</f>
        <v>725.328</v>
      </c>
      <c r="E68" s="29" t="n">
        <f aca="false">06_People_Other!E51</f>
        <v>1450.656</v>
      </c>
      <c r="F68" s="29" t="n">
        <f aca="false">06_People_Other!F51</f>
        <v>2175.984</v>
      </c>
      <c r="G68" s="29" t="n">
        <f aca="false">06_People_Other!G51</f>
        <v>2901.312</v>
      </c>
      <c r="H68" s="29" t="n">
        <f aca="false">06_People_Other!H51</f>
        <v>3626.64</v>
      </c>
    </row>
    <row r="69" customFormat="false" ht="15" hidden="false" customHeight="false" outlineLevel="0" collapsed="false">
      <c r="A69" s="10" t="s">
        <v>1267</v>
      </c>
      <c r="B69" s="2" t="s">
        <v>62</v>
      </c>
      <c r="C69" s="2" t="s">
        <v>1266</v>
      </c>
      <c r="D69" s="29" t="n">
        <f aca="false">06_People_Other!D52</f>
        <v>0</v>
      </c>
      <c r="E69" s="29" t="n">
        <f aca="false">06_People_Other!E52</f>
        <v>0</v>
      </c>
      <c r="F69" s="29" t="n">
        <f aca="false">06_People_Other!F52</f>
        <v>750</v>
      </c>
      <c r="G69" s="29" t="n">
        <f aca="false">06_People_Other!G52</f>
        <v>750</v>
      </c>
      <c r="H69" s="29" t="n">
        <f aca="false">06_People_Other!H52</f>
        <v>750</v>
      </c>
    </row>
    <row r="70" customFormat="false" ht="15" hidden="false" customHeight="false" outlineLevel="0" collapsed="false">
      <c r="A70" s="10" t="s">
        <v>1268</v>
      </c>
      <c r="B70" s="2" t="s">
        <v>62</v>
      </c>
      <c r="C70" s="2" t="s">
        <v>1266</v>
      </c>
      <c r="D70" s="29" t="n">
        <f aca="false">06_People_Other!D53+06_People_Other!D54</f>
        <v>1150</v>
      </c>
      <c r="E70" s="29" t="n">
        <f aca="false">06_People_Other!E53+06_People_Other!E54</f>
        <v>1650</v>
      </c>
      <c r="F70" s="29" t="n">
        <f aca="false">06_People_Other!F53+06_People_Other!F54</f>
        <v>2650</v>
      </c>
      <c r="G70" s="29" t="n">
        <f aca="false">06_People_Other!G53+06_People_Other!G54</f>
        <v>2650</v>
      </c>
      <c r="H70" s="29" t="n">
        <f aca="false">06_People_Other!H53+06_People_Other!H54</f>
        <v>2650</v>
      </c>
    </row>
    <row r="71" customFormat="false" ht="15" hidden="false" customHeight="false" outlineLevel="0" collapsed="false">
      <c r="A71" s="10" t="s">
        <v>1269</v>
      </c>
      <c r="B71" s="2" t="s">
        <v>62</v>
      </c>
      <c r="C71" s="2" t="s">
        <v>1266</v>
      </c>
      <c r="D71" s="29" t="n">
        <f aca="false">06_People_Other!D55</f>
        <v>36.2664</v>
      </c>
      <c r="E71" s="29" t="n">
        <f aca="false">06_People_Other!E55</f>
        <v>72.5328</v>
      </c>
      <c r="F71" s="29" t="n">
        <f aca="false">06_People_Other!F55</f>
        <v>108.7992</v>
      </c>
      <c r="G71" s="29" t="n">
        <f aca="false">06_People_Other!G55</f>
        <v>145.0656</v>
      </c>
      <c r="H71" s="29" t="n">
        <f aca="false">06_People_Other!H55</f>
        <v>181.332</v>
      </c>
    </row>
    <row r="72" customFormat="false" ht="15" hidden="false" customHeight="false" outlineLevel="0" collapsed="false">
      <c r="A72" s="10" t="s">
        <v>1270</v>
      </c>
      <c r="B72" s="2" t="s">
        <v>62</v>
      </c>
      <c r="C72" s="2" t="s">
        <v>1266</v>
      </c>
      <c r="D72" s="29" t="n">
        <f aca="false">06_People_Other!D56</f>
        <v>350</v>
      </c>
      <c r="E72" s="29" t="n">
        <f aca="false">06_People_Other!E56</f>
        <v>350</v>
      </c>
      <c r="F72" s="29" t="n">
        <f aca="false">06_People_Other!F56</f>
        <v>350</v>
      </c>
      <c r="G72" s="29" t="n">
        <f aca="false">06_People_Other!G56</f>
        <v>350</v>
      </c>
      <c r="H72" s="29" t="n">
        <f aca="false">06_People_Other!H56</f>
        <v>350</v>
      </c>
    </row>
    <row r="73" customFormat="false" ht="15" hidden="false" customHeight="false" outlineLevel="0" collapsed="false">
      <c r="A73" s="10" t="s">
        <v>1271</v>
      </c>
      <c r="B73" s="2" t="s">
        <v>62</v>
      </c>
      <c r="C73" s="2" t="s">
        <v>1266</v>
      </c>
      <c r="D73" s="29" t="n">
        <f aca="false">06_People_Other!D57</f>
        <v>362.664</v>
      </c>
      <c r="E73" s="29" t="n">
        <f aca="false">06_People_Other!E57</f>
        <v>725.328</v>
      </c>
      <c r="F73" s="29" t="n">
        <f aca="false">06_People_Other!F57</f>
        <v>1087.992</v>
      </c>
      <c r="G73" s="29" t="n">
        <f aca="false">06_People_Other!G57</f>
        <v>1450.656</v>
      </c>
      <c r="H73" s="29" t="n">
        <f aca="false">06_People_Other!H57</f>
        <v>1813.32</v>
      </c>
    </row>
    <row r="74" customFormat="false" ht="15" hidden="false" customHeight="false" outlineLevel="0" collapsed="false">
      <c r="A74" s="10" t="s">
        <v>1272</v>
      </c>
      <c r="B74" s="2" t="s">
        <v>62</v>
      </c>
      <c r="C74" s="2" t="s">
        <v>1266</v>
      </c>
      <c r="D74" s="29" t="n">
        <f aca="false">06_People_Other!D58</f>
        <v>2600</v>
      </c>
      <c r="E74" s="29" t="n">
        <f aca="false">06_People_Other!E58</f>
        <v>2600</v>
      </c>
      <c r="F74" s="29" t="n">
        <f aca="false">06_People_Other!F58</f>
        <v>2600</v>
      </c>
      <c r="G74" s="29" t="n">
        <f aca="false">06_People_Other!G58</f>
        <v>2600</v>
      </c>
      <c r="H74" s="29" t="n">
        <f aca="false">06_People_Other!H58</f>
        <v>0</v>
      </c>
    </row>
    <row r="75" customFormat="false" ht="15" hidden="false" customHeight="false" outlineLevel="0" collapsed="false">
      <c r="A75" s="3" t="s">
        <v>1273</v>
      </c>
      <c r="B75" s="2" t="s">
        <v>62</v>
      </c>
      <c r="C75" s="2" t="s">
        <v>1247</v>
      </c>
      <c r="D75" s="51" t="n">
        <f aca="false">SUM(D59:D74)</f>
        <v>8484.2584</v>
      </c>
      <c r="E75" s="51" t="n">
        <f aca="false">SUM(E59:E74)</f>
        <v>27695.7390222222</v>
      </c>
      <c r="F75" s="51" t="n">
        <f aca="false">SUM(F59:F74)</f>
        <v>20709.0714962963</v>
      </c>
      <c r="G75" s="51" t="n">
        <f aca="false">SUM(G59:G74)</f>
        <v>24853.2743407407</v>
      </c>
      <c r="H75" s="51" t="n">
        <f aca="false">SUM(H59:H74)</f>
        <v>21814.5327407407</v>
      </c>
    </row>
    <row r="76" customFormat="false" ht="15" hidden="false" customHeight="false" outlineLevel="0" collapsed="false">
      <c r="A76" s="10" t="s">
        <v>1274</v>
      </c>
      <c r="B76" s="2" t="s">
        <v>62</v>
      </c>
      <c r="C76" s="2" t="s">
        <v>1165</v>
      </c>
      <c r="D76" s="29" t="n">
        <f aca="false">05_Inference!D58</f>
        <v>0</v>
      </c>
      <c r="E76" s="29" t="n">
        <f aca="false">05_Inference!E58</f>
        <v>100</v>
      </c>
      <c r="F76" s="29" t="n">
        <f aca="false">05_Inference!F58</f>
        <v>500</v>
      </c>
      <c r="G76" s="29" t="n">
        <f aca="false">05_Inference!G58</f>
        <v>1000</v>
      </c>
      <c r="H76" s="29" t="n">
        <f aca="false">05_Inference!H58</f>
        <v>3000</v>
      </c>
    </row>
    <row r="77" customFormat="false" ht="15" hidden="false" customHeight="false" outlineLevel="0" collapsed="false">
      <c r="A77" s="3" t="s">
        <v>1275</v>
      </c>
      <c r="B77" s="2" t="s">
        <v>62</v>
      </c>
      <c r="C77" s="2" t="s">
        <v>293</v>
      </c>
      <c r="D77" s="51" t="n">
        <f aca="false">D75-D76</f>
        <v>8484.2584</v>
      </c>
      <c r="E77" s="51" t="n">
        <f aca="false">E75-E76</f>
        <v>27595.7390222222</v>
      </c>
      <c r="F77" s="51" t="n">
        <f aca="false">F75-F76</f>
        <v>20209.0714962963</v>
      </c>
      <c r="G77" s="51" t="n">
        <f aca="false">G75-G76</f>
        <v>23853.2743407407</v>
      </c>
      <c r="H77" s="51" t="n">
        <f aca="false">H75-H76</f>
        <v>18814.5327407407</v>
      </c>
    </row>
    <row r="78" customFormat="false" ht="15" hidden="false" customHeight="false" outlineLevel="0" collapsed="false">
      <c r="A78" s="10" t="s">
        <v>1276</v>
      </c>
      <c r="B78" s="2" t="s">
        <v>62</v>
      </c>
      <c r="C78" s="2" t="s">
        <v>1136</v>
      </c>
      <c r="D78" s="29" t="n">
        <f aca="false">02_Compute!D61</f>
        <v>0</v>
      </c>
      <c r="E78" s="29" t="n">
        <f aca="false">02_Compute!E61</f>
        <v>5562</v>
      </c>
      <c r="F78" s="29" t="n">
        <f aca="false">02_Compute!F61</f>
        <v>1854</v>
      </c>
      <c r="G78" s="29" t="n">
        <f aca="false">02_Compute!G61</f>
        <v>3615.3</v>
      </c>
      <c r="H78" s="29" t="n">
        <f aca="false">02_Compute!H61</f>
        <v>0</v>
      </c>
    </row>
    <row r="79" customFormat="false" ht="15" hidden="false" customHeight="false" outlineLevel="0" collapsed="false">
      <c r="A79" s="10" t="s">
        <v>1277</v>
      </c>
      <c r="B79" s="2" t="s">
        <v>62</v>
      </c>
      <c r="C79" s="2" t="s">
        <v>1136</v>
      </c>
      <c r="D79" s="29" t="n">
        <f aca="false">02_Compute!D65+02_Compute!D62</f>
        <v>0</v>
      </c>
      <c r="E79" s="29" t="n">
        <f aca="false">02_Compute!E65+02_Compute!E62</f>
        <v>0</v>
      </c>
      <c r="F79" s="29" t="n">
        <f aca="false">02_Compute!F65+02_Compute!F62</f>
        <v>1911.9375</v>
      </c>
      <c r="G79" s="29" t="n">
        <f aca="false">02_Compute!G65+02_Compute!G62</f>
        <v>2418.890625</v>
      </c>
      <c r="H79" s="29" t="n">
        <f aca="false">02_Compute!H65+02_Compute!H62</f>
        <v>3487.8375</v>
      </c>
    </row>
    <row r="80" customFormat="false" ht="15" hidden="false" customHeight="false" outlineLevel="0" collapsed="false">
      <c r="A80" s="3" t="s">
        <v>1278</v>
      </c>
      <c r="B80" s="2" t="s">
        <v>62</v>
      </c>
      <c r="C80" s="2" t="s">
        <v>293</v>
      </c>
      <c r="D80" s="51" t="n">
        <f aca="false">D77-D78+D79</f>
        <v>8484.2584</v>
      </c>
      <c r="E80" s="51" t="n">
        <f aca="false">E77-E78+E79</f>
        <v>22033.7390222222</v>
      </c>
      <c r="F80" s="51" t="n">
        <f aca="false">F77-F78+F79</f>
        <v>20267.0089962963</v>
      </c>
      <c r="G80" s="51" t="n">
        <f aca="false">G77-G78+G79</f>
        <v>22656.8649657407</v>
      </c>
      <c r="H80" s="51" t="n">
        <f aca="false">H77-H78+H79</f>
        <v>22302.3702407407</v>
      </c>
    </row>
    <row r="81" customFormat="false" ht="15" hidden="false" customHeight="false" outlineLevel="0" collapsed="false">
      <c r="A81" s="3" t="s">
        <v>1279</v>
      </c>
      <c r="B81" s="2" t="s">
        <v>62</v>
      </c>
      <c r="C81" s="2" t="s">
        <v>1280</v>
      </c>
      <c r="D81" s="51" t="n">
        <f aca="false">D80</f>
        <v>8484.2584</v>
      </c>
      <c r="E81" s="51" t="n">
        <f aca="false">D81+E80</f>
        <v>30517.9974222222</v>
      </c>
      <c r="F81" s="51" t="n">
        <f aca="false">E81+F80</f>
        <v>50785.0064185185</v>
      </c>
      <c r="G81" s="51" t="n">
        <f aca="false">F81+G80</f>
        <v>73441.8713842593</v>
      </c>
      <c r="H81" s="51" t="n">
        <f aca="false">G81+H80</f>
        <v>95744.241625</v>
      </c>
    </row>
    <row r="82" customFormat="false" ht="15" hidden="false" customHeight="false" outlineLevel="0" collapsed="false">
      <c r="A82" s="10" t="s">
        <v>1281</v>
      </c>
      <c r="B82" s="2" t="s">
        <v>62</v>
      </c>
      <c r="C82" s="2" t="s">
        <v>1136</v>
      </c>
      <c r="D82" s="29" t="n">
        <f aca="false">02_Compute!D63</f>
        <v>0</v>
      </c>
      <c r="E82" s="29" t="n">
        <f aca="false">02_Compute!E63</f>
        <v>5562</v>
      </c>
      <c r="F82" s="29" t="n">
        <f aca="false">02_Compute!F63</f>
        <v>6025.5</v>
      </c>
      <c r="G82" s="29" t="n">
        <f aca="false">02_Compute!G63</f>
        <v>7786.8</v>
      </c>
      <c r="H82" s="29" t="n">
        <f aca="false">02_Compute!H63</f>
        <v>5028.975</v>
      </c>
    </row>
    <row r="83" customFormat="false" ht="15" hidden="false" customHeight="false" outlineLevel="0" collapsed="false">
      <c r="A83" s="3" t="s">
        <v>1284</v>
      </c>
      <c r="B83" s="2" t="s">
        <v>62</v>
      </c>
      <c r="C83" s="2" t="s">
        <v>293</v>
      </c>
      <c r="D83" s="8" t="n">
        <f aca="false">D81+D82</f>
        <v>8484.2584</v>
      </c>
      <c r="E83" s="8" t="n">
        <f aca="false">E81+E82</f>
        <v>36079.9974222222</v>
      </c>
      <c r="F83" s="8" t="n">
        <f aca="false">F81+F82</f>
        <v>56810.5064185185</v>
      </c>
      <c r="G83" s="8" t="n">
        <f aca="false">G81+G82</f>
        <v>81228.6713842593</v>
      </c>
      <c r="H83" s="8" t="n">
        <f aca="false">H81+H82</f>
        <v>100773.216625</v>
      </c>
    </row>
    <row r="84" customFormat="false" ht="15" hidden="false" customHeight="false" outlineLevel="0" collapsed="false">
      <c r="A84" s="10" t="s">
        <v>1285</v>
      </c>
      <c r="B84" s="2" t="s">
        <v>1172</v>
      </c>
      <c r="C84" s="2" t="s">
        <v>293</v>
      </c>
      <c r="D84" s="53" t="n">
        <f aca="false">IF(D77&lt;=00_Assumptions!$L$50,00_Assumptions!$K$50,00_Assumptions!$L$50)</f>
        <v>0</v>
      </c>
      <c r="E84" s="53" t="n">
        <f aca="false">IF(E77&lt;=00_Assumptions!$L$50,00_Assumptions!$K$50,00_Assumptions!$L$50)</f>
        <v>0</v>
      </c>
      <c r="F84" s="53" t="n">
        <f aca="false">IF(F77&lt;=00_Assumptions!$L$50,00_Assumptions!$K$50,00_Assumptions!$L$50)</f>
        <v>0</v>
      </c>
      <c r="G84" s="53" t="n">
        <f aca="false">IF(G77&lt;=00_Assumptions!$L$50,00_Assumptions!$K$50,00_Assumptions!$L$50)</f>
        <v>0</v>
      </c>
      <c r="H84" s="53" t="n">
        <f aca="false">IF(H77&lt;=00_Assumptions!$L$50,00_Assumptions!$K$50,00_Assumptions!$L$50)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5" min="4" style="1" width="14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0"/>
  </cols>
  <sheetData>
    <row r="1" customFormat="false" ht="15" hidden="false" customHeight="false" outlineLevel="0" collapsed="false">
      <c r="A1" s="2" t="s">
        <v>1286</v>
      </c>
    </row>
    <row r="4" customFormat="false" ht="15" hidden="false" customHeight="false" outlineLevel="0" collapsed="false">
      <c r="A4" s="9" t="s">
        <v>1287</v>
      </c>
      <c r="B4" s="9" t="s">
        <v>1288</v>
      </c>
      <c r="C4" s="9" t="s">
        <v>1289</v>
      </c>
      <c r="D4" s="9" t="s">
        <v>1227</v>
      </c>
      <c r="E4" s="9" t="s">
        <v>1290</v>
      </c>
      <c r="F4" s="9" t="s">
        <v>1291</v>
      </c>
      <c r="G4" s="9" t="s">
        <v>1292</v>
      </c>
      <c r="H4" s="9" t="s">
        <v>20</v>
      </c>
      <c r="I4" s="9"/>
      <c r="J4" s="9"/>
    </row>
    <row r="5" customFormat="false" ht="15" hidden="false" customHeight="false" outlineLevel="0" collapsed="false">
      <c r="A5" s="3" t="s">
        <v>1293</v>
      </c>
      <c r="B5" s="29" t="n">
        <f aca="false">01_Data!$D$187</f>
        <v>41311</v>
      </c>
      <c r="C5" s="53" t="str">
        <f aca="false">"AI segment 2025 "&amp;TEXT(01_Data!$D$189,"#,##0")&amp;" / op loss ("&amp;TEXT(01_Data!$D$190,"#,##0")&amp;"); Q2-2026 "&amp;TEXT(01_Data!$D$193,"#,##0")&amp;" / ("&amp;TEXT(01_Data!$D$194,"#,##0")&amp;")"</f>
        <v>AI segment 2025 3,201 / op loss (6,355); Q2-2026 2,560 / (1,260)</v>
      </c>
      <c r="D5" s="2" t="s">
        <v>1294</v>
      </c>
      <c r="E5" s="29" t="n">
        <f aca="false">01_Data!$D$196</f>
        <v>250000</v>
      </c>
      <c r="F5" s="2" t="s">
        <v>1295</v>
      </c>
      <c r="G5" s="2" t="s">
        <v>1296</v>
      </c>
      <c r="H5" s="53" t="str">
        <f aca="false">"accumulated deficit at 2026-03-31 (consolidated); 2025 AI-segment debt proceeds "&amp;TEXT(01_Data!$D$188,"#,##0")&amp;"; pre-merger raise NOT reproducible (register 47,160 cut)"</f>
        <v>accumulated deficit at 2026-03-31 (consolidated); 2025 AI-segment debt proceeds 16,055; pre-merger raise NOT reproducible (register 47,160 cut)</v>
      </c>
    </row>
    <row r="6" customFormat="false" ht="15" hidden="false" customHeight="false" outlineLevel="0" collapsed="false">
      <c r="A6" s="3" t="s">
        <v>1297</v>
      </c>
      <c r="B6" s="29" t="n">
        <f aca="false">SW_SSI</f>
        <v>7000</v>
      </c>
      <c r="C6" s="2" t="s">
        <v>1298</v>
      </c>
      <c r="D6" s="14" t="n">
        <f aca="false">01_Data!$D$200</f>
        <v>40</v>
      </c>
      <c r="E6" s="29" t="n">
        <f aca="false">01_Data!$D$199</f>
        <v>32000</v>
      </c>
      <c r="F6" s="2" t="s">
        <v>1299</v>
      </c>
      <c r="G6" s="2" t="s">
        <v>1300</v>
      </c>
      <c r="H6" s="2" t="s">
        <v>1301</v>
      </c>
    </row>
    <row r="7" customFormat="false" ht="15" hidden="false" customHeight="false" outlineLevel="0" collapsed="false">
      <c r="A7" s="3" t="s">
        <v>1302</v>
      </c>
      <c r="B7" s="29" t="n">
        <f aca="false">01_Data!$D$201</f>
        <v>2000</v>
      </c>
      <c r="C7" s="53" t="str">
        <f aca="false">"'at least a few hundred million' annualized; PB "&amp;TEXT(01_Data!$D$205,"#,##0")&amp;" FY2026 projection"</f>
        <v>'at least a few hundred million' annualized; PB 100 FY2026 projection</v>
      </c>
      <c r="D7" s="14" t="n">
        <f aca="false">01_Data!$D$204</f>
        <v>200</v>
      </c>
      <c r="E7" s="29" t="n">
        <f aca="false">01_Data!$D$202</f>
        <v>10000</v>
      </c>
      <c r="F7" s="2" t="s">
        <v>1303</v>
      </c>
      <c r="G7" s="2" t="s">
        <v>1304</v>
      </c>
      <c r="H7" s="53" t="str">
        <f aca="false">"seed at 8,000 pre / 10,000 post (press 12,000, C-09); seeking 1,000 at "&amp;TEXT(01_Data!$D$203,"#,##0")&amp;" pre (in talks)"</f>
        <v>seed at 8,000 pre / 10,000 post (press 12,000, C-09); seeking 1,000 at 40,000 pre (in talks)</v>
      </c>
    </row>
    <row r="8" customFormat="false" ht="15" hidden="false" customHeight="false" outlineLevel="0" collapsed="false">
      <c r="A8" s="3" t="s">
        <v>1305</v>
      </c>
      <c r="B8" s="29" t="n">
        <f aca="false">01_Data!$D$206</f>
        <v>2155</v>
      </c>
      <c r="C8" s="2" t="s">
        <v>1294</v>
      </c>
      <c r="D8" s="14" t="n">
        <f aca="false">01_Data!$D$209</f>
        <v>200</v>
      </c>
      <c r="E8" s="29" t="n">
        <f aca="false">01_Data!$D$207</f>
        <v>8000</v>
      </c>
      <c r="F8" s="2" t="s">
        <v>1303</v>
      </c>
      <c r="G8" s="2" t="s">
        <v>1306</v>
      </c>
      <c r="H8" s="53" t="str">
        <f aca="false">"Series C 2,500 at ~"&amp;TEXT(01_Data!$D$208,"#,##0")&amp;" pre in progress"</f>
        <v>Series C 2,500 at ~25,000 pre in progress</v>
      </c>
    </row>
    <row r="9" customFormat="false" ht="15" hidden="false" customHeight="false" outlineLevel="0" collapsed="false">
      <c r="A9" s="3" t="s">
        <v>1307</v>
      </c>
      <c r="B9" s="29" t="n">
        <f aca="false">01_Data!$D$210</f>
        <v>7492</v>
      </c>
      <c r="C9" s="53" t="str">
        <f aca="false">"PB "&amp;TEXT(01_Data!$D$214,"#,##0")&amp;" FY2026 projection"</f>
        <v>PB 1,167 FY2026 projection</v>
      </c>
      <c r="D9" s="14" t="n">
        <f aca="false">01_Data!$D$213</f>
        <v>900</v>
      </c>
      <c r="E9" s="29" t="n">
        <f aca="false">01_Data!$D$212</f>
        <v>24374</v>
      </c>
      <c r="F9" s="2" t="s">
        <v>1308</v>
      </c>
      <c r="G9" s="2" t="s">
        <v>1309</v>
      </c>
      <c r="H9" s="53" t="str">
        <f aca="false">"incl. "&amp;TEXT(01_Data!$D$211,"#,##0")&amp;" debt; Series D EUR 3,000 (2026-09-08)"</f>
        <v>incl. 830 debt; Series D EUR 3,000 (2026-09-08)</v>
      </c>
    </row>
    <row r="10" customFormat="false" ht="15" hidden="false" customHeight="false" outlineLevel="0" collapsed="false">
      <c r="A10" s="3" t="s">
        <v>1310</v>
      </c>
      <c r="B10" s="29" t="n">
        <f aca="false">01_Data!$D$215</f>
        <v>300</v>
      </c>
      <c r="C10" s="2" t="s">
        <v>1294</v>
      </c>
      <c r="D10" s="14" t="n">
        <f aca="false">01_Data!$D$217</f>
        <v>48</v>
      </c>
      <c r="E10" s="29" t="n">
        <f aca="false">01_Data!$D$216</f>
        <v>1300</v>
      </c>
      <c r="F10" s="2" t="s">
        <v>1303</v>
      </c>
      <c r="G10" s="2" t="s">
        <v>1311</v>
      </c>
      <c r="H10" s="2" t="s">
        <v>1312</v>
      </c>
    </row>
    <row r="11" customFormat="false" ht="15" hidden="false" customHeight="false" outlineLevel="0" collapsed="false">
      <c r="A11" s="3" t="s">
        <v>1313</v>
      </c>
      <c r="B11" s="29" t="n">
        <f aca="false">01_Data!$D$218</f>
        <v>480</v>
      </c>
      <c r="C11" s="2" t="s">
        <v>1294</v>
      </c>
      <c r="D11" s="14" t="n">
        <f aca="false">01_Data!$D$220</f>
        <v>25</v>
      </c>
      <c r="E11" s="29" t="n">
        <f aca="false">01_Data!$D$219</f>
        <v>4480</v>
      </c>
      <c r="F11" s="2" t="s">
        <v>1303</v>
      </c>
      <c r="G11" s="2" t="s">
        <v>1314</v>
      </c>
      <c r="H11" s="2" t="s">
        <v>1315</v>
      </c>
    </row>
    <row r="12" customFormat="false" ht="15" hidden="false" customHeight="false" outlineLevel="0" collapsed="false">
      <c r="A12" s="3" t="s">
        <v>1316</v>
      </c>
      <c r="B12" s="29" t="str">
        <f aca="false">"2026 capex "&amp;TEXT(01_Data!$D$221,"#,##0")&amp;"-"&amp;TEXT(01_Data!$D$222,"#,##0")&amp;"; Scale AI "&amp;TEXT(01_Data!$D$223,"#,##0")&amp;" for 49%"</f>
        <v>2026 capex 125,000-145,000; Scale AI 14,300 for 49%</v>
      </c>
      <c r="C12" s="2" t="s">
        <v>1317</v>
      </c>
      <c r="D12" s="2" t="s">
        <v>1294</v>
      </c>
      <c r="E12" s="2" t="s">
        <v>1294</v>
      </c>
      <c r="F12" s="2" t="s">
        <v>1318</v>
      </c>
      <c r="G12" s="2" t="s">
        <v>1319</v>
      </c>
      <c r="H12" s="53" t="str">
        <f aca="false">"packages to "&amp;TEXT(01_Data!$D$224,"#,##0")&amp;" over 4 yrs; "&amp;TEXT(01_Data!$D$225,"0")&amp;" GW AMD deal"</f>
        <v>packages to 100 over 4 yrs; 6 GW AMD deal</v>
      </c>
    </row>
    <row r="13" customFormat="false" ht="15" hidden="false" customHeight="false" outlineLevel="0" collapsed="false">
      <c r="A13" s="3" t="s">
        <v>1320</v>
      </c>
      <c r="B13" s="29" t="n">
        <f aca="false">01_Data!$D$226</f>
        <v>124254</v>
      </c>
      <c r="C13" s="53" t="str">
        <f aca="false">"run-rate "&amp;TEXT(01_Data!$D$229,"#,##0")&amp;" gross; Q1 "&amp;TEXT(01_Data!$D$230,"#,##0")&amp;", Q2 "&amp;TEXT(01_Data!$D$231,"#,##0")&amp;"; first positive ADJUSTED operating income (non-GAAP) "&amp;TEXT(01_Data!$D$232,"#,##0")</f>
        <v>run-rate 65,000 gross; Q1 4,730, Q2 11,600; first positive ADJUSTED operating income (non-GAAP) 559</v>
      </c>
      <c r="D13" s="14" t="n">
        <f aca="false">01_Data!$D$233</f>
        <v>5000</v>
      </c>
      <c r="E13" s="29" t="n">
        <f aca="false">01_Data!$D$234</f>
        <v>965000</v>
      </c>
      <c r="F13" s="2" t="s">
        <v>1321</v>
      </c>
      <c r="G13" s="2" t="s">
        <v>1322</v>
      </c>
      <c r="H13" s="53" t="str">
        <f aca="false">"documented contracts "&amp;TEXT(01_Data!$D$227,"#,##0")&amp;" (reported-$ "&amp;TEXT(01_Data!$D$228,"#,##0")&amp;" incl. the unverified Google leg); burn to the first positive adjusted result ~"&amp;TEXT(01_Data!$D$235,"#,##0")&amp;"-"&amp;TEXT(01_Data!$D$236,"#,##0")&amp;" (derived, flagged)"</f>
        <v>documented contracts 324,100 (reported-$ 524,100 incl. the unverified Google leg); burn to the first positive adjusted result ~12,000-20,000 (derived, flagged)</v>
      </c>
    </row>
    <row r="14" customFormat="false" ht="15" hidden="false" customHeight="false" outlineLevel="0" collapsed="false">
      <c r="A14" s="3" t="s">
        <v>1323</v>
      </c>
      <c r="B14" s="29" t="n">
        <f aca="false">01_Data!$D$237</f>
        <v>181216.5</v>
      </c>
      <c r="C14" s="53" t="str">
        <f aca="false">"run-rate &gt;"&amp;TEXT(01_Data!$D$239,"#,##0")&amp;"; H1 "&amp;TEXT(01_Data!$D$240,"#,##0")&amp;"; H1 operating loss "&amp;TEXT(01_Data!$D$241,"#,##0")</f>
        <v>run-rate &gt;40,000; H1 12,400; H1 operating loss 21,600</v>
      </c>
      <c r="D14" s="14" t="str">
        <f aca="false">TEXT(01_Data!$D$242,"#,##0")&amp;" -&gt; "&amp;TEXT(01_Data!$D$243,"#,##0")</f>
        <v>4,500 -&gt; 8,000</v>
      </c>
      <c r="E14" s="29" t="n">
        <f aca="false">01_Data!$D$244</f>
        <v>852000</v>
      </c>
      <c r="F14" s="2" t="s">
        <v>1324</v>
      </c>
      <c r="G14" s="2" t="s">
        <v>1325</v>
      </c>
      <c r="H14" s="53" t="str">
        <f aca="false">"documented contracts "&amp;TEXT(01_Data!$D$238,"#,##0")</f>
        <v>documented contracts 480,400</v>
      </c>
    </row>
    <row r="16" customFormat="false" ht="15" hidden="false" customHeight="false" outlineLevel="0" collapsed="false">
      <c r="A16" s="2" t="s">
        <v>1326</v>
      </c>
    </row>
    <row r="17" customFormat="false" ht="15" hidden="false" customHeight="false" outlineLevel="0" collapsed="false">
      <c r="A17" s="2" t="s">
        <v>1327</v>
      </c>
      <c r="B17" s="29" t="n">
        <f aca="false">00_Assumptions!$D$115</f>
        <v>2000</v>
      </c>
      <c r="C17" s="29" t="n">
        <f aca="false">00_Assumptions!$E$115</f>
        <v>7492</v>
      </c>
    </row>
    <row r="18" customFormat="false" ht="15" hidden="false" customHeight="false" outlineLevel="0" collapsed="false">
      <c r="A18" s="2" t="s">
        <v>1328</v>
      </c>
      <c r="B18" s="29" t="n">
        <f aca="false">00_Assumptions!$D$116</f>
        <v>20655.5</v>
      </c>
      <c r="C18" s="29" t="n">
        <f aca="false">00_Assumptions!$E$116</f>
        <v>82622</v>
      </c>
      <c r="D18" s="29" t="n">
        <f aca="false">00_Assumptions!$F$116</f>
        <v>124254</v>
      </c>
    </row>
    <row r="19" customFormat="false" ht="15" hidden="false" customHeight="false" outlineLevel="0" collapsed="false">
      <c r="A19" s="2" t="s">
        <v>1329</v>
      </c>
      <c r="B19" s="29" t="n">
        <f aca="false">00_Assumptions!$D$117</f>
        <v>57366</v>
      </c>
    </row>
    <row r="20" customFormat="false" ht="15" hidden="false" customHeight="false" outlineLevel="0" collapsed="false">
      <c r="A20" s="2" t="s">
        <v>1330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0"/>
    <col collapsed="false" customWidth="true" hidden="false" outlineLevel="0" max="5" min="3" style="1" width="44"/>
    <col collapsed="false" customWidth="true" hidden="false" outlineLevel="0" max="6" min="6" style="1" width="20"/>
    <col collapsed="false" customWidth="true" hidden="false" outlineLevel="0" max="7" min="7" style="1" width="44"/>
  </cols>
  <sheetData>
    <row r="1" customFormat="false" ht="15" hidden="false" customHeight="false" outlineLevel="0" collapsed="false">
      <c r="A1" s="2" t="s">
        <v>1331</v>
      </c>
    </row>
    <row r="3" customFormat="false" ht="15" hidden="false" customHeight="false" outlineLevel="0" collapsed="false">
      <c r="A3" s="9" t="s">
        <v>142</v>
      </c>
      <c r="B3" s="9" t="s">
        <v>12</v>
      </c>
      <c r="C3" s="9" t="s">
        <v>1332</v>
      </c>
      <c r="D3" s="9" t="s">
        <v>1333</v>
      </c>
      <c r="E3" s="9" t="s">
        <v>1334</v>
      </c>
      <c r="F3" s="9" t="s">
        <v>17</v>
      </c>
      <c r="G3" s="9" t="s">
        <v>20</v>
      </c>
    </row>
    <row r="4" customFormat="false" ht="15" hidden="false" customHeight="false" outlineLevel="0" collapsed="false">
      <c r="A4" s="3" t="s">
        <v>1335</v>
      </c>
      <c r="B4" s="2" t="s">
        <v>62</v>
      </c>
      <c r="C4" s="8" t="n">
        <f aca="false">07_Cash!$D$23</f>
        <v>1105.495</v>
      </c>
      <c r="D4" s="8" t="n">
        <f aca="false">07_Cash!$D$49</f>
        <v>4429.5775</v>
      </c>
      <c r="E4" s="8" t="n">
        <f aca="false">07_Cash!$D$75</f>
        <v>8484.2584</v>
      </c>
      <c r="F4" s="8" t="n">
        <f aca="false">CHOOSE(SW_GF,C4,D4,E4)</f>
        <v>4429.5775</v>
      </c>
    </row>
    <row r="5" customFormat="false" ht="15" hidden="false" customHeight="false" outlineLevel="0" collapsed="false">
      <c r="A5" s="3" t="s">
        <v>1336</v>
      </c>
      <c r="B5" s="2" t="s">
        <v>62</v>
      </c>
      <c r="C5" s="8" t="n">
        <f aca="false">07_Cash!$E$23</f>
        <v>1467.80356870229</v>
      </c>
      <c r="D5" s="8" t="n">
        <f aca="false">07_Cash!$E$49</f>
        <v>12932.7128009259</v>
      </c>
      <c r="E5" s="8" t="n">
        <f aca="false">07_Cash!$E$75</f>
        <v>27695.7390222222</v>
      </c>
      <c r="F5" s="8" t="n">
        <f aca="false">CHOOSE(SW_GF,C5,D5,E5)</f>
        <v>12932.7128009259</v>
      </c>
    </row>
    <row r="6" customFormat="false" ht="15" hidden="false" customHeight="false" outlineLevel="0" collapsed="false">
      <c r="A6" s="3" t="s">
        <v>1337</v>
      </c>
      <c r="B6" s="2" t="s">
        <v>155</v>
      </c>
      <c r="C6" s="7" t="n">
        <f aca="false">04_Training!$D$15</f>
        <v>2</v>
      </c>
      <c r="D6" s="7" t="n">
        <f aca="false">04_Training!$D$37</f>
        <v>2</v>
      </c>
      <c r="E6" s="7" t="n">
        <f aca="false">04_Training!$D$59</f>
        <v>3</v>
      </c>
      <c r="F6" s="7" t="n">
        <f aca="false">CHOOSE(SW_GF,C6,D6,E6)</f>
        <v>2</v>
      </c>
      <c r="G6" s="2" t="s">
        <v>1338</v>
      </c>
    </row>
    <row r="7" customFormat="false" ht="15" hidden="false" customHeight="false" outlineLevel="0" collapsed="false">
      <c r="A7" s="3" t="s">
        <v>1339</v>
      </c>
      <c r="B7" s="2" t="s">
        <v>62</v>
      </c>
      <c r="C7" s="8" t="n">
        <f aca="false">IFERROR(INDEX(07_Cash!$D$31:$H$31,04_Training!$D$15),"not reached")</f>
        <v>2523.29856870229</v>
      </c>
      <c r="D7" s="8" t="n">
        <f aca="false">IFERROR(INDEX(07_Cash!$D$57:$H$57,04_Training!$D$37),"not reached")</f>
        <v>17162.2903009259</v>
      </c>
      <c r="E7" s="8" t="n">
        <f aca="false">IFERROR(INDEX(07_Cash!$D$83:$H$83,04_Training!$D$59),"not reached")</f>
        <v>56810.5064185185</v>
      </c>
      <c r="F7" s="8" t="n">
        <f aca="false">CHOOSE(SW_GF,C7,D7,E7)</f>
        <v>17162.2903009259</v>
      </c>
    </row>
    <row r="8" customFormat="false" ht="15" hidden="false" customHeight="false" outlineLevel="0" collapsed="false">
      <c r="A8" s="3" t="s">
        <v>1340</v>
      </c>
      <c r="B8" s="2" t="s">
        <v>155</v>
      </c>
      <c r="C8" s="7" t="n">
        <f aca="false">05_Inference!$D$26</f>
        <v>4</v>
      </c>
      <c r="D8" s="7" t="n">
        <f aca="false">05_Inference!$D$48</f>
        <v>3</v>
      </c>
      <c r="E8" s="7" t="n">
        <f aca="false">05_Inference!$D$70</f>
        <v>4</v>
      </c>
      <c r="F8" s="7" t="n">
        <f aca="false">CHOOSE(SW_GF,C8,D8,E8)</f>
        <v>3</v>
      </c>
      <c r="G8" s="2" t="s">
        <v>1341</v>
      </c>
    </row>
    <row r="9" customFormat="false" ht="15" hidden="false" customHeight="false" outlineLevel="0" collapsed="false">
      <c r="A9" s="3" t="s">
        <v>152</v>
      </c>
      <c r="B9" s="2" t="s">
        <v>62</v>
      </c>
      <c r="C9" s="8" t="n">
        <f aca="false">IFERROR(INDEX(07_Cash!$D$31:$H$31,05_Inference!$D$26),"not reached")</f>
        <v>5423.42606870229</v>
      </c>
      <c r="D9" s="8" t="n">
        <f aca="false">IFERROR(INDEX(07_Cash!$D$57:$H$57,05_Inference!$D$48),"not reached")</f>
        <v>30705.861478588</v>
      </c>
      <c r="E9" s="8" t="n">
        <f aca="false">IFERROR(INDEX(07_Cash!$D$83:$H$83,05_Inference!$D$70),"not reached")</f>
        <v>81228.6713842593</v>
      </c>
      <c r="F9" s="8" t="n">
        <f aca="false">CHOOSE(SW_GF,C9,D9,E9)</f>
        <v>30705.861478588</v>
      </c>
      <c r="G9" s="53" t="str">
        <f aca="false">"AJ probability of $1B: "&amp;TEXT(00_Assumptions!$D$46,"0%")&amp;" / "&amp;TEXT(00_Assumptions!$E$46,"0%")&amp;" / "&amp;TEXT(00_Assumptions!$F$46,"0%")</f>
        <v>AJ probability of $1B: 40% / 70% / 70%</v>
      </c>
    </row>
    <row r="10" customFormat="false" ht="15" hidden="false" customHeight="false" outlineLevel="0" collapsed="false">
      <c r="A10" s="3" t="s">
        <v>1342</v>
      </c>
      <c r="B10" s="2" t="s">
        <v>155</v>
      </c>
      <c r="C10" s="7" t="str">
        <f aca="false">IFERROR(MATCH(00_Assumptions!$K$50,07_Cash!$D$32:$H$32,0),"beyond Y5")</f>
        <v>beyond Y5</v>
      </c>
      <c r="D10" s="7" t="str">
        <f aca="false">IFERROR(MATCH(00_Assumptions!$K$50,07_Cash!$D$58:$H$58,0),"beyond Y5")</f>
        <v>beyond Y5</v>
      </c>
      <c r="E10" s="7" t="str">
        <f aca="false">IFERROR(MATCH(00_Assumptions!$K$50,07_Cash!$D$84:$H$84,0),"beyond Y5")</f>
        <v>beyond Y5</v>
      </c>
      <c r="F10" s="7" t="str">
        <f aca="false">CHOOSE(SW_GF,C10,D10,E10)</f>
        <v>beyond Y5</v>
      </c>
      <c r="G10" s="2" t="s">
        <v>1343</v>
      </c>
    </row>
    <row r="11" customFormat="false" ht="15" hidden="false" customHeight="false" outlineLevel="0" collapsed="false">
      <c r="A11" s="3" t="s">
        <v>1344</v>
      </c>
      <c r="B11" s="2" t="s">
        <v>62</v>
      </c>
      <c r="C11" s="8" t="str">
        <f aca="false">IFERROR(INDEX(07_Cash!$D$31:$H$31,09_Output!$C$10),"not reached")</f>
        <v>not reached</v>
      </c>
      <c r="D11" s="8" t="str">
        <f aca="false">IFERROR(INDEX(07_Cash!$D$57:$H$57,09_Output!$D$10),"not reached")</f>
        <v>not reached</v>
      </c>
      <c r="E11" s="8" t="str">
        <f aca="false">IFERROR(INDEX(07_Cash!$D$83:$H$83,09_Output!$E$10),"not reached")</f>
        <v>not reached</v>
      </c>
      <c r="F11" s="8" t="str">
        <f aca="false">CHOOSE(SW_GF,C11,D11,E11)</f>
        <v>not reached</v>
      </c>
    </row>
    <row r="12" customFormat="false" ht="15" hidden="false" customHeight="false" outlineLevel="0" collapsed="false">
      <c r="A12" s="3" t="s">
        <v>1345</v>
      </c>
      <c r="B12" s="2" t="s">
        <v>62</v>
      </c>
      <c r="C12" s="8" t="n">
        <f aca="false">07_Cash!$H$31</f>
        <v>6155.71106870229</v>
      </c>
      <c r="D12" s="8" t="n">
        <f aca="false">07_Cash!$H$57</f>
        <v>66400.2663194445</v>
      </c>
      <c r="E12" s="8" t="n">
        <f aca="false">07_Cash!$H$83</f>
        <v>100773.216625</v>
      </c>
      <c r="F12" s="8" t="n">
        <f aca="false">CHOOSE(SW_GF,C12,D12,E12)</f>
        <v>66400.2663194445</v>
      </c>
    </row>
    <row r="13" customFormat="false" ht="15" hidden="false" customHeight="false" outlineLevel="0" collapsed="false">
      <c r="A13" s="3" t="s">
        <v>1346</v>
      </c>
      <c r="B13" s="2" t="s">
        <v>62</v>
      </c>
      <c r="C13" s="8" t="n">
        <f aca="false">07_Cash!$H$29</f>
        <v>6155.71106870229</v>
      </c>
      <c r="D13" s="8" t="n">
        <f aca="false">07_Cash!$H$55</f>
        <v>62952.9850694445</v>
      </c>
      <c r="E13" s="8" t="n">
        <f aca="false">07_Cash!$H$81</f>
        <v>95744.241625</v>
      </c>
      <c r="F13" s="8" t="n">
        <f aca="false">CHOOSE(SW_GF,C13,D13,E13)</f>
        <v>62952.9850694445</v>
      </c>
    </row>
    <row r="14" customFormat="false" ht="15" hidden="false" customHeight="false" outlineLevel="0" collapsed="false">
      <c r="A14" s="3" t="s">
        <v>1347</v>
      </c>
      <c r="B14" s="2" t="s">
        <v>62</v>
      </c>
      <c r="C14" s="8" t="n">
        <f aca="false">07_Cash!$H$25</f>
        <v>732.285</v>
      </c>
      <c r="D14" s="8" t="n">
        <f aca="false">07_Cash!$H$51</f>
        <v>19112.1608333333</v>
      </c>
      <c r="E14" s="8" t="n">
        <f aca="false">07_Cash!$H$77</f>
        <v>18814.5327407407</v>
      </c>
      <c r="F14" s="8" t="n">
        <f aca="false">CHOOSE(SW_GF,C14,D14,E14)</f>
        <v>19112.1608333333</v>
      </c>
    </row>
    <row r="15" customFormat="false" ht="15" hidden="false" customHeight="false" outlineLevel="0" collapsed="false">
      <c r="A15" s="3" t="s">
        <v>1348</v>
      </c>
      <c r="B15" s="2" t="s">
        <v>62</v>
      </c>
      <c r="C15" s="8" t="n">
        <f aca="false">07_Cash!$H$24</f>
        <v>2000</v>
      </c>
      <c r="D15" s="8" t="n">
        <f aca="false">07_Cash!$H$50</f>
        <v>6000</v>
      </c>
      <c r="E15" s="8" t="n">
        <f aca="false">07_Cash!$H$76</f>
        <v>3000</v>
      </c>
      <c r="F15" s="8" t="n">
        <f aca="false">CHOOSE(SW_GF,C15,D15,E15)</f>
        <v>6000</v>
      </c>
    </row>
    <row r="17" customFormat="false" ht="15" hidden="false" customHeight="false" outlineLevel="0" collapsed="false">
      <c r="A17" s="34" t="s">
        <v>1349</v>
      </c>
      <c r="B17" s="35"/>
      <c r="C17" s="35"/>
      <c r="D17" s="35"/>
      <c r="E17" s="35"/>
      <c r="F17" s="35"/>
      <c r="G17" s="35"/>
      <c r="H17" s="35"/>
      <c r="I17" s="35"/>
      <c r="J17" s="35"/>
    </row>
    <row r="18" customFormat="false" ht="15" hidden="false" customHeight="false" outlineLevel="0" collapsed="false">
      <c r="A18" s="9" t="s">
        <v>142</v>
      </c>
      <c r="B18" s="9" t="s">
        <v>12</v>
      </c>
      <c r="C18" s="9" t="s">
        <v>1350</v>
      </c>
      <c r="D18" s="9" t="s">
        <v>1351</v>
      </c>
      <c r="E18" s="9" t="s">
        <v>1352</v>
      </c>
      <c r="F18" s="9"/>
      <c r="G18" s="9" t="s">
        <v>1353</v>
      </c>
    </row>
    <row r="19" customFormat="false" ht="15" hidden="false" customHeight="false" outlineLevel="0" collapsed="false">
      <c r="A19" s="3" t="s">
        <v>149</v>
      </c>
      <c r="B19" s="2" t="s">
        <v>62</v>
      </c>
      <c r="C19" s="7" t="str">
        <f aca="false">IF(ISNUMBER(09_Output!$C$4),TEXT(09_Output!$C$4,"#,##0")&amp;" vs "&amp;TEXT(00_Assumptions!$D$107,"#,##0")&amp;"-"&amp;TEXT(00_Assumptions!$E$107,"#,##0")&amp;": "&amp;IF(AND(09_Output!$C$4&gt;=00_Assumptions!$D$107*(00_Assumptions!$K$50-00_Assumptions!$M$50),09_Output!$C$4&lt;=00_Assumptions!$E$107*(00_Assumptions!$K$50+00_Assumptions!$M$50)),"PASS (within 20%)","OUTSIDE (explained in tie-out.md)"),09_Output!$C$4&amp;" vs "&amp;TEXT(00_Assumptions!$D$107,"#,##0")&amp;"-"&amp;TEXT(00_Assumptions!$E$107,"#,##0")&amp;": "&amp;IF(09_Output!$C$4="not reached","PASS if the band allows not reached (Lean Y5-or-never; Full/VI beyond Y5)","n/a"))</f>
        <v>1,105 vs 1,000-1,500: PASS (within 20%)</v>
      </c>
      <c r="D19" s="7" t="str">
        <f aca="false">IF(ISNUMBER(09_Output!$D$4),TEXT(09_Output!$D$4,"#,##0")&amp;" vs "&amp;TEXT(00_Assumptions!$F$107,"#,##0")&amp;"-"&amp;TEXT(00_Assumptions!$G$107,"#,##0")&amp;": "&amp;IF(AND(09_Output!$D$4&gt;=00_Assumptions!$F$107*(00_Assumptions!$K$50-00_Assumptions!$M$50),09_Output!$D$4&lt;=00_Assumptions!$G$107*(00_Assumptions!$K$50+00_Assumptions!$M$50)),"PASS (within 20%)","OUTSIDE (explained in tie-out.md)"),09_Output!$D$4&amp;" vs "&amp;TEXT(00_Assumptions!$F$107,"#,##0")&amp;"-"&amp;TEXT(00_Assumptions!$G$107,"#,##0")&amp;": "&amp;IF(09_Output!$D$4="not reached","PASS if the band allows not reached (Lean Y5-or-never; Full/VI beyond Y5)","n/a"))</f>
        <v>4,430 vs 4,000-6,000: PASS (within 20%)</v>
      </c>
      <c r="E19" s="7" t="str">
        <f aca="false">IF(ISNUMBER(09_Output!$E$4),TEXT(09_Output!$E$4,"#,##0")&amp;" vs "&amp;TEXT(00_Assumptions!$H$107,"#,##0")&amp;"-"&amp;TEXT(00_Assumptions!$I$107,"#,##0")&amp;": "&amp;IF(AND(09_Output!$E$4&gt;=00_Assumptions!$H$107*(00_Assumptions!$K$50-00_Assumptions!$M$50),09_Output!$E$4&lt;=00_Assumptions!$I$107*(00_Assumptions!$K$50+00_Assumptions!$M$50)),"PASS (within 20%)","OUTSIDE (explained in tie-out.md)"),09_Output!$E$4&amp;" vs "&amp;TEXT(00_Assumptions!$H$107,"#,##0")&amp;"-"&amp;TEXT(00_Assumptions!$I$107,"#,##0")&amp;": "&amp;IF(09_Output!$E$4="not reached","PASS if the band allows not reached (Lean Y5-or-never; Full/VI beyond Y5)","n/a"))</f>
        <v>8,484 vs 5,000-8,000: PASS (within 20%)</v>
      </c>
      <c r="G19" s="2" t="s">
        <v>1354</v>
      </c>
    </row>
    <row r="20" customFormat="false" ht="15" hidden="false" customHeight="false" outlineLevel="0" collapsed="false">
      <c r="A20" s="3" t="s">
        <v>1355</v>
      </c>
      <c r="B20" s="2" t="s">
        <v>62</v>
      </c>
      <c r="C20" s="2" t="s">
        <v>1356</v>
      </c>
      <c r="D20" s="2" t="s">
        <v>1356</v>
      </c>
      <c r="E20" s="7" t="str">
        <f aca="false">IF(ISNUMBER(09_Output!$E$5),TEXT(09_Output!$E$5,"#,##0")&amp;" vs "&amp;TEXT(00_Assumptions!$H$108,"#,##0")&amp;"-"&amp;TEXT(00_Assumptions!$I$108,"#,##0")&amp;": "&amp;IF(AND(09_Output!$E$5&gt;=00_Assumptions!$H$108*(00_Assumptions!$K$50-00_Assumptions!$M$50),09_Output!$E$5&lt;=00_Assumptions!$I$108*(00_Assumptions!$K$50+00_Assumptions!$M$50)),"PASS (within 20%)","OUTSIDE (explained in tie-out.md)"),09_Output!$E$5&amp;" vs "&amp;TEXT(00_Assumptions!$H$108,"#,##0")&amp;"-"&amp;TEXT(00_Assumptions!$I$108,"#,##0")&amp;": "&amp;IF(09_Output!$E$5="not reached","PASS if the band allows not reached (Lean Y5-or-never; Full/VI beyond Y5)","n/a"))</f>
        <v>27,696 vs 15,000-25,000: PASS (within 20%)</v>
      </c>
      <c r="G20" s="2" t="s">
        <v>1354</v>
      </c>
    </row>
    <row r="21" customFormat="false" ht="15" hidden="false" customHeight="false" outlineLevel="0" collapsed="false">
      <c r="A21" s="3" t="s">
        <v>1357</v>
      </c>
      <c r="B21" s="2" t="s">
        <v>62</v>
      </c>
      <c r="C21" s="7" t="str">
        <f aca="false">IF(ISNUMBER(09_Output!$C$7),TEXT(09_Output!$C$7,"#,##0")&amp;" vs "&amp;TEXT(00_Assumptions!$D$109,"#,##0")&amp;"-"&amp;TEXT(00_Assumptions!$E$109,"#,##0")&amp;": "&amp;IF(AND(09_Output!$C$7&gt;=00_Assumptions!$D$109*(00_Assumptions!$K$50-00_Assumptions!$M$50),09_Output!$C$7&lt;=00_Assumptions!$E$109*(00_Assumptions!$K$50+00_Assumptions!$M$50)),"PASS (within 20%)","OUTSIDE (explained in tie-out.md)"),09_Output!$C$7&amp;" vs "&amp;TEXT(00_Assumptions!$D$109,"#,##0")&amp;"-"&amp;TEXT(00_Assumptions!$E$109,"#,##0")&amp;": "&amp;IF(09_Output!$C$7="not reached","PASS if the band allows not reached (Lean Y5-or-never; Full/VI beyond Y5)","n/a"))</f>
        <v>2,523 vs 2,500-4,000: PASS (within 20%)</v>
      </c>
      <c r="D21" s="7" t="str">
        <f aca="false">IF(ISNUMBER(09_Output!$D$7),TEXT(09_Output!$D$7,"#,##0")&amp;" vs "&amp;TEXT(00_Assumptions!$F$109,"#,##0")&amp;"-"&amp;TEXT(00_Assumptions!$G$109,"#,##0")&amp;": "&amp;IF(AND(09_Output!$D$7&gt;=00_Assumptions!$F$109*(00_Assumptions!$K$50-00_Assumptions!$M$50),09_Output!$D$7&lt;=00_Assumptions!$G$109*(00_Assumptions!$K$50+00_Assumptions!$M$50)),"PASS (within 20%)","OUTSIDE (explained in tie-out.md)"),09_Output!$D$7&amp;" vs "&amp;TEXT(00_Assumptions!$F$109,"#,##0")&amp;"-"&amp;TEXT(00_Assumptions!$G$109,"#,##0")&amp;": "&amp;IF(09_Output!$D$7="not reached","PASS if the band allows not reached (Lean Y5-or-never; Full/VI beyond Y5)","n/a"))</f>
        <v>17,162 vs 12,000-18,000: PASS (within 20%)</v>
      </c>
      <c r="E21" s="7" t="str">
        <f aca="false">IF(ISNUMBER(09_Output!$E$7),TEXT(09_Output!$E$7,"#,##0")&amp;" vs "&amp;TEXT(00_Assumptions!$H$109,"#,##0")&amp;"-"&amp;TEXT(00_Assumptions!$I$109,"#,##0")&amp;": "&amp;IF(AND(09_Output!$E$7&gt;=00_Assumptions!$H$109*(00_Assumptions!$K$50-00_Assumptions!$M$50),09_Output!$E$7&lt;=00_Assumptions!$I$109*(00_Assumptions!$K$50+00_Assumptions!$M$50)),"PASS (within 20%)","OUTSIDE (explained in tie-out.md)"),09_Output!$E$7&amp;" vs "&amp;TEXT(00_Assumptions!$H$109,"#,##0")&amp;"-"&amp;TEXT(00_Assumptions!$I$109,"#,##0")&amp;": "&amp;IF(09_Output!$E$7="not reached","PASS if the band allows not reached (Lean Y5-or-never; Full/VI beyond Y5)","n/a"))</f>
        <v>56,811 vs 25,000-40,000: OUTSIDE (explained in tie-out.md)</v>
      </c>
      <c r="G21" s="2" t="s">
        <v>1354</v>
      </c>
    </row>
    <row r="22" customFormat="false" ht="15" hidden="false" customHeight="false" outlineLevel="0" collapsed="false">
      <c r="A22" s="3" t="s">
        <v>1358</v>
      </c>
      <c r="B22" s="2" t="s">
        <v>62</v>
      </c>
      <c r="C22" s="7" t="str">
        <f aca="false">IF(ISNUMBER(09_Output!$C$9),TEXT(09_Output!$C$9,"#,##0")&amp;" vs "&amp;TEXT(00_Assumptions!$D$110,"#,##0")&amp;"-"&amp;TEXT(00_Assumptions!$E$110,"#,##0")&amp;": "&amp;IF(AND(09_Output!$C$9&gt;=00_Assumptions!$D$110*(00_Assumptions!$K$50-00_Assumptions!$M$50),09_Output!$C$9&lt;=00_Assumptions!$E$110*(00_Assumptions!$K$50+00_Assumptions!$M$50)),"PASS (within 20%)","OUTSIDE (explained in tie-out.md)"),09_Output!$C$9&amp;" vs "&amp;TEXT(00_Assumptions!$D$110,"#,##0")&amp;"-"&amp;TEXT(00_Assumptions!$E$110,"#,##0")&amp;": "&amp;IF(09_Output!$C$9="not reached","PASS if the band allows not reached (Lean Y5-or-never; Full/VI beyond Y5)","n/a"))</f>
        <v>5,423 vs 5,000-8,000: PASS (within 20%)</v>
      </c>
      <c r="D22" s="7" t="str">
        <f aca="false">IF(ISNUMBER(09_Output!$D$9),TEXT(09_Output!$D$9,"#,##0")&amp;" vs "&amp;TEXT(00_Assumptions!$F$110,"#,##0")&amp;"-"&amp;TEXT(00_Assumptions!$G$110,"#,##0")&amp;": "&amp;IF(AND(09_Output!$D$9&gt;=00_Assumptions!$F$110*(00_Assumptions!$K$50-00_Assumptions!$M$50),09_Output!$D$9&lt;=00_Assumptions!$G$110*(00_Assumptions!$K$50+00_Assumptions!$M$50)),"PASS (within 20%)","OUTSIDE (explained in tie-out.md)"),09_Output!$D$9&amp;" vs "&amp;TEXT(00_Assumptions!$F$110,"#,##0")&amp;"-"&amp;TEXT(00_Assumptions!$G$110,"#,##0")&amp;": "&amp;IF(09_Output!$D$9="not reached","PASS if the band allows not reached (Lean Y5-or-never; Full/VI beyond Y5)","n/a"))</f>
        <v>30,706 vs 20,000-30,000: PASS (within 20%)</v>
      </c>
      <c r="E22" s="7" t="str">
        <f aca="false">IF(ISNUMBER(09_Output!$E$9),TEXT(09_Output!$E$9,"#,##0")&amp;" vs "&amp;TEXT(00_Assumptions!$H$110,"#,##0")&amp;"-"&amp;TEXT(00_Assumptions!$I$110,"#,##0")&amp;": "&amp;IF(AND(09_Output!$E$9&gt;=00_Assumptions!$H$110*(00_Assumptions!$K$50-00_Assumptions!$M$50),09_Output!$E$9&lt;=00_Assumptions!$I$110*(00_Assumptions!$K$50+00_Assumptions!$M$50)),"PASS (within 20%)","OUTSIDE (explained in tie-out.md)"),09_Output!$E$9&amp;" vs "&amp;TEXT(00_Assumptions!$H$110,"#,##0")&amp;"-"&amp;TEXT(00_Assumptions!$I$110,"#,##0")&amp;": "&amp;IF(09_Output!$E$9="not reached","PASS if the band allows not reached (Lean Y5-or-never; Full/VI beyond Y5)","n/a"))</f>
        <v>81,229 vs 40,000-60,000: OUTSIDE (explained in tie-out.md)</v>
      </c>
      <c r="G22" s="2" t="s">
        <v>1354</v>
      </c>
    </row>
    <row r="23" customFormat="false" ht="15" hidden="false" customHeight="false" outlineLevel="0" collapsed="false">
      <c r="A23" s="3" t="s">
        <v>1359</v>
      </c>
      <c r="B23" s="2" t="s">
        <v>62</v>
      </c>
      <c r="C23" s="7" t="str">
        <f aca="false">IF(ISNUMBER(09_Output!$C$11),TEXT(09_Output!$C$11,"#,##0")&amp;" vs "&amp;TEXT(00_Assumptions!$D$111,"#,##0")&amp;"-"&amp;TEXT(00_Assumptions!$E$111,"#,##0")&amp;": "&amp;IF(AND(09_Output!$C$11&gt;=00_Assumptions!$D$111*(00_Assumptions!$K$50-00_Assumptions!$M$50),09_Output!$C$11&lt;=00_Assumptions!$E$111*(00_Assumptions!$K$50+00_Assumptions!$M$50)),"PASS (within 20%)","OUTSIDE (explained in tie-out.md)"),09_Output!$C$11&amp;" vs "&amp;TEXT(00_Assumptions!$D$111,"#,##0")&amp;"-"&amp;TEXT(00_Assumptions!$E$111,"#,##0")&amp;": "&amp;IF(09_Output!$C$11="not reached","PASS if the band allows not reached (Lean Y5-or-never; Full/VI beyond Y5)","n/a"))</f>
        <v>not reached vs 8,000-15,000: PASS if the band allows not reached (Lean Y5-or-never; Full/VI beyond Y5)</v>
      </c>
      <c r="D23" s="7" t="str">
        <f aca="false">IF(ISNUMBER(09_Output!$D$11),TEXT(09_Output!$D$11,"#,##0")&amp;" vs "&amp;TEXT(00_Assumptions!$F$111,"#,##0")&amp;"-"&amp;TEXT(00_Assumptions!$G$111,"#,##0")&amp;": "&amp;IF(AND(09_Output!$D$11&gt;=00_Assumptions!$F$111*(00_Assumptions!$K$50-00_Assumptions!$M$50),09_Output!$D$11&lt;=00_Assumptions!$G$111*(00_Assumptions!$K$50+00_Assumptions!$M$50)),"PASS (within 20%)","OUTSIDE (explained in tie-out.md)"),09_Output!$D$11&amp;" vs "&amp;TEXT(00_Assumptions!$F$111,"#,##0")&amp;"-"&amp;TEXT(00_Assumptions!$G$111,"#,##0")&amp;": "&amp;IF(09_Output!$D$11="not reached","PASS if the band allows not reached (Lean Y5-or-never; Full/VI beyond Y5)","n/a"))</f>
        <v>not reached vs 60,000-100,000: PASS if the band allows not reached (Lean Y5-or-never; Full/VI beyond Y5)</v>
      </c>
      <c r="E23" s="7" t="str">
        <f aca="false">IF(ISNUMBER(09_Output!$E$11),TEXT(09_Output!$E$11,"#,##0")&amp;" vs "&amp;TEXT(00_Assumptions!$H$111,"#,##0")&amp;"-"&amp;TEXT(00_Assumptions!$I$111,"#,##0")&amp;": "&amp;IF(AND(09_Output!$E$11&gt;=00_Assumptions!$H$111*(00_Assumptions!$K$50-00_Assumptions!$M$50),09_Output!$E$11&lt;=00_Assumptions!$I$111*(00_Assumptions!$K$50+00_Assumptions!$M$50)),"PASS (within 20%)","OUTSIDE (explained in tie-out.md)"),09_Output!$E$11&amp;" vs "&amp;TEXT(00_Assumptions!$H$111,"#,##0")&amp;"-"&amp;TEXT(00_Assumptions!$I$111,"#,##0")&amp;": "&amp;IF(09_Output!$E$11="not reached","PASS if the band allows not reached (Lean Y5-or-never; Full/VI beyond Y5)","n/a"))</f>
        <v>not reached vs 80,000-150,000: PASS if the band allows not reached (Lean Y5-or-never; Full/VI beyond Y5)</v>
      </c>
      <c r="G23" s="2" t="s">
        <v>1354</v>
      </c>
    </row>
    <row r="25" customFormat="false" ht="15" hidden="false" customHeight="false" outlineLevel="0" collapsed="false">
      <c r="A25" s="34" t="s">
        <v>1360</v>
      </c>
      <c r="B25" s="35"/>
      <c r="C25" s="35"/>
      <c r="D25" s="35"/>
      <c r="E25" s="35"/>
      <c r="F25" s="35"/>
      <c r="G25" s="35"/>
      <c r="H25" s="35"/>
      <c r="I25" s="35"/>
      <c r="J25" s="35"/>
    </row>
    <row r="26" customFormat="false" ht="15" hidden="false" customHeight="false" outlineLevel="0" collapsed="false">
      <c r="A26" s="3" t="s">
        <v>1361</v>
      </c>
      <c r="C26" s="7" t="str">
        <f aca="false">IF(ISNUMBER(09_Output!$C$7),IF(AND(09_Output!$C$7&gt;=00_Assumptions!$D$115,09_Output!$C$7&lt;=00_Assumptions!$E$115),"PASS","OUTSIDE REFERENCE CLASS: explain (see tie-out.md)"),"OUTSIDE REFERENCE CLASS: explain (milestone not reached)")</f>
        <v>PASS</v>
      </c>
    </row>
    <row r="27" customFormat="false" ht="15" hidden="false" customHeight="false" outlineLevel="0" collapsed="false">
      <c r="A27" s="3" t="s">
        <v>1362</v>
      </c>
      <c r="C27" s="7" t="str">
        <f aca="false">IF(AND(09_Output!$D$12&lt;00_Assumptions!$F$116,OR(AND(07_Cash!$G$57&gt;=00_Assumptions!$D$116,07_Cash!$G$57&lt;=00_Assumptions!$E$116),AND(09_Output!$D$12&gt;=00_Assumptions!$D$116,09_Output!$D$12&lt;=00_Assumptions!$E$116))),"PASS","OUTSIDE REFERENCE CLASS: explain (see tie-out.md)")</f>
        <v>PASS</v>
      </c>
      <c r="D27" s="53" t="str">
        <f aca="false">"Y4 "&amp;TEXT(07_Cash!$G$57,"#,##0")&amp;"; Y5 "&amp;TEXT(09_Output!$D$12,"#,##0")&amp;" vs band "&amp;TEXT(00_Assumptions!$D$116,"#,##0")&amp;"-"&amp;TEXT(00_Assumptions!$E$116,"#,##0")&amp;"; Anthropic burn to first adjusted result ~"&amp;TEXT(01_Data!$D$235,"#,##0")&amp;"-"&amp;TEXT(01_Data!$D$236,"#,##0")</f>
        <v>Y4 46,955; Y5 66,400 vs band 20,656-82,622; Anthropic burn to first adjusted result ~12,000-20,000</v>
      </c>
    </row>
    <row r="28" customFormat="false" ht="15" hidden="false" customHeight="false" outlineLevel="0" collapsed="false">
      <c r="A28" s="3" t="s">
        <v>1363</v>
      </c>
      <c r="C28" s="7" t="str">
        <f aca="false">IF(09_Output!$E$12&gt;=00_Assumptions!$D$117,"PASS","OUTSIDE REFERENCE CLASS: explain (see tie-out.md)")</f>
        <v>PASS</v>
      </c>
      <c r="D28" s="53" t="str">
        <f aca="false">"Y5 "&amp;TEXT(09_Output!$E$12,"#,##0")&amp;" vs floor "&amp;TEXT(00_Assumptions!$D$117,"#,##0")</f>
        <v>Y5 100,773 vs floor 57,366</v>
      </c>
    </row>
    <row r="30" customFormat="false" ht="15" hidden="false" customHeight="false" outlineLevel="0" collapsed="false">
      <c r="A30" s="34" t="s">
        <v>1364</v>
      </c>
      <c r="B30" s="35"/>
      <c r="C30" s="35"/>
      <c r="D30" s="35"/>
      <c r="E30" s="35"/>
      <c r="F30" s="35"/>
      <c r="G30" s="35"/>
      <c r="H30" s="35"/>
      <c r="I30" s="35"/>
      <c r="J30" s="35"/>
    </row>
    <row r="31" customFormat="false" ht="15" hidden="false" customHeight="false" outlineLevel="0" collapsed="false">
      <c r="A31" s="9" t="s">
        <v>169</v>
      </c>
      <c r="B31" s="9" t="s">
        <v>12</v>
      </c>
      <c r="C31" s="9" t="s">
        <v>171</v>
      </c>
      <c r="D31" s="9" t="s">
        <v>1365</v>
      </c>
      <c r="E31" s="9" t="s">
        <v>1193</v>
      </c>
      <c r="F31" s="9"/>
      <c r="G31" s="9" t="s">
        <v>173</v>
      </c>
    </row>
    <row r="32" customFormat="false" ht="15" hidden="false" customHeight="false" outlineLevel="0" collapsed="false">
      <c r="A32" s="10" t="s">
        <v>1366</v>
      </c>
      <c r="B32" s="2" t="s">
        <v>62</v>
      </c>
      <c r="C32" s="29" t="n">
        <f aca="false">00_Assumptions!$I$50*00_Assumptions!$F$23</f>
        <v>17600</v>
      </c>
      <c r="G32" s="2" t="s">
        <v>1367</v>
      </c>
    </row>
    <row r="33" customFormat="false" ht="15" hidden="false" customHeight="false" outlineLevel="0" collapsed="false">
      <c r="A33" s="10" t="s">
        <v>1368</v>
      </c>
      <c r="B33" s="2" t="s">
        <v>62</v>
      </c>
      <c r="C33" s="29" t="n">
        <f aca="false">00_Assumptions!$I$50/00_Assumptions!$F$20*00_Assumptions!$H$50*00_Assumptions!$F$11/00_Assumptions!$E$50</f>
        <v>16534.3915343915</v>
      </c>
      <c r="G33" s="2" t="s">
        <v>1369</v>
      </c>
    </row>
    <row r="34" customFormat="false" ht="15" hidden="false" customHeight="false" outlineLevel="0" collapsed="false">
      <c r="A34" s="10" t="s">
        <v>1370</v>
      </c>
      <c r="B34" s="2" t="s">
        <v>62</v>
      </c>
      <c r="C34" s="29" t="n">
        <f aca="false">C33*00_Assumptions!$F$18</f>
        <v>1322.75132275132</v>
      </c>
      <c r="G34" s="2" t="s">
        <v>1371</v>
      </c>
    </row>
    <row r="35" customFormat="false" ht="15" hidden="false" customHeight="false" outlineLevel="0" collapsed="false">
      <c r="A35" s="10" t="s">
        <v>1372</v>
      </c>
      <c r="B35" s="2" t="s">
        <v>62</v>
      </c>
      <c r="C35" s="29" t="n">
        <f aca="false">(C33+C34)*00_Assumptions!$F$19</f>
        <v>535.714285714286</v>
      </c>
      <c r="G35" s="2" t="s">
        <v>1373</v>
      </c>
    </row>
    <row r="36" customFormat="false" ht="15" hidden="false" customHeight="false" outlineLevel="0" collapsed="false">
      <c r="A36" s="10" t="s">
        <v>1374</v>
      </c>
      <c r="B36" s="2" t="s">
        <v>62</v>
      </c>
      <c r="C36" s="8" t="n">
        <f aca="false">SUM(C32:C35)</f>
        <v>35992.8571428571</v>
      </c>
      <c r="D36" s="53" t="n">
        <f aca="false">00_Assumptions!$D$118</f>
        <v>36400</v>
      </c>
      <c r="E36" s="7" t="str">
        <f aca="false">IF(ABS(C36-D36)&lt;=D36*00_Assumptions!$M$50,"PASS (within 20%)","OUTSIDE")</f>
        <v>PASS (within 20%)</v>
      </c>
      <c r="G36" s="2" t="s">
        <v>1375</v>
      </c>
    </row>
    <row r="37" customFormat="false" ht="15" hidden="false" customHeight="false" outlineLevel="0" collapsed="false">
      <c r="A37" s="10" t="s">
        <v>1376</v>
      </c>
      <c r="B37" s="2" t="s">
        <v>73</v>
      </c>
      <c r="C37" s="29" t="n">
        <f aca="false">00_Assumptions!$I$50*00_Assumptions!$D$50*00_Assumptions!$F$21*01_Data!$D$47/00_Assumptions!$E$50</f>
        <v>403.4856</v>
      </c>
      <c r="D37" s="53" t="n">
        <f aca="false">00_Assumptions!$E$118</f>
        <v>400</v>
      </c>
      <c r="E37" s="7" t="str">
        <f aca="false">IF(AND(C37&gt;=00_Assumptions!$E$118*(00_Assumptions!$K$50-00_Assumptions!$M$50),F37&lt;=00_Assumptions!$F$118*(00_Assumptions!$K$50+00_Assumptions!$M$50)),"PASS (within 20%)","OUTSIDE")</f>
        <v>PASS (within 20%)</v>
      </c>
      <c r="F37" s="29" t="n">
        <f aca="false">00_Assumptions!$I$50*00_Assumptions!$D$50*01_Data!$D$47/00_Assumptions!$E$50</f>
        <v>576.408</v>
      </c>
      <c r="G37" s="2" t="s">
        <v>1138</v>
      </c>
    </row>
    <row r="38" customFormat="false" ht="15" hidden="false" customHeight="false" outlineLevel="0" collapsed="false">
      <c r="A38" s="10" t="s">
        <v>1377</v>
      </c>
      <c r="B38" s="2" t="s">
        <v>73</v>
      </c>
      <c r="C38" s="29" t="n">
        <f aca="false">00_Assumptions!$I$50*01_Data!$D$85</f>
        <v>12531.328320802</v>
      </c>
      <c r="F38" s="29" t="n">
        <f aca="false">00_Assumptions!$I$50*01_Data!$D$84</f>
        <v>16304.347826087</v>
      </c>
      <c r="G38" s="2" t="s">
        <v>1150</v>
      </c>
    </row>
    <row r="39" customFormat="false" ht="15" hidden="false" customHeight="false" outlineLevel="0" collapsed="false">
      <c r="A39" s="10" t="s">
        <v>1378</v>
      </c>
      <c r="B39" s="2" t="s">
        <v>73</v>
      </c>
      <c r="C39" s="29" t="n">
        <f aca="false">00_Assumptions!$I$50*01_Data!$D$73</f>
        <v>1761.00628930818</v>
      </c>
      <c r="F39" s="29" t="n">
        <f aca="false">00_Assumptions!$I$50*01_Data!$D$75</f>
        <v>2382.19895287958</v>
      </c>
      <c r="G39" s="2" t="s">
        <v>1379</v>
      </c>
    </row>
    <row r="40" customFormat="false" ht="15" hidden="false" customHeight="false" outlineLevel="0" collapsed="false">
      <c r="A40" s="10" t="s">
        <v>1380</v>
      </c>
      <c r="B40" s="2" t="s">
        <v>36</v>
      </c>
      <c r="C40" s="16" t="n">
        <f aca="false">C36/C38</f>
        <v>2.87223</v>
      </c>
      <c r="D40" s="53" t="n">
        <f aca="false">00_Assumptions!$G$118</f>
        <v>2.5</v>
      </c>
      <c r="E40" s="7" t="str">
        <f aca="false">IF(AND(F40&gt;=00_Assumptions!$G$118*(00_Assumptions!$K$50-00_Assumptions!$M$50),C40&lt;=00_Assumptions!$H$118*(00_Assumptions!$K$50+00_Assumptions!$M$50)),"PASS (within 20%)","OUTSIDE")</f>
        <v>PASS (within 20%)</v>
      </c>
      <c r="F40" s="56" t="n">
        <f aca="false">C36/F38</f>
        <v>2.2075619047619</v>
      </c>
      <c r="G40" s="2" t="s">
        <v>1381</v>
      </c>
    </row>
    <row r="42" customFormat="false" ht="15" hidden="false" customHeight="false" outlineLevel="0" collapsed="false">
      <c r="A42" s="2" t="s">
        <v>1382</v>
      </c>
      <c r="C42" s="7" t="str">
        <f aca="false">00_Assumptions!$D$4</f>
        <v>2 Full frontier</v>
      </c>
    </row>
    <row r="43" customFormat="false" ht="15" hidden="false" customHeight="false" outlineLevel="0" collapsed="false">
      <c r="A43" s="2" t="s">
        <v>1383</v>
      </c>
      <c r="C43" s="53" t="str">
        <f aca="false">SW_GF_BACKSTOP</f>
        <v>No</v>
      </c>
      <c r="D43" s="53" t="str">
        <f aca="false">SW_GF_REGION</f>
        <v>Texas</v>
      </c>
      <c r="E43" s="53" t="str">
        <f aca="false">SW_GF_MODELCLASS</f>
        <v>dense-frontier</v>
      </c>
      <c r="F43" s="29" t="n">
        <f aca="false">SW_SSI</f>
        <v>7000</v>
      </c>
    </row>
    <row r="44" customFormat="false" ht="15" hidden="false" customHeight="false" outlineLevel="0" collapsed="false">
      <c r="A44" s="2" t="s">
        <v>1384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2026-09-09T21:15:26Z</dcterms:created>
  <dc:creator>openpyxl</dc:creator>
  <dc:description/>
  <dc:language>en-US</dc:language>
  <cp:lastModifiedBy/>
  <dcterms:modified xsi:type="dcterms:W3CDTF">2026-09-09T21:15:27Z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