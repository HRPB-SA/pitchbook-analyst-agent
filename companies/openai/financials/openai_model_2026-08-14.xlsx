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25
As of: 2026-06-12
Tier: T3
Source: desk estimate, net basis
Note: NET basis; PB $30B TTM 4Q2026 is a forward projection (Ruling 4)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852
As of: 2026-03-31
Tier: T2
Source: $122B round at $730B pre, confirmed on PitchBook Jul 16</t>
      </text>
    </comment>
    <comment ref="D27" authorId="0" shapeId="0">
      <text>
        <t>SOURCED FACT
Equity raised (equity only, house ruling R1)
Value: 181.2
As of: 2026-07-16
Tier: T2
Source: canonical: excludes $5.2365B debt (incl. $520M Jul-8 deal 338367-43T)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SOURCED FACT
Employees
Value: 4500
As of: 2026-03-21
Tier: T2
Source: PitchBook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OpenAI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2026-08-14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4</v>
      </c>
    </row>
    <row r="24">
      <c r="B24" s="8" t="inlineStr">
        <is>
          <t>Inputs that are desk assumptions</t>
        </is>
      </c>
      <c r="D24" s="11" t="n">
        <v>14</v>
      </c>
    </row>
    <row r="25">
      <c r="B25" s="8" t="inlineStr">
        <is>
          <t>Share sourced</t>
        </is>
      </c>
      <c r="D25" s="12" t="n">
        <v>0.2222222222222222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OpenAI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25000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852000</v>
      </c>
    </row>
    <row r="27">
      <c r="B27" s="8" t="inlineStr">
        <is>
          <t>Equity raised to date ($M)</t>
        </is>
      </c>
      <c r="D27" s="23" t="n">
        <v>181200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4500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OpenAI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7" t="inlineStr">
        <is>
          <t>Metric</t>
        </is>
      </c>
      <c r="D5" s="27" t="inlineStr">
        <is>
          <t>Value</t>
        </is>
      </c>
      <c r="F5" s="27" t="inlineStr">
        <is>
          <t>As of</t>
        </is>
      </c>
      <c r="H5" s="27" t="inlineStr">
        <is>
          <t>Tier</t>
        </is>
      </c>
      <c r="J5" s="27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OpenAI</t>
        </is>
      </c>
      <c r="F6" s="7" t="inlineStr">
        <is>
          <t>2026-07-16</t>
        </is>
      </c>
      <c r="H6" s="7" t="inlineStr">
        <is>
          <t>T2</t>
        </is>
      </c>
      <c r="J6" s="28" t="inlineStr">
        <is>
          <t>canonical refresh, July 16, 2026</t>
        </is>
      </c>
    </row>
    <row r="7">
      <c r="B7" s="17" t="inlineStr">
        <is>
          <t>PitchBook ID</t>
        </is>
      </c>
      <c r="C7" s="17" t="inlineStr"/>
      <c r="D7" s="15" t="inlineStr">
        <is>
          <t>149504-14</t>
        </is>
      </c>
      <c r="F7" s="7" t="inlineStr">
        <is>
          <t>2026-07-16</t>
        </is>
      </c>
      <c r="H7" s="7" t="inlineStr">
        <is>
          <t>T2</t>
        </is>
      </c>
      <c r="J7" s="28" t="inlineStr">
        <is>
          <t>PitchBook profile</t>
        </is>
      </c>
    </row>
    <row r="8">
      <c r="B8" s="17" t="inlineStr">
        <is>
          <t>Sector</t>
        </is>
      </c>
      <c r="C8" s="17" t="inlineStr"/>
      <c r="D8" s="15" t="inlineStr">
        <is>
          <t>AI-INFRA (frontier lab)</t>
        </is>
      </c>
      <c r="F8" s="7" t="inlineStr">
        <is>
          <t>2026-07-16</t>
        </is>
      </c>
      <c r="H8" s="7" t="inlineStr">
        <is>
          <t>T2</t>
        </is>
      </c>
      <c r="J8" s="28" t="inlineStr">
        <is>
          <t>canonical refresh, July 16, 2026</t>
        </is>
      </c>
    </row>
    <row r="9">
      <c r="B9" s="17" t="inlineStr">
        <is>
          <t>Valuation at last completed round</t>
        </is>
      </c>
      <c r="C9" s="17" t="inlineStr"/>
      <c r="D9" s="29" t="n">
        <v>852</v>
      </c>
      <c r="F9" s="7" t="inlineStr">
        <is>
          <t>2026-03-31</t>
        </is>
      </c>
      <c r="H9" s="7" t="inlineStr">
        <is>
          <t>T2</t>
        </is>
      </c>
      <c r="J9" s="28" t="inlineStr">
        <is>
          <t>$122B round at $730B pre, confirmed on PitchBook Jul 16</t>
        </is>
      </c>
    </row>
    <row r="10">
      <c r="B10" s="17" t="inlineStr">
        <is>
          <t>Total raised (equity and debt)</t>
        </is>
      </c>
      <c r="C10" s="17" t="inlineStr"/>
      <c r="D10" s="29" t="n">
        <v>186.4</v>
      </c>
      <c r="F10" s="7" t="inlineStr">
        <is>
          <t>2026-07-16</t>
        </is>
      </c>
      <c r="H10" s="7" t="inlineStr">
        <is>
          <t>T2</t>
        </is>
      </c>
      <c r="J10" s="28" t="inlineStr">
        <is>
          <t>PitchBook $186.4365B</t>
        </is>
      </c>
    </row>
    <row r="11">
      <c r="B11" s="17" t="inlineStr">
        <is>
          <t>Equity raised</t>
        </is>
      </c>
      <c r="C11" s="17" t="inlineStr"/>
      <c r="D11" s="29" t="n">
        <v>181.2</v>
      </c>
      <c r="F11" s="7" t="inlineStr">
        <is>
          <t>2026-07-16</t>
        </is>
      </c>
      <c r="H11" s="7" t="inlineStr">
        <is>
          <t>T2</t>
        </is>
      </c>
      <c r="J11" s="28" t="inlineStr">
        <is>
          <t>canonical: excludes $5.2365B debt (incl. $520M Jul-8 deal 338367-43T)</t>
        </is>
      </c>
    </row>
    <row r="12">
      <c r="B12" s="17" t="inlineStr">
        <is>
          <t>Debt raised</t>
        </is>
      </c>
      <c r="C12" s="17" t="inlineStr"/>
      <c r="D12" s="29" t="n">
        <v>5.2</v>
      </c>
      <c r="F12" s="7" t="inlineStr">
        <is>
          <t>2026-07-16</t>
        </is>
      </c>
      <c r="H12" s="7" t="inlineStr">
        <is>
          <t>T2</t>
        </is>
      </c>
      <c r="J12" s="28" t="inlineStr">
        <is>
          <t>PitchBook debt decomposition</t>
        </is>
      </c>
    </row>
    <row r="13">
      <c r="B13" s="17" t="inlineStr">
        <is>
          <t>Annualised revenue</t>
        </is>
      </c>
      <c r="C13" s="17" t="inlineStr"/>
      <c r="D13" s="29" t="n">
        <v>25</v>
      </c>
      <c r="F13" s="7" t="inlineStr">
        <is>
          <t>2026-06-12</t>
        </is>
      </c>
      <c r="H13" s="7" t="inlineStr">
        <is>
          <t>T3</t>
        </is>
      </c>
      <c r="J13" s="28" t="inlineStr">
        <is>
          <t>desk estimate, net basis</t>
        </is>
      </c>
    </row>
    <row r="14">
      <c r="B14" s="17" t="inlineStr">
        <is>
          <t>Fy2025 leak</t>
        </is>
      </c>
      <c r="C14" s="17" t="inlineStr"/>
      <c r="D14" s="15" t="inlineStr">
        <is>
          <t>Rev $13.07B / op loss $20.92B / group loss $60.35B incl. $41</t>
        </is>
      </c>
      <c r="F14" s="7" t="inlineStr">
        <is>
          <t>2026-06-16</t>
        </is>
      </c>
      <c r="H14" s="7" t="inlineStr">
        <is>
          <t>T3</t>
        </is>
      </c>
      <c r="J14" s="28" t="inlineStr">
        <is>
          <t>press reports of audited FY2025 (verified leak)</t>
        </is>
      </c>
    </row>
    <row r="15">
      <c r="B15" s="17" t="inlineStr">
        <is>
          <t>Gross margin 2025 (%)</t>
        </is>
      </c>
      <c r="C15" s="17" t="inlineStr"/>
      <c r="D15" s="29" t="n">
        <v>33</v>
      </c>
      <c r="F15" s="7" t="inlineStr">
        <is>
          <t>2026-02-27</t>
        </is>
      </c>
      <c r="H15" s="7" t="inlineStr">
        <is>
          <t>T3</t>
        </is>
      </c>
      <c r="J15" s="28" t="inlineStr">
        <is>
          <t>investor documents (press-reported)</t>
        </is>
      </c>
    </row>
    <row r="16">
      <c r="B16" s="17" t="inlineStr">
        <is>
          <t>Infra obligations tn</t>
        </is>
      </c>
      <c r="C16" s="17" t="inlineStr"/>
      <c r="D16" s="29" t="n">
        <v>1.15</v>
      </c>
      <c r="F16" s="7" t="inlineStr">
        <is>
          <t>2026-02-27</t>
        </is>
      </c>
      <c r="H16" s="7" t="inlineStr">
        <is>
          <t>T3</t>
        </is>
      </c>
      <c r="J16" s="28" t="inlineStr">
        <is>
          <t>investor documents (press-reported), 7 vendors</t>
        </is>
      </c>
    </row>
    <row r="17">
      <c r="B17" s="17" t="inlineStr">
        <is>
          <t>Employees</t>
        </is>
      </c>
      <c r="C17" s="17" t="inlineStr"/>
      <c r="D17" s="29" t="n">
        <v>4500</v>
      </c>
      <c r="F17" s="7" t="inlineStr">
        <is>
          <t>2026-03-21</t>
        </is>
      </c>
      <c r="H17" s="7" t="inlineStr">
        <is>
          <t>T2</t>
        </is>
      </c>
      <c r="J17" s="28" t="inlineStr">
        <is>
          <t>PitchBook</t>
        </is>
      </c>
    </row>
    <row r="18">
      <c r="B18" s="17" t="inlineStr">
        <is>
          <t>Altman pb listing</t>
        </is>
      </c>
      <c r="C18" s="17" t="inlineStr"/>
      <c r="D18" s="15" t="inlineStr">
        <is>
          <t>PB lists Altman as 'Co-Founder, Co-CEO &amp; Board Member', pers</t>
        </is>
      </c>
      <c r="F18" s="7" t="inlineStr">
        <is>
          <t>2026-07-16</t>
        </is>
      </c>
      <c r="H18" s="7" t="inlineStr">
        <is>
          <t>T2</t>
        </is>
      </c>
      <c r="J18" s="28" t="inlineStr">
        <is>
          <t>PitchBook profile</t>
        </is>
      </c>
    </row>
    <row r="19">
      <c r="B19" s="17" t="inlineStr">
        <is>
          <t>IPO filing status</t>
        </is>
      </c>
      <c r="C19" s="17" t="inlineStr"/>
      <c r="D19" s="15" t="inlineStr">
        <is>
          <t>Confidential S-1 filed Jun 8, 2026</t>
        </is>
      </c>
      <c r="F19" s="7" t="inlineStr">
        <is>
          <t>2026-06-08</t>
        </is>
      </c>
      <c r="H19" s="7" t="inlineStr">
        <is>
          <t>T2</t>
        </is>
      </c>
      <c r="J19" s="28" t="inlineStr">
        <is>
          <t>press + PitchBook</t>
        </is>
      </c>
    </row>
    <row r="20">
      <c r="B20" s="17" t="inlineStr">
        <is>
          <t>Expected IPO window</t>
        </is>
      </c>
      <c r="C20" s="17" t="inlineStr"/>
      <c r="D20" s="15" t="inlineStr">
        <is>
          <t>September 2026 (PitchBook, note refreshed Jul 9) vs media 20</t>
        </is>
      </c>
      <c r="F20" s="7" t="inlineStr">
        <is>
          <t>2026-07-16</t>
        </is>
      </c>
      <c r="H20" s="7" t="inlineStr">
        <is>
          <t>T2</t>
        </is>
      </c>
      <c r="J20" s="28" t="inlineStr">
        <is>
          <t>PitchBook + press</t>
        </is>
      </c>
    </row>
    <row r="21">
      <c r="B21" s="17" t="inlineStr">
        <is>
          <t>Quality score (composite)</t>
        </is>
      </c>
      <c r="C21" s="17" t="inlineStr"/>
      <c r="D21" s="29" t="n">
        <v>4.53</v>
      </c>
      <c r="F21" s="7" t="inlineStr">
        <is>
          <t>2026-05-27</t>
        </is>
      </c>
      <c r="H21" s="7" t="inlineStr">
        <is>
          <t>T2</t>
        </is>
      </c>
      <c r="J21" s="28" t="inlineStr">
        <is>
          <t>internal AIBQ v3.0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OpenAI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0" t="inlineStr"/>
      <c r="E8" s="30">
        <f>E9/D9-1</f>
        <v/>
      </c>
      <c r="F8" s="30">
        <f>F9/E9-1</f>
        <v/>
      </c>
      <c r="G8" s="30">
        <f>G9/F9-1</f>
        <v/>
      </c>
      <c r="H8" s="30">
        <f>H9/G9-1</f>
        <v/>
      </c>
      <c r="I8" s="30">
        <f>MAX(Inputs!$D$14,H8-Inputs!$D$13)*Inputs!$D$15</f>
        <v/>
      </c>
      <c r="J8" s="30">
        <f>MAX(Inputs!$D$14,I8-Inputs!$D$13)*Inputs!$D$15</f>
        <v/>
      </c>
      <c r="K8" s="30">
        <f>MAX(Inputs!$D$14,J8-Inputs!$D$13)*Inputs!$D$15</f>
        <v/>
      </c>
      <c r="L8" s="30">
        <f>MAX(Inputs!$D$14,K8-Inputs!$D$13)*Inputs!$D$15</f>
        <v/>
      </c>
      <c r="M8" s="30">
        <f>MAX(Inputs!$D$14,L8-Inputs!$D$13)*Inputs!$D$15</f>
        <v/>
      </c>
      <c r="N8" s="30">
        <f>MAX(Inputs!$D$14,M8-Inputs!$D$13)*Inputs!$D$15</f>
        <v/>
      </c>
    </row>
    <row r="9">
      <c r="B9" s="8" t="inlineStr">
        <is>
          <t>Revenue</t>
        </is>
      </c>
      <c r="D9" s="23" t="n">
        <v>4938.3</v>
      </c>
      <c r="E9" s="23" t="n">
        <v>7407.4</v>
      </c>
      <c r="F9" s="23" t="n">
        <v>11111.1</v>
      </c>
      <c r="G9" s="23" t="n">
        <v>16666.7</v>
      </c>
      <c r="H9" s="23" t="n">
        <v>25000</v>
      </c>
      <c r="I9" s="31">
        <f>H9*(1+I8)</f>
        <v/>
      </c>
      <c r="J9" s="31">
        <f>I9*(1+J8)</f>
        <v/>
      </c>
      <c r="K9" s="31">
        <f>J9*(1+K8)</f>
        <v/>
      </c>
      <c r="L9" s="31">
        <f>K9*(1+L8)</f>
        <v/>
      </c>
      <c r="M9" s="31">
        <f>L9*(1+M8)</f>
        <v/>
      </c>
      <c r="N9" s="31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0">
        <f>Inputs!$D$18</f>
        <v/>
      </c>
      <c r="E12" s="30">
        <f>Inputs!$D$18</f>
        <v/>
      </c>
      <c r="F12" s="30">
        <f>Inputs!$D$18</f>
        <v/>
      </c>
      <c r="G12" s="30">
        <f>Inputs!$D$18</f>
        <v/>
      </c>
      <c r="H12" s="30">
        <f>Inputs!$D$18</f>
        <v/>
      </c>
      <c r="I12" s="30">
        <f>H12+Inputs!$D$19</f>
        <v/>
      </c>
      <c r="J12" s="30">
        <f>I12+Inputs!$D$19</f>
        <v/>
      </c>
      <c r="K12" s="30">
        <f>J12+Inputs!$D$19</f>
        <v/>
      </c>
      <c r="L12" s="30">
        <f>K12+Inputs!$D$19</f>
        <v/>
      </c>
      <c r="M12" s="30">
        <f>L12+Inputs!$D$19</f>
        <v/>
      </c>
      <c r="N12" s="30">
        <f>M12+Inputs!$D$19</f>
        <v/>
      </c>
    </row>
    <row r="13">
      <c r="B13" s="8" t="inlineStr">
        <is>
          <t>Gross profit</t>
        </is>
      </c>
      <c r="D13" s="31">
        <f>D9*D12</f>
        <v/>
      </c>
      <c r="E13" s="31">
        <f>E9*E12</f>
        <v/>
      </c>
      <c r="F13" s="31">
        <f>F9*F12</f>
        <v/>
      </c>
      <c r="G13" s="31">
        <f>G9*G12</f>
        <v/>
      </c>
      <c r="H13" s="31">
        <f>H9*H12</f>
        <v/>
      </c>
      <c r="I13" s="31">
        <f>I9*I12</f>
        <v/>
      </c>
      <c r="J13" s="31">
        <f>J9*J12</f>
        <v/>
      </c>
      <c r="K13" s="31">
        <f>K9*K12</f>
        <v/>
      </c>
      <c r="L13" s="31">
        <f>L9*L12</f>
        <v/>
      </c>
      <c r="M13" s="31">
        <f>M9*M12</f>
        <v/>
      </c>
      <c r="N13" s="31">
        <f>N9*N12</f>
        <v/>
      </c>
    </row>
    <row r="14">
      <c r="B14" s="8" t="inlineStr">
        <is>
          <t>Sales and marketing</t>
        </is>
      </c>
      <c r="D14" s="31">
        <f>D9*MAX(0.02,Inputs!$D$20+Inputs!$D$23*MAX(0,D5-2026))</f>
        <v/>
      </c>
      <c r="E14" s="31">
        <f>E9*MAX(0.02,Inputs!$D$20+Inputs!$D$23*MAX(0,E5-2026))</f>
        <v/>
      </c>
      <c r="F14" s="31">
        <f>F9*MAX(0.02,Inputs!$D$20+Inputs!$D$23*MAX(0,F5-2026))</f>
        <v/>
      </c>
      <c r="G14" s="31">
        <f>G9*MAX(0.02,Inputs!$D$20+Inputs!$D$23*MAX(0,G5-2026))</f>
        <v/>
      </c>
      <c r="H14" s="31">
        <f>H9*MAX(0.02,Inputs!$D$20+Inputs!$D$23*MAX(0,H5-2026))</f>
        <v/>
      </c>
      <c r="I14" s="31">
        <f>I9*MAX(0.02,Inputs!$D$20+Inputs!$D$23*MAX(0,I5-2026))</f>
        <v/>
      </c>
      <c r="J14" s="31">
        <f>J9*MAX(0.02,Inputs!$D$20+Inputs!$D$23*MAX(0,J5-2026))</f>
        <v/>
      </c>
      <c r="K14" s="31">
        <f>K9*MAX(0.02,Inputs!$D$20+Inputs!$D$23*MAX(0,K5-2026))</f>
        <v/>
      </c>
      <c r="L14" s="31">
        <f>L9*MAX(0.02,Inputs!$D$20+Inputs!$D$23*MAX(0,L5-2026))</f>
        <v/>
      </c>
      <c r="M14" s="31">
        <f>M9*MAX(0.02,Inputs!$D$20+Inputs!$D$23*MAX(0,M5-2026))</f>
        <v/>
      </c>
      <c r="N14" s="31">
        <f>N9*MAX(0.02,Inputs!$D$20+Inputs!$D$23*MAX(0,N5-2026))</f>
        <v/>
      </c>
    </row>
    <row r="15">
      <c r="B15" s="8" t="inlineStr">
        <is>
          <t>Research and development</t>
        </is>
      </c>
      <c r="D15" s="31">
        <f>D9*MAX(0.02,Inputs!$D$21+Inputs!$D$23*MAX(0,D5-2026))</f>
        <v/>
      </c>
      <c r="E15" s="31">
        <f>E9*MAX(0.02,Inputs!$D$21+Inputs!$D$23*MAX(0,E5-2026))</f>
        <v/>
      </c>
      <c r="F15" s="31">
        <f>F9*MAX(0.02,Inputs!$D$21+Inputs!$D$23*MAX(0,F5-2026))</f>
        <v/>
      </c>
      <c r="G15" s="31">
        <f>G9*MAX(0.02,Inputs!$D$21+Inputs!$D$23*MAX(0,G5-2026))</f>
        <v/>
      </c>
      <c r="H15" s="31">
        <f>H9*MAX(0.02,Inputs!$D$21+Inputs!$D$23*MAX(0,H5-2026))</f>
        <v/>
      </c>
      <c r="I15" s="31">
        <f>I9*MAX(0.02,Inputs!$D$21+Inputs!$D$23*MAX(0,I5-2026))</f>
        <v/>
      </c>
      <c r="J15" s="31">
        <f>J9*MAX(0.02,Inputs!$D$21+Inputs!$D$23*MAX(0,J5-2026))</f>
        <v/>
      </c>
      <c r="K15" s="31">
        <f>K9*MAX(0.02,Inputs!$D$21+Inputs!$D$23*MAX(0,K5-2026))</f>
        <v/>
      </c>
      <c r="L15" s="31">
        <f>L9*MAX(0.02,Inputs!$D$21+Inputs!$D$23*MAX(0,L5-2026))</f>
        <v/>
      </c>
      <c r="M15" s="31">
        <f>M9*MAX(0.02,Inputs!$D$21+Inputs!$D$23*MAX(0,M5-2026))</f>
        <v/>
      </c>
      <c r="N15" s="31">
        <f>N9*MAX(0.02,Inputs!$D$21+Inputs!$D$23*MAX(0,N5-2026))</f>
        <v/>
      </c>
    </row>
    <row r="16">
      <c r="B16" s="8" t="inlineStr">
        <is>
          <t>General and administrative</t>
        </is>
      </c>
      <c r="D16" s="31">
        <f>D9*MAX(0.02,Inputs!$D$22+Inputs!$D$23*MAX(0,D5-2026))</f>
        <v/>
      </c>
      <c r="E16" s="31">
        <f>E9*MAX(0.02,Inputs!$D$22+Inputs!$D$23*MAX(0,E5-2026))</f>
        <v/>
      </c>
      <c r="F16" s="31">
        <f>F9*MAX(0.02,Inputs!$D$22+Inputs!$D$23*MAX(0,F5-2026))</f>
        <v/>
      </c>
      <c r="G16" s="31">
        <f>G9*MAX(0.02,Inputs!$D$22+Inputs!$D$23*MAX(0,G5-2026))</f>
        <v/>
      </c>
      <c r="H16" s="31">
        <f>H9*MAX(0.02,Inputs!$D$22+Inputs!$D$23*MAX(0,H5-2026))</f>
        <v/>
      </c>
      <c r="I16" s="31">
        <f>I9*MAX(0.02,Inputs!$D$22+Inputs!$D$23*MAX(0,I5-2026))</f>
        <v/>
      </c>
      <c r="J16" s="31">
        <f>J9*MAX(0.02,Inputs!$D$22+Inputs!$D$23*MAX(0,J5-2026))</f>
        <v/>
      </c>
      <c r="K16" s="31">
        <f>K9*MAX(0.02,Inputs!$D$22+Inputs!$D$23*MAX(0,K5-2026))</f>
        <v/>
      </c>
      <c r="L16" s="31">
        <f>L9*MAX(0.02,Inputs!$D$22+Inputs!$D$23*MAX(0,L5-2026))</f>
        <v/>
      </c>
      <c r="M16" s="31">
        <f>M9*MAX(0.02,Inputs!$D$22+Inputs!$D$23*MAX(0,M5-2026))</f>
        <v/>
      </c>
      <c r="N16" s="31">
        <f>N9*MAX(0.02,Inputs!$D$22+Inputs!$D$23*MAX(0,N5-2026))</f>
        <v/>
      </c>
    </row>
    <row r="17">
      <c r="B17" s="6" t="inlineStr">
        <is>
          <t>Total operating expenses</t>
        </is>
      </c>
      <c r="D17" s="32">
        <f>SUM(D14:D16)</f>
        <v/>
      </c>
      <c r="E17" s="32">
        <f>SUM(E14:E16)</f>
        <v/>
      </c>
      <c r="F17" s="32">
        <f>SUM(F14:F16)</f>
        <v/>
      </c>
      <c r="G17" s="32">
        <f>SUM(G14:G16)</f>
        <v/>
      </c>
      <c r="H17" s="32">
        <f>SUM(H14:H16)</f>
        <v/>
      </c>
      <c r="I17" s="32">
        <f>SUM(I14:I16)</f>
        <v/>
      </c>
      <c r="J17" s="32">
        <f>SUM(J14:J16)</f>
        <v/>
      </c>
      <c r="K17" s="32">
        <f>SUM(K14:K16)</f>
        <v/>
      </c>
      <c r="L17" s="32">
        <f>SUM(L14:L16)</f>
        <v/>
      </c>
      <c r="M17" s="32">
        <f>SUM(M14:M16)</f>
        <v/>
      </c>
      <c r="N17" s="32">
        <f>SUM(N14:N16)</f>
        <v/>
      </c>
    </row>
    <row r="18">
      <c r="B18" s="6" t="inlineStr">
        <is>
          <t>Operating profit</t>
        </is>
      </c>
      <c r="D18" s="32">
        <f>D13-D17</f>
        <v/>
      </c>
      <c r="E18" s="32">
        <f>E13-E17</f>
        <v/>
      </c>
      <c r="F18" s="32">
        <f>F13-F17</f>
        <v/>
      </c>
      <c r="G18" s="32">
        <f>G13-G17</f>
        <v/>
      </c>
      <c r="H18" s="32">
        <f>H13-H17</f>
        <v/>
      </c>
      <c r="I18" s="32">
        <f>I13-I17</f>
        <v/>
      </c>
      <c r="J18" s="32">
        <f>J13-J17</f>
        <v/>
      </c>
      <c r="K18" s="32">
        <f>K13-K17</f>
        <v/>
      </c>
      <c r="L18" s="32">
        <f>L13-L17</f>
        <v/>
      </c>
      <c r="M18" s="32">
        <f>M13-M17</f>
        <v/>
      </c>
      <c r="N18" s="32">
        <f>N13-N17</f>
        <v/>
      </c>
    </row>
    <row r="19">
      <c r="B19" s="8" t="inlineStr">
        <is>
          <t>Operating margin (%)</t>
        </is>
      </c>
      <c r="D19" s="30">
        <f>IF(D9=0,0,D18/D9)</f>
        <v/>
      </c>
      <c r="E19" s="30">
        <f>IF(E9=0,0,E18/E9)</f>
        <v/>
      </c>
      <c r="F19" s="30">
        <f>IF(F9=0,0,F18/F9)</f>
        <v/>
      </c>
      <c r="G19" s="30">
        <f>IF(G9=0,0,G18/G9)</f>
        <v/>
      </c>
      <c r="H19" s="30">
        <f>IF(H9=0,0,H18/H9)</f>
        <v/>
      </c>
      <c r="I19" s="30">
        <f>IF(I9=0,0,I18/I9)</f>
        <v/>
      </c>
      <c r="J19" s="30">
        <f>IF(J9=0,0,J18/J9)</f>
        <v/>
      </c>
      <c r="K19" s="30">
        <f>IF(K9=0,0,K18/K9)</f>
        <v/>
      </c>
      <c r="L19" s="30">
        <f>IF(L9=0,0,L18/L9)</f>
        <v/>
      </c>
      <c r="M19" s="30">
        <f>IF(M9=0,0,M18/M9)</f>
        <v/>
      </c>
      <c r="N19" s="30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1">
        <f>-MAX(0,D18)*Inputs!$D$29</f>
        <v/>
      </c>
      <c r="E22" s="31">
        <f>-MAX(0,E18)*Inputs!$D$29</f>
        <v/>
      </c>
      <c r="F22" s="31">
        <f>-MAX(0,F18)*Inputs!$D$29</f>
        <v/>
      </c>
      <c r="G22" s="31">
        <f>-MAX(0,G18)*Inputs!$D$29</f>
        <v/>
      </c>
      <c r="H22" s="31">
        <f>-MAX(0,H18)*Inputs!$D$29</f>
        <v/>
      </c>
      <c r="I22" s="31">
        <f>-MAX(0,I18)*Inputs!$D$29</f>
        <v/>
      </c>
      <c r="J22" s="31">
        <f>-MAX(0,J18)*Inputs!$D$29</f>
        <v/>
      </c>
      <c r="K22" s="31">
        <f>-MAX(0,K18)*Inputs!$D$29</f>
        <v/>
      </c>
      <c r="L22" s="31">
        <f>-MAX(0,L18)*Inputs!$D$29</f>
        <v/>
      </c>
      <c r="M22" s="31">
        <f>-MAX(0,M18)*Inputs!$D$29</f>
        <v/>
      </c>
      <c r="N22" s="31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1">
        <f>-D9*Model!$D$23</f>
        <v/>
      </c>
      <c r="E24" s="31">
        <f>-E9*Model!$D$23</f>
        <v/>
      </c>
      <c r="F24" s="31">
        <f>-F9*Model!$D$23</f>
        <v/>
      </c>
      <c r="G24" s="31">
        <f>-G9*Model!$D$23</f>
        <v/>
      </c>
      <c r="H24" s="31">
        <f>-H9*Model!$D$23</f>
        <v/>
      </c>
      <c r="I24" s="31">
        <f>-I9*Model!$D$23</f>
        <v/>
      </c>
      <c r="J24" s="31">
        <f>-J9*Model!$D$23</f>
        <v/>
      </c>
      <c r="K24" s="31">
        <f>-K9*Model!$D$23</f>
        <v/>
      </c>
      <c r="L24" s="31">
        <f>-L9*Model!$D$23</f>
        <v/>
      </c>
      <c r="M24" s="31">
        <f>-M9*Model!$D$23</f>
        <v/>
      </c>
      <c r="N24" s="31">
        <f>-N9*Model!$D$23</f>
        <v/>
      </c>
    </row>
    <row r="25">
      <c r="B25" s="6" t="inlineStr">
        <is>
          <t>Free cash flow</t>
        </is>
      </c>
      <c r="D25" s="32">
        <f>D18+D22+D24</f>
        <v/>
      </c>
      <c r="E25" s="32">
        <f>E18+E22+E24</f>
        <v/>
      </c>
      <c r="F25" s="32">
        <f>F18+F22+F24</f>
        <v/>
      </c>
      <c r="G25" s="32">
        <f>G18+G22+G24</f>
        <v/>
      </c>
      <c r="H25" s="32">
        <f>H18+H22+H24</f>
        <v/>
      </c>
      <c r="I25" s="32">
        <f>I18+I22+I24</f>
        <v/>
      </c>
      <c r="J25" s="32">
        <f>J18+J22+J24</f>
        <v/>
      </c>
      <c r="K25" s="32">
        <f>K18+K22+K24</f>
        <v/>
      </c>
      <c r="L25" s="32">
        <f>L18+L22+L24</f>
        <v/>
      </c>
      <c r="M25" s="32">
        <f>M18+M22+M24</f>
        <v/>
      </c>
      <c r="N25" s="32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1">
        <f>IF(D9=0,0,D9*1000/MAX(1,Inputs!$D$34))</f>
        <v/>
      </c>
      <c r="E28" s="31">
        <f>IF(E9=0,0,E9*1000/MAX(1,Inputs!$D$34))</f>
        <v/>
      </c>
      <c r="F28" s="31">
        <f>IF(F9=0,0,F9*1000/MAX(1,Inputs!$D$34))</f>
        <v/>
      </c>
      <c r="G28" s="31">
        <f>IF(G9=0,0,G9*1000/MAX(1,Inputs!$D$34))</f>
        <v/>
      </c>
      <c r="H28" s="31">
        <f>IF(H9=0,0,H9*1000/MAX(1,Inputs!$D$34))</f>
        <v/>
      </c>
      <c r="I28" s="31">
        <f>IF(I9=0,0,I9*1000/MAX(1,Inputs!$D$34))</f>
        <v/>
      </c>
      <c r="J28" s="31">
        <f>IF(J9=0,0,J9*1000/MAX(1,Inputs!$D$34))</f>
        <v/>
      </c>
      <c r="K28" s="31">
        <f>IF(K9=0,0,K9*1000/MAX(1,Inputs!$D$34))</f>
        <v/>
      </c>
      <c r="L28" s="31">
        <f>IF(L9=0,0,L9*1000/MAX(1,Inputs!$D$34))</f>
        <v/>
      </c>
      <c r="M28" s="31">
        <f>IF(M9=0,0,M9*1000/MAX(1,Inputs!$D$34))</f>
        <v/>
      </c>
      <c r="N28" s="31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OpenAI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>
        <f>1/(1+Inputs!$D$28)^1</f>
        <v/>
      </c>
      <c r="J8" s="33">
        <f>1/(1+Inputs!$D$28)^2</f>
        <v/>
      </c>
      <c r="K8" s="33">
        <f>1/(1+Inputs!$D$28)^3</f>
        <v/>
      </c>
      <c r="L8" s="33">
        <f>1/(1+Inputs!$D$28)^4</f>
        <v/>
      </c>
      <c r="M8" s="33">
        <f>1/(1+Inputs!$D$28)^5</f>
        <v/>
      </c>
      <c r="N8" s="33">
        <f>1/(1+Inputs!$D$28)^6</f>
        <v/>
      </c>
    </row>
    <row r="9">
      <c r="B9" s="8" t="inlineStr">
        <is>
          <t>Present value of free cash flow</t>
        </is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>
        <f>Model!I25*I8</f>
        <v/>
      </c>
      <c r="J9" s="31">
        <f>Model!J25*J8</f>
        <v/>
      </c>
      <c r="K9" s="31">
        <f>Model!K25*K8</f>
        <v/>
      </c>
      <c r="L9" s="31">
        <f>Model!L25*L8</f>
        <v/>
      </c>
      <c r="M9" s="31">
        <f>Model!M25*M8</f>
        <v/>
      </c>
      <c r="N9" s="31">
        <f>Model!N25*N8</f>
        <v/>
      </c>
    </row>
    <row r="11">
      <c r="B11" s="6" t="inlineStr">
        <is>
          <t>Sum of discounted cash flows</t>
        </is>
      </c>
      <c r="D11" s="32">
        <f>SUM(I9:N9)</f>
        <v/>
      </c>
    </row>
    <row r="12">
      <c r="B12" s="8" t="inlineStr">
        <is>
          <t>Terminal value (perpetuity)</t>
        </is>
      </c>
      <c r="D12" s="31">
        <f>Model!N25*(1+Inputs!$D$14)/(Inputs!$D$28-Inputs!$D$14)*N8</f>
        <v/>
      </c>
    </row>
    <row r="13">
      <c r="B13" s="8" t="inlineStr">
        <is>
          <t>Terminal value (exit multiple)</t>
        </is>
      </c>
      <c r="D13" s="31">
        <f>Model!N9*Inputs!$D$30*N8</f>
        <v/>
      </c>
    </row>
    <row r="14">
      <c r="B14" s="8" t="inlineStr">
        <is>
          <t>Spread between the two methods</t>
        </is>
      </c>
      <c r="D14" s="34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2">
        <f>D12</f>
        <v/>
      </c>
    </row>
    <row r="17">
      <c r="B17" s="35" t="inlineStr">
        <is>
          <t>Enterprise value</t>
        </is>
      </c>
      <c r="D17" s="36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7">
        <f>Inputs!$D$26</f>
        <v/>
      </c>
    </row>
    <row r="21">
      <c r="B21" s="8" t="inlineStr">
        <is>
          <t>Model value against the stored mark</t>
        </is>
      </c>
      <c r="D21" s="34">
        <f>IF(D20=0,0,Valuation!$D$17/D20)</f>
        <v/>
      </c>
    </row>
    <row r="22">
      <c r="B22" s="8" t="inlineStr">
        <is>
          <t>Stored mark against latest revenue</t>
        </is>
      </c>
      <c r="D22" s="34">
        <f>IF(Model!H9=0,0,D20/Model!H9)</f>
        <v/>
      </c>
    </row>
    <row r="23">
      <c r="B23" s="8" t="inlineStr">
        <is>
          <t>Stored mark per dollar of equity raised</t>
        </is>
      </c>
      <c r="D23" s="34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OpenAI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7">
        <f>Model!D9</f>
        <v/>
      </c>
      <c r="E7" s="37">
        <f>Model!E9</f>
        <v/>
      </c>
      <c r="F7" s="37">
        <f>Model!F9</f>
        <v/>
      </c>
      <c r="G7" s="37">
        <f>Model!G9</f>
        <v/>
      </c>
      <c r="H7" s="37">
        <f>Model!H9</f>
        <v/>
      </c>
      <c r="I7" s="37">
        <f>Model!I9</f>
        <v/>
      </c>
      <c r="J7" s="37">
        <f>Model!J9</f>
        <v/>
      </c>
      <c r="K7" s="37">
        <f>Model!K9</f>
        <v/>
      </c>
      <c r="L7" s="37">
        <f>Model!L9</f>
        <v/>
      </c>
      <c r="M7" s="37">
        <f>Model!M9</f>
        <v/>
      </c>
      <c r="N7" s="37">
        <f>Model!N9</f>
        <v/>
      </c>
    </row>
    <row r="8">
      <c r="B8" s="6" t="inlineStr">
        <is>
          <t>Gross profit</t>
        </is>
      </c>
      <c r="D8" s="37">
        <f>Model!D13</f>
        <v/>
      </c>
      <c r="E8" s="37">
        <f>Model!E13</f>
        <v/>
      </c>
      <c r="F8" s="37">
        <f>Model!F13</f>
        <v/>
      </c>
      <c r="G8" s="37">
        <f>Model!G13</f>
        <v/>
      </c>
      <c r="H8" s="37">
        <f>Model!H13</f>
        <v/>
      </c>
      <c r="I8" s="37">
        <f>Model!I13</f>
        <v/>
      </c>
      <c r="J8" s="37">
        <f>Model!J13</f>
        <v/>
      </c>
      <c r="K8" s="37">
        <f>Model!K13</f>
        <v/>
      </c>
      <c r="L8" s="37">
        <f>Model!L13</f>
        <v/>
      </c>
      <c r="M8" s="37">
        <f>Model!M13</f>
        <v/>
      </c>
      <c r="N8" s="37">
        <f>Model!N13</f>
        <v/>
      </c>
    </row>
    <row r="9">
      <c r="B9" s="6" t="inlineStr">
        <is>
          <t>Operating profit</t>
        </is>
      </c>
      <c r="D9" s="37">
        <f>Model!D18</f>
        <v/>
      </c>
      <c r="E9" s="37">
        <f>Model!E18</f>
        <v/>
      </c>
      <c r="F9" s="37">
        <f>Model!F18</f>
        <v/>
      </c>
      <c r="G9" s="37">
        <f>Model!G18</f>
        <v/>
      </c>
      <c r="H9" s="37">
        <f>Model!H18</f>
        <v/>
      </c>
      <c r="I9" s="37">
        <f>Model!I18</f>
        <v/>
      </c>
      <c r="J9" s="37">
        <f>Model!J18</f>
        <v/>
      </c>
      <c r="K9" s="37">
        <f>Model!K18</f>
        <v/>
      </c>
      <c r="L9" s="37">
        <f>Model!L18</f>
        <v/>
      </c>
      <c r="M9" s="37">
        <f>Model!M18</f>
        <v/>
      </c>
      <c r="N9" s="37">
        <f>Model!N18</f>
        <v/>
      </c>
    </row>
    <row r="10">
      <c r="B10" s="6" t="inlineStr">
        <is>
          <t>Free cash flow</t>
        </is>
      </c>
      <c r="D10" s="37">
        <f>Model!D25</f>
        <v/>
      </c>
      <c r="E10" s="37">
        <f>Model!E25</f>
        <v/>
      </c>
      <c r="F10" s="37">
        <f>Model!F25</f>
        <v/>
      </c>
      <c r="G10" s="37">
        <f>Model!G25</f>
        <v/>
      </c>
      <c r="H10" s="37">
        <f>Model!H25</f>
        <v/>
      </c>
      <c r="I10" s="37">
        <f>Model!I25</f>
        <v/>
      </c>
      <c r="J10" s="37">
        <f>Model!J25</f>
        <v/>
      </c>
      <c r="K10" s="37">
        <f>Model!K25</f>
        <v/>
      </c>
      <c r="L10" s="37">
        <f>Model!L25</f>
        <v/>
      </c>
      <c r="M10" s="37">
        <f>Model!M25</f>
        <v/>
      </c>
      <c r="N10" s="37">
        <f>Model!N25</f>
        <v/>
      </c>
    </row>
    <row r="12">
      <c r="B12" s="35" t="inlineStr">
        <is>
          <t>Enterprise value (discounted cash flow)</t>
        </is>
      </c>
      <c r="D12" s="36">
        <f>Valuation!$D$17</f>
        <v/>
      </c>
    </row>
    <row r="14">
      <c r="B14" s="14" t="inlineStr">
        <is>
          <t>What this business does</t>
        </is>
      </c>
    </row>
    <row r="15" ht="30" customHeight="1">
      <c r="B15" s="38" t="inlineStr">
        <is>
          <t>Makes ChatGPT and sells the AI models behind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2026-08-14T13:32:01Z</dcterms:created>
  <dcterms:modified xmlns:dcterms="http://purl.org/dc/terms/" xmlns:xsi="http://www.w3.org/2001/XMLSchema-instance" xsi:type="dcterms:W3CDTF">2026-08-14T13:32:01Z</dcterms:modified>
</cp:coreProperties>
</file>