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25
As of: 2026-06-12
Tier: T3
Source: desk estimate, net basis
Note: NET basis; PB $30B TTM 4Q2026 is a forward projection (Ruling 4)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852
As of: 2026-03-31
Tier: T2
Source: $122B round at $730B pre, confirmed on PitchBook Jul 16</t>
      </text>
    </comment>
    <comment ref="D27" authorId="0" shapeId="0">
      <text>
        <t>SOURCED FACT
Equity raised (equity only, house ruling R1)
Value: 181.2
As of: 2026-07-16
Tier: T2
Source: canonical: excludes $5.2365B debt (incl. $520M Jul-8 deal 338367-43T)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4500
As of: 2026-03-21
Tier: T2
Source: PitchBook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4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0.2222222222222222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25000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852000</v>
      </c>
    </row>
    <row r="27">
      <c r="B27" s="8" t="inlineStr">
        <is>
          <t>Equity raised to date ($M)</t>
        </is>
      </c>
      <c r="D27" s="23" t="n">
        <v>181200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4500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OpenAI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149504-14</t>
        </is>
      </c>
      <c r="F7" s="7" t="inlineStr">
        <is>
          <t>2026-07-16</t>
        </is>
      </c>
      <c r="H7" s="7" t="inlineStr">
        <is>
          <t>T2</t>
        </is>
      </c>
      <c r="J7" s="28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8" t="inlineStr">
        <is>
          <t>canonical refresh, July 16, 2026</t>
        </is>
      </c>
    </row>
    <row r="9">
      <c r="B9" s="17" t="inlineStr">
        <is>
          <t>Valuation at last completed round</t>
        </is>
      </c>
      <c r="C9" s="17" t="inlineStr"/>
      <c r="D9" s="29" t="n">
        <v>852</v>
      </c>
      <c r="F9" s="7" t="inlineStr">
        <is>
          <t>2026-03-31</t>
        </is>
      </c>
      <c r="H9" s="7" t="inlineStr">
        <is>
          <t>T2</t>
        </is>
      </c>
      <c r="J9" s="28" t="inlineStr">
        <is>
          <t>$122B round at $730B pre, confirmed on PitchBook Jul 16</t>
        </is>
      </c>
    </row>
    <row r="10">
      <c r="B10" s="17" t="inlineStr">
        <is>
          <t>Total raised (equity and debt)</t>
        </is>
      </c>
      <c r="C10" s="17" t="inlineStr"/>
      <c r="D10" s="29" t="n">
        <v>186.4</v>
      </c>
      <c r="F10" s="7" t="inlineStr">
        <is>
          <t>2026-07-16</t>
        </is>
      </c>
      <c r="H10" s="7" t="inlineStr">
        <is>
          <t>T2</t>
        </is>
      </c>
      <c r="J10" s="28" t="inlineStr">
        <is>
          <t>PitchBook $186.4365B</t>
        </is>
      </c>
    </row>
    <row r="11">
      <c r="B11" s="17" t="inlineStr">
        <is>
          <t>Equity raised</t>
        </is>
      </c>
      <c r="C11" s="17" t="inlineStr"/>
      <c r="D11" s="29" t="n">
        <v>181.2</v>
      </c>
      <c r="F11" s="7" t="inlineStr">
        <is>
          <t>2026-07-16</t>
        </is>
      </c>
      <c r="H11" s="7" t="inlineStr">
        <is>
          <t>T2</t>
        </is>
      </c>
      <c r="J11" s="28" t="inlineStr">
        <is>
          <t>canonical: excludes $5.2365B debt (incl. $520M Jul-8 deal 338367-43T)</t>
        </is>
      </c>
    </row>
    <row r="12">
      <c r="B12" s="17" t="inlineStr">
        <is>
          <t>Debt raised</t>
        </is>
      </c>
      <c r="C12" s="17" t="inlineStr"/>
      <c r="D12" s="29" t="n">
        <v>5.2</v>
      </c>
      <c r="F12" s="7" t="inlineStr">
        <is>
          <t>2026-07-16</t>
        </is>
      </c>
      <c r="H12" s="7" t="inlineStr">
        <is>
          <t>T2</t>
        </is>
      </c>
      <c r="J12" s="28" t="inlineStr">
        <is>
          <t>PitchBook debt decomposition</t>
        </is>
      </c>
    </row>
    <row r="13">
      <c r="B13" s="17" t="inlineStr">
        <is>
          <t>Annualised revenue</t>
        </is>
      </c>
      <c r="C13" s="17" t="inlineStr"/>
      <c r="D13" s="29" t="n">
        <v>25</v>
      </c>
      <c r="F13" s="7" t="inlineStr">
        <is>
          <t>2026-06-12</t>
        </is>
      </c>
      <c r="H13" s="7" t="inlineStr">
        <is>
          <t>T3</t>
        </is>
      </c>
      <c r="J13" s="28" t="inlineStr">
        <is>
          <t>desk estimate, net basis</t>
        </is>
      </c>
    </row>
    <row r="14">
      <c r="B14" s="17" t="inlineStr">
        <is>
          <t>Fy2025 leak</t>
        </is>
      </c>
      <c r="C14" s="17" t="inlineStr"/>
      <c r="D14" s="15" t="inlineStr">
        <is>
          <t>Rev $13.07B / op loss $20.92B / group loss $60.35B incl. $41</t>
        </is>
      </c>
      <c r="F14" s="7" t="inlineStr">
        <is>
          <t>2026-06-16</t>
        </is>
      </c>
      <c r="H14" s="7" t="inlineStr">
        <is>
          <t>T3</t>
        </is>
      </c>
      <c r="J14" s="28" t="inlineStr">
        <is>
          <t>press reports of audited FY2025 (verified leak)</t>
        </is>
      </c>
    </row>
    <row r="15">
      <c r="B15" s="17" t="inlineStr">
        <is>
          <t>Gross margin 2025 (%)</t>
        </is>
      </c>
      <c r="C15" s="17" t="inlineStr"/>
      <c r="D15" s="29" t="n">
        <v>33</v>
      </c>
      <c r="F15" s="7" t="inlineStr">
        <is>
          <t>2026-02-27</t>
        </is>
      </c>
      <c r="H15" s="7" t="inlineStr">
        <is>
          <t>T3</t>
        </is>
      </c>
      <c r="J15" s="28" t="inlineStr">
        <is>
          <t>investor documents (press-reported)</t>
        </is>
      </c>
    </row>
    <row r="16">
      <c r="B16" s="17" t="inlineStr">
        <is>
          <t>Infra obligations tn</t>
        </is>
      </c>
      <c r="C16" s="17" t="inlineStr"/>
      <c r="D16" s="29" t="n">
        <v>1.15</v>
      </c>
      <c r="F16" s="7" t="inlineStr">
        <is>
          <t>2026-02-27</t>
        </is>
      </c>
      <c r="H16" s="7" t="inlineStr">
        <is>
          <t>T3</t>
        </is>
      </c>
      <c r="J16" s="28" t="inlineStr">
        <is>
          <t>investor documents (press-reported), 7 vendors</t>
        </is>
      </c>
    </row>
    <row r="17">
      <c r="B17" s="17" t="inlineStr">
        <is>
          <t>Employees</t>
        </is>
      </c>
      <c r="C17" s="17" t="inlineStr"/>
      <c r="D17" s="29" t="n">
        <v>4500</v>
      </c>
      <c r="F17" s="7" t="inlineStr">
        <is>
          <t>2026-03-21</t>
        </is>
      </c>
      <c r="H17" s="7" t="inlineStr">
        <is>
          <t>T2</t>
        </is>
      </c>
      <c r="J17" s="28" t="inlineStr">
        <is>
          <t>PitchBook</t>
        </is>
      </c>
    </row>
    <row r="18">
      <c r="B18" s="17" t="inlineStr">
        <is>
          <t>Altman pb listing</t>
        </is>
      </c>
      <c r="C18" s="17" t="inlineStr"/>
      <c r="D18" s="15" t="inlineStr">
        <is>
          <t>PB lists Altman as 'Co-Founder, Co-CEO &amp; Board Member', pers</t>
        </is>
      </c>
      <c r="F18" s="7" t="inlineStr">
        <is>
          <t>2026-07-16</t>
        </is>
      </c>
      <c r="H18" s="7" t="inlineStr">
        <is>
          <t>T2</t>
        </is>
      </c>
      <c r="J18" s="28" t="inlineStr">
        <is>
          <t>PitchBook profile</t>
        </is>
      </c>
    </row>
    <row r="19">
      <c r="B19" s="17" t="inlineStr">
        <is>
          <t>IPO filing status</t>
        </is>
      </c>
      <c r="C19" s="17" t="inlineStr"/>
      <c r="D19" s="15" t="inlineStr">
        <is>
          <t>Confidential S-1 filed Jun 8, 2026</t>
        </is>
      </c>
      <c r="F19" s="7" t="inlineStr">
        <is>
          <t>2026-06-08</t>
        </is>
      </c>
      <c r="H19" s="7" t="inlineStr">
        <is>
          <t>T2</t>
        </is>
      </c>
      <c r="J19" s="28" t="inlineStr">
        <is>
          <t>press + PitchBook</t>
        </is>
      </c>
    </row>
    <row r="20">
      <c r="B20" s="17" t="inlineStr">
        <is>
          <t>Expected IPO window</t>
        </is>
      </c>
      <c r="C20" s="17" t="inlineStr"/>
      <c r="D20" s="15" t="inlineStr">
        <is>
          <t>September 2026 (PitchBook, note refreshed Jul 9) vs media 20</t>
        </is>
      </c>
      <c r="F20" s="7" t="inlineStr">
        <is>
          <t>2026-07-16</t>
        </is>
      </c>
      <c r="H20" s="7" t="inlineStr">
        <is>
          <t>T2</t>
        </is>
      </c>
      <c r="J20" s="28" t="inlineStr">
        <is>
          <t>PitchBook + press</t>
        </is>
      </c>
    </row>
    <row r="21">
      <c r="B21" s="17" t="inlineStr">
        <is>
          <t>Quality score (composite)</t>
        </is>
      </c>
      <c r="C21" s="17" t="inlineStr"/>
      <c r="D21" s="29" t="n">
        <v>4.53</v>
      </c>
      <c r="F21" s="7" t="inlineStr">
        <is>
          <t>2026-05-27</t>
        </is>
      </c>
      <c r="H21" s="7" t="inlineStr">
        <is>
          <t>T2</t>
        </is>
      </c>
      <c r="J21" s="28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0" t="inlineStr"/>
      <c r="E8" s="30">
        <f>E9/D9-1</f>
        <v/>
      </c>
      <c r="F8" s="30">
        <f>F9/E9-1</f>
        <v/>
      </c>
      <c r="G8" s="30">
        <f>G9/F9-1</f>
        <v/>
      </c>
      <c r="H8" s="30">
        <f>H9/G9-1</f>
        <v/>
      </c>
      <c r="I8" s="30">
        <f>MAX(Inputs!$D$14,H8-Inputs!$D$13)*Inputs!$D$15</f>
        <v/>
      </c>
      <c r="J8" s="30">
        <f>MAX(Inputs!$D$14,I8-Inputs!$D$13)*Inputs!$D$15</f>
        <v/>
      </c>
      <c r="K8" s="30">
        <f>MAX(Inputs!$D$14,J8-Inputs!$D$13)*Inputs!$D$15</f>
        <v/>
      </c>
      <c r="L8" s="30">
        <f>MAX(Inputs!$D$14,K8-Inputs!$D$13)*Inputs!$D$15</f>
        <v/>
      </c>
      <c r="M8" s="30">
        <f>MAX(Inputs!$D$14,L8-Inputs!$D$13)*Inputs!$D$15</f>
        <v/>
      </c>
      <c r="N8" s="30">
        <f>MAX(Inputs!$D$14,M8-Inputs!$D$13)*Inputs!$D$15</f>
        <v/>
      </c>
    </row>
    <row r="9">
      <c r="B9" s="8" t="inlineStr">
        <is>
          <t>Revenue</t>
        </is>
      </c>
      <c r="D9" s="23" t="n">
        <v>4938.3</v>
      </c>
      <c r="E9" s="23" t="n">
        <v>7407.4</v>
      </c>
      <c r="F9" s="23" t="n">
        <v>11111.1</v>
      </c>
      <c r="G9" s="23" t="n">
        <v>16666.7</v>
      </c>
      <c r="H9" s="23" t="n">
        <v>25000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0">
        <f>Inputs!$D$18</f>
        <v/>
      </c>
      <c r="E12" s="30">
        <f>Inputs!$D$18</f>
        <v/>
      </c>
      <c r="F12" s="30">
        <f>Inputs!$D$18</f>
        <v/>
      </c>
      <c r="G12" s="30">
        <f>Inputs!$D$18</f>
        <v/>
      </c>
      <c r="H12" s="30">
        <f>Inputs!$D$18</f>
        <v/>
      </c>
      <c r="I12" s="30">
        <f>H12+Inputs!$D$19</f>
        <v/>
      </c>
      <c r="J12" s="30">
        <f>I12+Inputs!$D$19</f>
        <v/>
      </c>
      <c r="K12" s="30">
        <f>J12+Inputs!$D$19</f>
        <v/>
      </c>
      <c r="L12" s="30">
        <f>K12+Inputs!$D$19</f>
        <v/>
      </c>
      <c r="M12" s="30">
        <f>L12+Inputs!$D$19</f>
        <v/>
      </c>
      <c r="N12" s="30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30">
        <f>IF(D9=0,0,D18/D9)</f>
        <v/>
      </c>
      <c r="E19" s="30">
        <f>IF(E9=0,0,E18/E9)</f>
        <v/>
      </c>
      <c r="F19" s="30">
        <f>IF(F9=0,0,F18/F9)</f>
        <v/>
      </c>
      <c r="G19" s="30">
        <f>IF(G9=0,0,G18/G9)</f>
        <v/>
      </c>
      <c r="H19" s="30">
        <f>IF(H9=0,0,H18/H9)</f>
        <v/>
      </c>
      <c r="I19" s="30">
        <f>IF(I9=0,0,I18/I9)</f>
        <v/>
      </c>
      <c r="J19" s="30">
        <f>IF(J9=0,0,J18/J9)</f>
        <v/>
      </c>
      <c r="K19" s="30">
        <f>IF(K9=0,0,K18/K9)</f>
        <v/>
      </c>
      <c r="L19" s="30">
        <f>IF(L9=0,0,L18/L9)</f>
        <v/>
      </c>
      <c r="M19" s="30">
        <f>IF(M9=0,0,M18/M9)</f>
        <v/>
      </c>
      <c r="N19" s="30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Makes ChatGPT and sells the AI models behind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2026-08-13T20:45:46Z</dcterms:created>
  <dcterms:modified xmlns:dcterms="http://purl.org/dc/terms/" xmlns:xsi="http://www.w3.org/2001/XMLSchema-instance" xsi:type="dcterms:W3CDTF">2026-08-13T20:45:46Z</dcterms:modified>
</cp:coreProperties>
</file>