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2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7" fillId="0" borderId="0" pivotButton="0" quotePrefix="0" xfId="0"/>
    <xf numFmtId="166" fontId="18" fillId="0" borderId="0" pivotButton="0" quotePrefix="0" xfId="0"/>
    <xf numFmtId="167" fontId="12" fillId="0" borderId="0" pivotButton="0" quotePrefix="0" xfId="0"/>
    <xf numFmtId="0" fontId="19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0" fillId="0" borderId="0" pivotButton="0" quotePrefix="0" xfId="0"/>
    <xf numFmtId="0" fontId="8" fillId="0" borderId="0" pivotButton="0" quotePrefix="0" xfId="0"/>
    <xf numFmtId="0" fontId="21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7" fontId="6" fillId="3" borderId="0" pivotButton="0" quotePrefix="0" xfId="0"/>
    <xf numFmtId="2" fontId="5" fillId="0" borderId="0" pivotButton="0" quotePrefix="0" xfId="0"/>
    <xf numFmtId="168" fontId="6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168" fontId="5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SOURCED FACT
Annualised revenue
Value: 7.0
As of: 2026-08-13
Tier: T2
Source: company announcement Aug 13, 2026
Note: Surpassed a $7B annualised run-rate; stated as a floor, not a precise figure</t>
      </text>
    </comment>
    <comment ref="D12" authorId="0" shapeId="0">
      <text>
        <t>SOURCED FACT
Revenue growth YoY
Value: 80
As of: 2026-08-13
Tier: T2
Source: company announcement Aug 13, 2026
Note: More than 80% YoY in Q2; growth held rather than decelerated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SOURCED FACT
Gross margin
Value: 74
As of: 2026-06-16
Tier: T2
Source: company disclosure; guided to decline further on agent-driven compute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190
As of: 2026-08-13
Tier: T2
Source: company announcement Aug 13, 2026 (reported by Bloomberg, CNBC, Forbes, Reuters — one underlying source)
Note: COMPLETED. Round closed at $190B post, above the $188B announced level of Jul 16. Led by existing investors Coatue, Blackstone, MGX and accounts advised by T. Rowe Price.</t>
      </text>
    </comment>
    <comment ref="D27" authorId="0" shapeId="0">
      <text>
        <t>SOURCED FACT
Equity raised (equity only, house ruling R1)
Value: 25.2
As of: 2026-08-13
Tier: T2
Source: PitchBook 21-deal decomposition ($20.2B equity through Series L) plus the $5.0B announced Aug 13, 2026
Note: Equity only, per house ruling R1. Awaiting PitchBook's deal record for the closed round to confirm the equity/debt split.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 in the exit-multiple method.</t>
      </text>
    </comment>
    <comment ref="D31" authorId="0" shapeId="0">
      <text>
        <t>SOURCED FACT
Employees
Value: 9000
As of: 2026-06-09
Tier: T2
Source: PitchBook</t>
      </text>
    </comment>
    <comment ref="D32" authorId="0" shapeId="0">
      <text>
        <t>SOURCED FACT
Net revenue retention
As of: 2026-02-09
Source: company PR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22" authorId="0" shapeId="0">
      <text>
        <t>Equity only. Debt informs risk, never this ratio (house ruling R1).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Databricks, Inc.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2026-08-13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IF(Valuation!$D$16&lt;=0,1,0)</f>
        <v/>
      </c>
    </row>
    <row r="18">
      <c r="B18" s="3" t="inlineStr">
        <is>
          <t>All checks should read No.</t>
        </is>
      </c>
    </row>
    <row r="20">
      <c r="B20" s="4" t="inlineStr">
        <is>
          <t>How much of this model is fact</t>
        </is>
      </c>
      <c r="C20" s="5" t="n"/>
      <c r="D20" s="5" t="n"/>
      <c r="E20" s="5" t="n"/>
    </row>
    <row r="21">
      <c r="B21" s="8" t="inlineStr">
        <is>
          <t>Inputs drawn from sourced facts</t>
        </is>
      </c>
      <c r="D21" s="10" t="n">
        <v>7</v>
      </c>
    </row>
    <row r="22">
      <c r="B22" s="8" t="inlineStr">
        <is>
          <t>Inputs that are desk assumptions</t>
        </is>
      </c>
      <c r="D22" s="11" t="n">
        <v>12</v>
      </c>
    </row>
    <row r="23">
      <c r="B23" s="8" t="inlineStr">
        <is>
          <t>Share sourced</t>
        </is>
      </c>
      <c r="D23" s="12" t="n">
        <v>0.3684210526315789</v>
      </c>
    </row>
    <row r="24" ht="32" customHeight="1">
      <c r="B24" s="13" t="inlineStr">
        <is>
          <t>ILLUSTRATIVE ONLY — most inputs are desk assumptions. This company discloses too little to support a decision model. Treat the outputs as a shape, not a number.</t>
        </is>
      </c>
    </row>
    <row r="26">
      <c r="B26" s="14" t="inlineStr">
        <is>
          <t>Convention</t>
        </is>
      </c>
    </row>
    <row r="27">
      <c r="B27" s="15" t="inlineStr">
        <is>
          <t>Blue text — an input you may change</t>
        </is>
      </c>
    </row>
    <row r="28">
      <c r="B28" s="16" t="inlineStr">
        <is>
          <t>Yellow fill — an assumption, not a sourced fact</t>
        </is>
      </c>
    </row>
    <row r="29">
      <c r="B29" s="17" t="inlineStr">
        <is>
          <t>Black text — a formula; do not overwrite</t>
        </is>
      </c>
    </row>
    <row r="30">
      <c r="B30" s="18" t="inlineStr">
        <is>
          <t>Green text — a link to another sheet</t>
        </is>
      </c>
    </row>
    <row r="32">
      <c r="B32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Databricks, Inc.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7000</v>
      </c>
    </row>
    <row r="12">
      <c r="B12" s="8" t="inlineStr">
        <is>
          <t>Latest revenue growth (% YoY)</t>
        </is>
      </c>
      <c r="D12" s="24" t="n">
        <v>0.8</v>
      </c>
    </row>
    <row r="13">
      <c r="B13" s="8" t="inlineStr">
        <is>
          <t>Growth decay per year (points of growth lost)</t>
        </is>
      </c>
      <c r="D13" s="25" t="n">
        <v>0.15</v>
      </c>
    </row>
    <row r="14">
      <c r="B14" s="8" t="inlineStr">
        <is>
          <t>Terminal growth (% a year)</t>
        </is>
      </c>
      <c r="D14" s="25" t="n">
        <v>0.04</v>
      </c>
    </row>
    <row r="15">
      <c r="B15" s="8" t="inlineStr">
        <is>
          <t>Scenario multiplier on growth</t>
        </is>
      </c>
      <c r="D15" s="26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0.74</v>
      </c>
    </row>
    <row r="19">
      <c r="B19" s="8" t="inlineStr">
        <is>
          <t>Gross margin drift per year (points)</t>
        </is>
      </c>
      <c r="D19" s="25" t="n">
        <v>-0.005</v>
      </c>
    </row>
    <row r="20">
      <c r="B20" s="8" t="inlineStr">
        <is>
          <t>Sales and marketing (% of revenue)</t>
        </is>
      </c>
      <c r="D20" s="25" t="n">
        <v>0.32</v>
      </c>
    </row>
    <row r="21">
      <c r="B21" s="8" t="inlineStr">
        <is>
          <t>Research and development (% of revenue)</t>
        </is>
      </c>
      <c r="D21" s="25" t="n">
        <v>0.28</v>
      </c>
    </row>
    <row r="22">
      <c r="B22" s="8" t="inlineStr">
        <is>
          <t>General and administrative (% of revenue)</t>
        </is>
      </c>
      <c r="D22" s="25" t="n">
        <v>0.1</v>
      </c>
    </row>
    <row r="23">
      <c r="B23" s="8" t="inlineStr">
        <is>
          <t>Operating expense leverage per year (points)</t>
        </is>
      </c>
      <c r="D23" s="25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3" t="n">
        <v>190000</v>
      </c>
    </row>
    <row r="27">
      <c r="B27" s="8" t="inlineStr">
        <is>
          <t>Equity raised to date ($M)</t>
        </is>
      </c>
      <c r="D27" s="23" t="n">
        <v>25200</v>
      </c>
    </row>
    <row r="28">
      <c r="B28" s="8" t="inlineStr">
        <is>
          <t>Discount rate (cost of capital)</t>
        </is>
      </c>
      <c r="D28" s="25" t="n">
        <v>0.12</v>
      </c>
    </row>
    <row r="29">
      <c r="B29" s="8" t="inlineStr">
        <is>
          <t>Tax rate</t>
        </is>
      </c>
      <c r="D29" s="25" t="n">
        <v>0.21</v>
      </c>
    </row>
    <row r="30">
      <c r="B30" s="8" t="inlineStr">
        <is>
          <t>Exit multiple on revenue</t>
        </is>
      </c>
      <c r="D30" s="27" t="n">
        <v>12</v>
      </c>
    </row>
    <row r="31">
      <c r="B31" s="8" t="inlineStr">
        <is>
          <t>Headcount (latest)</t>
        </is>
      </c>
      <c r="D31" s="23" t="n">
        <v>9000</v>
      </c>
    </row>
    <row r="32">
      <c r="B32" s="8" t="inlineStr">
        <is>
          <t>Net revenue retention</t>
        </is>
      </c>
      <c r="D32" s="28" t="inlineStr">
        <is>
          <t>&gt;140%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6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Databricks, Inc.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9" t="inlineStr">
        <is>
          <t>Metric</t>
        </is>
      </c>
      <c r="D5" s="29" t="inlineStr">
        <is>
          <t>Value</t>
        </is>
      </c>
      <c r="F5" s="29" t="inlineStr">
        <is>
          <t>As of</t>
        </is>
      </c>
      <c r="H5" s="29" t="inlineStr">
        <is>
          <t>Tier</t>
        </is>
      </c>
      <c r="J5" s="29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Databricks, Inc.</t>
        </is>
      </c>
      <c r="F6" s="7" t="inlineStr">
        <is>
          <t>2026-07-10</t>
        </is>
      </c>
      <c r="H6" s="7" t="inlineStr">
        <is>
          <t>T2</t>
        </is>
      </c>
      <c r="J6" s="30" t="inlineStr">
        <is>
          <t>validation pack, July 10, 2026</t>
        </is>
      </c>
    </row>
    <row r="7">
      <c r="B7" s="17" t="inlineStr">
        <is>
          <t>PitchBook ID</t>
        </is>
      </c>
      <c r="C7" s="17" t="inlineStr"/>
      <c r="D7" s="15" t="inlineStr">
        <is>
          <t>59199-40</t>
        </is>
      </c>
      <c r="F7" s="7" t="inlineStr">
        <is>
          <t>2026-07-09</t>
        </is>
      </c>
      <c r="H7" s="7" t="inlineStr">
        <is>
          <t>T2</t>
        </is>
      </c>
      <c r="J7" s="30" t="inlineStr">
        <is>
          <t>PitchBook profile</t>
        </is>
      </c>
    </row>
    <row r="8">
      <c r="B8" s="17" t="inlineStr">
        <is>
          <t>Headquarters</t>
        </is>
      </c>
      <c r="C8" s="17" t="inlineStr"/>
      <c r="D8" s="15" t="inlineStr">
        <is>
          <t>San Francisco (+46 offices)</t>
        </is>
      </c>
      <c r="F8" s="7" t="inlineStr">
        <is>
          <t>2026-06-09</t>
        </is>
      </c>
      <c r="H8" s="7" t="inlineStr">
        <is>
          <t>T2</t>
        </is>
      </c>
      <c r="J8" s="30" t="inlineStr">
        <is>
          <t>PitchBook</t>
        </is>
      </c>
    </row>
    <row r="9">
      <c r="B9" s="17" t="inlineStr">
        <is>
          <t>Chief executive</t>
        </is>
      </c>
      <c r="C9" s="17" t="inlineStr"/>
      <c r="D9" s="15" t="inlineStr">
        <is>
          <t>Ali Ghodsi</t>
        </is>
      </c>
      <c r="F9" s="7" t="inlineStr">
        <is>
          <t>2026-07-10</t>
        </is>
      </c>
      <c r="H9" s="7" t="inlineStr">
        <is>
          <t>T2</t>
        </is>
      </c>
      <c r="J9" s="30" t="inlineStr">
        <is>
          <t>validation pack, July 10, 2026</t>
        </is>
      </c>
    </row>
    <row r="10">
      <c r="B10" s="17" t="inlineStr">
        <is>
          <t>Sector</t>
        </is>
      </c>
      <c r="C10" s="17" t="inlineStr"/>
      <c r="D10" s="15" t="inlineStr">
        <is>
          <t>AI-PLAT (lakehouse / data + AI platform)</t>
        </is>
      </c>
      <c r="F10" s="7" t="inlineStr">
        <is>
          <t>2026-07-10</t>
        </is>
      </c>
      <c r="H10" s="7" t="inlineStr">
        <is>
          <t>T2</t>
        </is>
      </c>
      <c r="J10" s="30" t="inlineStr">
        <is>
          <t>validation pack, July 10, 2026</t>
        </is>
      </c>
    </row>
    <row r="11">
      <c r="B11" s="17" t="inlineStr">
        <is>
          <t>Founded</t>
        </is>
      </c>
      <c r="C11" s="17" t="inlineStr"/>
      <c r="D11" s="31" t="n">
        <v>2013</v>
      </c>
      <c r="F11" s="7" t="inlineStr">
        <is>
          <t>2026-08-10</t>
        </is>
      </c>
      <c r="H11" s="7" t="inlineStr">
        <is>
          <t>T2</t>
        </is>
      </c>
      <c r="J11" s="30" t="inlineStr">
        <is>
          <t>PitchBook profile</t>
        </is>
      </c>
    </row>
    <row r="12">
      <c r="B12" s="17" t="inlineStr">
        <is>
          <t>Business status</t>
        </is>
      </c>
      <c r="C12" s="17" t="inlineStr"/>
      <c r="D12" s="15" t="inlineStr">
        <is>
          <t>Generating Revenue; Privately Held (backing); Venture Capita</t>
        </is>
      </c>
      <c r="F12" s="7" t="inlineStr">
        <is>
          <t>2026-08-10</t>
        </is>
      </c>
      <c r="H12" s="7" t="inlineStr">
        <is>
          <t>T2</t>
        </is>
      </c>
      <c r="J12" s="30" t="inlineStr">
        <is>
          <t>PitchBook profile</t>
        </is>
      </c>
    </row>
    <row r="13">
      <c r="B13" s="17" t="inlineStr">
        <is>
          <t>Employees</t>
        </is>
      </c>
      <c r="C13" s="17" t="inlineStr"/>
      <c r="D13" s="31" t="n">
        <v>9000</v>
      </c>
      <c r="F13" s="7" t="inlineStr">
        <is>
          <t>2026-06-09</t>
        </is>
      </c>
      <c r="H13" s="7" t="inlineStr">
        <is>
          <t>T2</t>
        </is>
      </c>
      <c r="J13" s="30" t="inlineStr">
        <is>
          <t>PitchBook profile</t>
        </is>
      </c>
    </row>
    <row r="14">
      <c r="B14" s="17" t="inlineStr">
        <is>
          <t>Primary contact</t>
        </is>
      </c>
      <c r="C14" s="17" t="inlineStr"/>
      <c r="D14" s="15" t="inlineStr">
        <is>
          <t>Ion Stoica, Co-Founder and Executive Chairman</t>
        </is>
      </c>
      <c r="F14" s="7" t="inlineStr">
        <is>
          <t>2026-08-12</t>
        </is>
      </c>
      <c r="H14" s="7" t="inlineStr">
        <is>
          <t>T2</t>
        </is>
      </c>
      <c r="J14" s="30" t="inlineStr">
        <is>
          <t>PitchBook profile</t>
        </is>
      </c>
    </row>
    <row r="15">
      <c r="B15" s="17" t="inlineStr">
        <is>
          <t>Valuation at last completed round</t>
        </is>
      </c>
      <c r="C15" s="17" t="inlineStr"/>
      <c r="D15" s="31" t="n">
        <v>190</v>
      </c>
      <c r="F15" s="7" t="inlineStr">
        <is>
          <t>2026-08-13</t>
        </is>
      </c>
      <c r="H15" s="7" t="inlineStr">
        <is>
          <t>T2</t>
        </is>
      </c>
      <c r="J15" s="30" t="inlineStr">
        <is>
          <t>company announcement Aug 13, 2026 (reported by Bloomberg, CNBC, Forbes, Reuters — one underlying source)</t>
        </is>
      </c>
    </row>
    <row r="16">
      <c r="B16" s="17" t="inlineStr">
        <is>
          <t>Round in progress</t>
        </is>
      </c>
      <c r="C16" s="17" t="inlineStr"/>
      <c r="D16" s="15" t="inlineStr">
        <is>
          <t xml:space="preserve">Resolved. The Coatue-led round closed Aug 13, 2026 at $190B </t>
        </is>
      </c>
      <c r="F16" s="7" t="inlineStr">
        <is>
          <t>2026-08-13</t>
        </is>
      </c>
      <c r="H16" s="7" t="inlineStr">
        <is>
          <t>T2</t>
        </is>
      </c>
      <c r="J16" s="30" t="inlineStr">
        <is>
          <t>company announcement Aug 13, 2026</t>
        </is>
      </c>
    </row>
    <row r="17">
      <c r="B17" s="17" t="inlineStr">
        <is>
          <t>Latest valuation on record</t>
        </is>
      </c>
      <c r="C17" s="17" t="inlineStr"/>
      <c r="D17" s="31" t="n">
        <v>188</v>
      </c>
      <c r="F17" s="7" t="inlineStr">
        <is>
          <t>2026-08-12</t>
        </is>
      </c>
      <c r="H17" s="7" t="inlineStr">
        <is>
          <t>T2</t>
        </is>
      </c>
      <c r="J17" s="30" t="inlineStr">
        <is>
          <t>PitchBook Last Known Valuation field, deal 334745-56T (still Announced/In Progress)</t>
        </is>
      </c>
    </row>
    <row r="18">
      <c r="B18" s="17" t="inlineStr">
        <is>
          <t>Valuation history</t>
        </is>
      </c>
      <c r="C18" s="17" t="inlineStr"/>
      <c r="D18" s="31" t="n">
        <v>62</v>
      </c>
      <c r="F18" s="7" t="inlineStr">
        <is>
          <t>2024-12-15</t>
        </is>
      </c>
      <c r="H18" s="7" t="inlineStr">
        <is>
          <t>T3</t>
        </is>
      </c>
      <c r="J18" s="30" t="inlineStr">
        <is>
          <t>press reports of the $10B round</t>
        </is>
      </c>
    </row>
    <row r="19">
      <c r="B19" s="17" t="inlineStr">
        <is>
          <t>Valuation history</t>
        </is>
      </c>
      <c r="C19" s="17" t="inlineStr"/>
      <c r="D19" s="31" t="n">
        <v>100</v>
      </c>
      <c r="F19" s="7" t="inlineStr">
        <is>
          <t>2025-09-30</t>
        </is>
      </c>
      <c r="H19" s="7" t="inlineStr">
        <is>
          <t>T3</t>
        </is>
      </c>
      <c r="J19" s="30" t="inlineStr">
        <is>
          <t>press reports of the $1B round</t>
        </is>
      </c>
    </row>
    <row r="20">
      <c r="B20" s="17" t="inlineStr">
        <is>
          <t>Valuation history</t>
        </is>
      </c>
      <c r="C20" s="17" t="inlineStr"/>
      <c r="D20" s="31" t="n">
        <v>134</v>
      </c>
      <c r="F20" s="7" t="inlineStr">
        <is>
          <t>2026-02-09</t>
        </is>
      </c>
      <c r="H20" s="7" t="inlineStr">
        <is>
          <t>T2</t>
        </is>
      </c>
      <c r="J20" s="30" t="inlineStr">
        <is>
          <t>company PR + PitchBook deal 313367-68T</t>
        </is>
      </c>
    </row>
    <row r="21">
      <c r="B21" s="17" t="inlineStr">
        <is>
          <t>Valuation history</t>
        </is>
      </c>
      <c r="C21" s="17" t="inlineStr"/>
      <c r="D21" s="31" t="n">
        <v>134</v>
      </c>
      <c r="F21" s="7" t="inlineStr">
        <is>
          <t>2026-02-09</t>
        </is>
      </c>
      <c r="H21" s="7" t="inlineStr">
        <is>
          <t>T2</t>
        </is>
      </c>
      <c r="J21" s="30" t="inlineStr">
        <is>
          <t>company PR + PitchBook deal 313367-68T</t>
        </is>
      </c>
    </row>
    <row r="22">
      <c r="B22" s="17" t="inlineStr">
        <is>
          <t>Valuation history</t>
        </is>
      </c>
      <c r="C22" s="17" t="inlineStr"/>
      <c r="D22" s="31" t="n">
        <v>190</v>
      </c>
      <c r="F22" s="7" t="inlineStr">
        <is>
          <t>2026-08-13</t>
        </is>
      </c>
      <c r="H22" s="7" t="inlineStr">
        <is>
          <t>T2</t>
        </is>
      </c>
      <c r="J22" s="30" t="inlineStr">
        <is>
          <t>company announcement Aug 13, 2026</t>
        </is>
      </c>
    </row>
    <row r="23">
      <c r="B23" s="17" t="inlineStr">
        <is>
          <t>Total raised (equity and debt)</t>
        </is>
      </c>
      <c r="C23" s="17" t="inlineStr"/>
      <c r="D23" s="31" t="n">
        <v>34.5</v>
      </c>
      <c r="F23" s="7" t="inlineStr">
        <is>
          <t>2026-08-13</t>
        </is>
      </c>
      <c r="H23" s="7" t="inlineStr">
        <is>
          <t>T2</t>
        </is>
      </c>
      <c r="J23" s="30" t="inlineStr">
        <is>
          <t>PitchBook Total Raised $29,515.7M (as of 2026-08-12) plus the $5.0B announced Aug 13, 2026</t>
        </is>
      </c>
    </row>
    <row r="24">
      <c r="B24" s="17" t="inlineStr">
        <is>
          <t>Equity raised</t>
        </is>
      </c>
      <c r="C24" s="17" t="inlineStr"/>
      <c r="D24" s="31" t="n">
        <v>25.2</v>
      </c>
      <c r="F24" s="7" t="inlineStr">
        <is>
          <t>2026-08-13</t>
        </is>
      </c>
      <c r="H24" s="7" t="inlineStr">
        <is>
          <t>T2</t>
        </is>
      </c>
      <c r="J24" s="30" t="inlineStr">
        <is>
          <t>PitchBook 21-deal decomposition ($20.2B equity through Series L) plus the $5.0B announced Aug 13, 2026</t>
        </is>
      </c>
    </row>
    <row r="25">
      <c r="B25" s="17" t="inlineStr">
        <is>
          <t>Debt raised</t>
        </is>
      </c>
      <c r="C25" s="17" t="inlineStr"/>
      <c r="D25" s="31" t="n">
        <v>9.300000000000001</v>
      </c>
      <c r="F25" s="7" t="inlineStr">
        <is>
          <t>2026-07-10</t>
        </is>
      </c>
      <c r="H25" s="7" t="inlineStr">
        <is>
          <t>T2</t>
        </is>
      </c>
      <c r="J25" s="30" t="inlineStr">
        <is>
          <t>PitchBook deal records: 4 debt deals + embedded</t>
        </is>
      </c>
    </row>
    <row r="26">
      <c r="B26" s="17" t="inlineStr">
        <is>
          <t>Last completed round</t>
        </is>
      </c>
      <c r="C26" s="17" t="inlineStr"/>
      <c r="D26" s="15" t="inlineStr">
        <is>
          <t>$5.0B strategic round at $190B post (Aug 13, 2026), led by C</t>
        </is>
      </c>
      <c r="F26" s="7" t="inlineStr">
        <is>
          <t>2026-08-13</t>
        </is>
      </c>
      <c r="H26" s="7" t="inlineStr">
        <is>
          <t>T2</t>
        </is>
      </c>
      <c r="J26" s="30" t="inlineStr">
        <is>
          <t>company announcement Aug 13, 2026</t>
        </is>
      </c>
    </row>
    <row r="27">
      <c r="B27" s="17" t="inlineStr">
        <is>
          <t>Investors on the register</t>
        </is>
      </c>
      <c r="C27" s="17" t="inlineStr"/>
      <c r="D27" s="31" t="n">
        <v>153</v>
      </c>
      <c r="F27" s="7" t="inlineStr">
        <is>
          <t>2026-08-12</t>
        </is>
      </c>
      <c r="H27" s="7" t="inlineStr">
        <is>
          <t>T2</t>
        </is>
      </c>
      <c r="J27" s="30" t="inlineStr">
        <is>
          <t>PitchBook profile</t>
        </is>
      </c>
    </row>
    <row r="28">
      <c r="B28" s="17" t="inlineStr">
        <is>
          <t>Pre-money at last round</t>
        </is>
      </c>
      <c r="C28" s="17" t="inlineStr"/>
      <c r="D28" s="31" t="n">
        <v>129</v>
      </c>
      <c r="F28" s="7" t="inlineStr">
        <is>
          <t>2026-08-07</t>
        </is>
      </c>
      <c r="H28" s="7" t="inlineStr">
        <is>
          <t>T2</t>
        </is>
      </c>
      <c r="J28" s="30" t="inlineStr">
        <is>
          <t>PitchBook financing note</t>
        </is>
      </c>
    </row>
    <row r="29">
      <c r="B29" s="17" t="inlineStr">
        <is>
          <t>Series l participants note</t>
        </is>
      </c>
      <c r="C29" s="17" t="inlineStr"/>
      <c r="D29" s="15" t="inlineStr">
        <is>
          <t>Series L $5B equity led by Insight, J.P. Morgan Growth Equit</t>
        </is>
      </c>
      <c r="F29" s="7" t="inlineStr">
        <is>
          <t>2026-08-07</t>
        </is>
      </c>
      <c r="H29" s="7" t="inlineStr">
        <is>
          <t>T2</t>
        </is>
      </c>
      <c r="J29" s="30" t="inlineStr">
        <is>
          <t>PitchBook financing note</t>
        </is>
      </c>
    </row>
    <row r="30">
      <c r="B30" s="17" t="inlineStr">
        <is>
          <t>Latest round investors</t>
        </is>
      </c>
      <c r="C30" s="17" t="inlineStr"/>
      <c r="D30" s="15" t="inlineStr">
        <is>
          <t>Led by existing: Coatue, Blackstone, MGX, T. Rowe Price-advi</t>
        </is>
      </c>
      <c r="F30" s="7" t="inlineStr">
        <is>
          <t>2026-08-13</t>
        </is>
      </c>
      <c r="H30" s="7" t="inlineStr">
        <is>
          <t>T2</t>
        </is>
      </c>
      <c r="J30" s="30" t="inlineStr">
        <is>
          <t>company announcement Aug 13, 2026</t>
        </is>
      </c>
    </row>
    <row r="31">
      <c r="B31" s="17" t="inlineStr">
        <is>
          <t>Annualised revenue</t>
        </is>
      </c>
      <c r="C31" s="17" t="inlineStr"/>
      <c r="D31" s="31" t="n">
        <v>4</v>
      </c>
      <c r="F31" s="7" t="inlineStr">
        <is>
          <t>2025-09-30</t>
        </is>
      </c>
      <c r="H31" s="7" t="inlineStr">
        <is>
          <t>T2</t>
        </is>
      </c>
      <c r="J31" s="30" t="inlineStr">
        <is>
          <t>company PR</t>
        </is>
      </c>
    </row>
    <row r="32">
      <c r="B32" s="17" t="inlineStr">
        <is>
          <t>Annualised revenue</t>
        </is>
      </c>
      <c r="C32" s="17" t="inlineStr"/>
      <c r="D32" s="31" t="n">
        <v>4.8</v>
      </c>
      <c r="F32" s="7" t="inlineStr">
        <is>
          <t>2025-12-31</t>
        </is>
      </c>
      <c r="H32" s="7" t="inlineStr">
        <is>
          <t>T2</t>
        </is>
      </c>
      <c r="J32" s="30" t="inlineStr">
        <is>
          <t>company PR</t>
        </is>
      </c>
    </row>
    <row r="33">
      <c r="B33" s="17" t="inlineStr">
        <is>
          <t>Annualised revenue</t>
        </is>
      </c>
      <c r="C33" s="17" t="inlineStr"/>
      <c r="D33" s="31" t="n">
        <v>5.4</v>
      </c>
      <c r="F33" s="7" t="inlineStr">
        <is>
          <t>2026-02-09</t>
        </is>
      </c>
      <c r="H33" s="7" t="inlineStr">
        <is>
          <t>T2</t>
        </is>
      </c>
      <c r="J33" s="30" t="inlineStr">
        <is>
          <t>company PR</t>
        </is>
      </c>
    </row>
    <row r="34">
      <c r="B34" s="17" t="inlineStr">
        <is>
          <t>Annualised revenue</t>
        </is>
      </c>
      <c r="C34" s="17" t="inlineStr"/>
      <c r="D34" s="31" t="n">
        <v>6.9</v>
      </c>
      <c r="F34" s="7" t="inlineStr">
        <is>
          <t>2026-06-16</t>
        </is>
      </c>
      <c r="H34" s="7" t="inlineStr">
        <is>
          <t>T2</t>
        </is>
      </c>
      <c r="J34" s="30" t="inlineStr">
        <is>
          <t>company disclosure (analyst session)</t>
        </is>
      </c>
    </row>
    <row r="35">
      <c r="B35" s="17" t="inlineStr">
        <is>
          <t>Annualised revenue</t>
        </is>
      </c>
      <c r="C35" s="17" t="inlineStr"/>
      <c r="D35" s="31" t="n">
        <v>7</v>
      </c>
      <c r="F35" s="7" t="inlineStr">
        <is>
          <t>2026-08-13</t>
        </is>
      </c>
      <c r="H35" s="7" t="inlineStr">
        <is>
          <t>T2</t>
        </is>
      </c>
      <c r="J35" s="30" t="inlineStr">
        <is>
          <t>company announcement Aug 13, 2026</t>
        </is>
      </c>
    </row>
    <row r="36">
      <c r="B36" s="17" t="inlineStr">
        <is>
          <t>Revenue growth, year on year</t>
        </is>
      </c>
      <c r="C36" s="17" t="inlineStr"/>
      <c r="D36" s="31" t="n">
        <v>50</v>
      </c>
      <c r="F36" s="7" t="inlineStr">
        <is>
          <t>2025-09-30</t>
        </is>
      </c>
      <c r="H36" s="7" t="inlineStr">
        <is>
          <t>T2</t>
        </is>
      </c>
      <c r="J36" s="30" t="inlineStr">
        <is>
          <t>company PR</t>
        </is>
      </c>
    </row>
    <row r="37">
      <c r="B37" s="17" t="inlineStr">
        <is>
          <t>Revenue growth, year on year</t>
        </is>
      </c>
      <c r="C37" s="17" t="inlineStr"/>
      <c r="D37" s="31" t="n">
        <v>55</v>
      </c>
      <c r="F37" s="7" t="inlineStr">
        <is>
          <t>2025-12-31</t>
        </is>
      </c>
      <c r="H37" s="7" t="inlineStr">
        <is>
          <t>T2</t>
        </is>
      </c>
      <c r="J37" s="30" t="inlineStr">
        <is>
          <t>company PR</t>
        </is>
      </c>
    </row>
    <row r="38">
      <c r="B38" s="17" t="inlineStr">
        <is>
          <t>Revenue growth, year on year</t>
        </is>
      </c>
      <c r="C38" s="17" t="inlineStr"/>
      <c r="D38" s="31" t="n">
        <v>65</v>
      </c>
      <c r="F38" s="7" t="inlineStr">
        <is>
          <t>2026-02-09</t>
        </is>
      </c>
      <c r="H38" s="7" t="inlineStr">
        <is>
          <t>T2</t>
        </is>
      </c>
      <c r="J38" s="30" t="inlineStr">
        <is>
          <t>company PR</t>
        </is>
      </c>
    </row>
    <row r="39">
      <c r="B39" s="17" t="inlineStr">
        <is>
          <t>Revenue growth, year on year</t>
        </is>
      </c>
      <c r="C39" s="17" t="inlineStr"/>
      <c r="D39" s="31" t="n">
        <v>80</v>
      </c>
      <c r="F39" s="7" t="inlineStr">
        <is>
          <t>2026-06-16</t>
        </is>
      </c>
      <c r="H39" s="7" t="inlineStr">
        <is>
          <t>T2</t>
        </is>
      </c>
      <c r="J39" s="30" t="inlineStr">
        <is>
          <t>company disclosure</t>
        </is>
      </c>
    </row>
    <row r="40">
      <c r="B40" s="17" t="inlineStr">
        <is>
          <t>Revenue growth, year on year</t>
        </is>
      </c>
      <c r="C40" s="17" t="inlineStr"/>
      <c r="D40" s="31" t="n">
        <v>80</v>
      </c>
      <c r="F40" s="7" t="inlineStr">
        <is>
          <t>2026-08-13</t>
        </is>
      </c>
      <c r="H40" s="7" t="inlineStr">
        <is>
          <t>T2</t>
        </is>
      </c>
      <c r="J40" s="30" t="inlineStr">
        <is>
          <t>company announcement Aug 13, 2026</t>
        </is>
      </c>
    </row>
    <row r="41">
      <c r="B41" s="17" t="inlineStr">
        <is>
          <t>Gross margin</t>
        </is>
      </c>
      <c r="C41" s="17" t="inlineStr"/>
      <c r="D41" s="31" t="n">
        <v>80</v>
      </c>
      <c r="F41" s="7" t="inlineStr">
        <is>
          <t>2025-12-31</t>
        </is>
      </c>
      <c r="H41" s="7" t="inlineStr">
        <is>
          <t>T2</t>
        </is>
      </c>
      <c r="J41" s="30" t="inlineStr">
        <is>
          <t>company (prior level, 'above 80%')</t>
        </is>
      </c>
    </row>
    <row r="42">
      <c r="B42" s="17" t="inlineStr">
        <is>
          <t>Gross margin</t>
        </is>
      </c>
      <c r="C42" s="17" t="inlineStr"/>
      <c r="D42" s="31" t="n">
        <v>74</v>
      </c>
      <c r="F42" s="7" t="inlineStr">
        <is>
          <t>2026-06-16</t>
        </is>
      </c>
      <c r="H42" s="7" t="inlineStr">
        <is>
          <t>T2</t>
        </is>
      </c>
      <c r="J42" s="30" t="inlineStr">
        <is>
          <t>company disclosure; guided to decline further on agent-driven compute</t>
        </is>
      </c>
    </row>
    <row r="43">
      <c r="B43" s="17" t="inlineStr">
        <is>
          <t>Cash generation</t>
        </is>
      </c>
      <c r="C43" s="17" t="inlineStr"/>
      <c r="D43" s="15" t="inlineStr">
        <is>
          <t>Cash-flow positive on an adjusted basis over the trailing tw</t>
        </is>
      </c>
      <c r="F43" s="7" t="inlineStr">
        <is>
          <t>2026-08-13</t>
        </is>
      </c>
      <c r="H43" s="7" t="inlineStr">
        <is>
          <t>T2</t>
        </is>
      </c>
      <c r="J43" s="30" t="inlineStr">
        <is>
          <t>company announcement Aug 13, 2026</t>
        </is>
      </c>
    </row>
    <row r="44">
      <c r="B44" s="17" t="inlineStr">
        <is>
          <t>Note on the PitchBook revenue field</t>
        </is>
      </c>
      <c r="C44" s="17" t="inlineStr"/>
      <c r="D44" s="15" t="inlineStr">
        <is>
          <t>PitchBook revenue field still $6,900M TTM 4Q2026 (period end</t>
        </is>
      </c>
      <c r="F44" s="7" t="inlineStr">
        <is>
          <t>2026-08-10</t>
        </is>
      </c>
      <c r="H44" s="7" t="inlineStr">
        <is>
          <t>T2</t>
        </is>
      </c>
      <c r="J44" s="30" t="inlineStr">
        <is>
          <t>PitchBook profile, re-verified this pull</t>
        </is>
      </c>
    </row>
    <row r="45">
      <c r="B45" s="17" t="inlineStr">
        <is>
          <t>Pb revenue field ($bn)</t>
        </is>
      </c>
      <c r="C45" s="17" t="inlineStr"/>
      <c r="D45" s="31" t="n">
        <v>6.9</v>
      </c>
      <c r="F45" s="7" t="inlineStr">
        <is>
          <t>2026-08-12</t>
        </is>
      </c>
      <c r="H45" s="7" t="inlineStr">
        <is>
          <t>T2</t>
        </is>
      </c>
      <c r="J45" s="30" t="inlineStr">
        <is>
          <t>PitchBook Revenue field, fiscal period TTM 4Q2026 (period end 2026-12-31)</t>
        </is>
      </c>
    </row>
    <row r="46">
      <c r="B46" s="17" t="inlineStr">
        <is>
          <t>Employees</t>
        </is>
      </c>
      <c r="C46" s="17" t="inlineStr"/>
      <c r="D46" s="31" t="n">
        <v>9000</v>
      </c>
      <c r="F46" s="7" t="inlineStr">
        <is>
          <t>2026-06-09</t>
        </is>
      </c>
      <c r="H46" s="7" t="inlineStr">
        <is>
          <t>T2</t>
        </is>
      </c>
      <c r="J46" s="30" t="inlineStr">
        <is>
          <t>PitchBook</t>
        </is>
      </c>
    </row>
    <row r="47">
      <c r="B47" s="17" t="inlineStr">
        <is>
          <t>Ai products run rate ($bn)</t>
        </is>
      </c>
      <c r="C47" s="17" t="inlineStr"/>
      <c r="D47" s="31" t="n">
        <v>1.7</v>
      </c>
      <c r="F47" s="7" t="inlineStr">
        <is>
          <t>2026-06-16</t>
        </is>
      </c>
      <c r="H47" s="7" t="inlineStr">
        <is>
          <t>T2</t>
        </is>
      </c>
      <c r="J47" s="30" t="inlineStr">
        <is>
          <t>company disclosure</t>
        </is>
      </c>
    </row>
    <row r="48">
      <c r="B48" s="17" t="inlineStr">
        <is>
          <t>Dbsql run rate ($bn)</t>
        </is>
      </c>
      <c r="C48" s="17" t="inlineStr"/>
      <c r="D48" s="31" t="n">
        <v>1.5</v>
      </c>
      <c r="F48" s="7" t="inlineStr">
        <is>
          <t>2026-06-16</t>
        </is>
      </c>
      <c r="H48" s="7" t="inlineStr">
        <is>
          <t>T2</t>
        </is>
      </c>
      <c r="J48" s="30" t="inlineStr">
        <is>
          <t>press reports of company disclosure</t>
        </is>
      </c>
    </row>
    <row r="49">
      <c r="B49" s="17" t="inlineStr">
        <is>
          <t>Lakebase</t>
        </is>
      </c>
      <c r="C49" s="17" t="inlineStr"/>
      <c r="D49" s="15" t="inlineStr">
        <is>
          <t xml:space="preserve">Thousands of customers in first six months; revenue growing </t>
        </is>
      </c>
      <c r="F49" s="7" t="inlineStr">
        <is>
          <t>2026-02-09</t>
        </is>
      </c>
      <c r="H49" s="7" t="inlineStr">
        <is>
          <t>T2</t>
        </is>
      </c>
      <c r="J49" s="30" t="inlineStr">
        <is>
          <t>company PR</t>
        </is>
      </c>
    </row>
    <row r="50">
      <c r="B50" s="17" t="inlineStr">
        <is>
          <t>Ai capital focus</t>
        </is>
      </c>
      <c r="C50" s="17" t="inlineStr"/>
      <c r="D50" s="15" t="inlineStr">
        <is>
          <t>New capital earmarked for AI capabilities: Genie (business-d</t>
        </is>
      </c>
      <c r="F50" s="7" t="inlineStr">
        <is>
          <t>2026-07-17</t>
        </is>
      </c>
      <c r="H50" s="7" t="inlineStr">
        <is>
          <t>T2</t>
        </is>
      </c>
      <c r="J50" s="30" t="inlineStr">
        <is>
          <t>company announcement via press reports</t>
        </is>
      </c>
    </row>
    <row r="51">
      <c r="B51" s="17" t="inlineStr">
        <is>
          <t>Capital use</t>
        </is>
      </c>
      <c r="C51" s="17" t="inlineStr"/>
      <c r="D51" s="15" t="inlineStr">
        <is>
          <t>New capital directed at Lakebase, Genie and Unity AI Gateway</t>
        </is>
      </c>
      <c r="F51" s="7" t="inlineStr">
        <is>
          <t>2026-08-13</t>
        </is>
      </c>
      <c r="H51" s="7" t="inlineStr">
        <is>
          <t>T2</t>
        </is>
      </c>
      <c r="J51" s="30" t="inlineStr">
        <is>
          <t>company announcement Aug 13, 2026</t>
        </is>
      </c>
    </row>
    <row r="52">
      <c r="B52" s="17" t="inlineStr">
        <is>
          <t>Net revenue retention</t>
        </is>
      </c>
      <c r="C52" s="17" t="inlineStr"/>
      <c r="D52" s="15" t="inlineStr">
        <is>
          <t>&gt;140%</t>
        </is>
      </c>
      <c r="F52" s="7" t="inlineStr">
        <is>
          <t>2026-02-09</t>
        </is>
      </c>
      <c r="H52" s="7" t="inlineStr">
        <is>
          <t>T2</t>
        </is>
      </c>
      <c r="J52" s="30" t="inlineStr">
        <is>
          <t>company PR</t>
        </is>
      </c>
    </row>
    <row r="53">
      <c r="B53" s="17" t="inlineStr">
        <is>
          <t>Customer organisations</t>
        </is>
      </c>
      <c r="C53" s="17" t="inlineStr"/>
      <c r="D53" s="31" t="n">
        <v>20000</v>
      </c>
      <c r="F53" s="7" t="inlineStr">
        <is>
          <t>2026-02-09</t>
        </is>
      </c>
      <c r="H53" s="7" t="inlineStr">
        <is>
          <t>T2</t>
        </is>
      </c>
      <c r="J53" s="30" t="inlineStr">
        <is>
          <t>company PR</t>
        </is>
      </c>
    </row>
    <row r="54">
      <c r="B54" s="17" t="inlineStr">
        <is>
          <t>Customers spending over $1M</t>
        </is>
      </c>
      <c r="C54" s="17" t="inlineStr"/>
      <c r="D54" s="31" t="n">
        <v>800</v>
      </c>
      <c r="F54" s="7" t="inlineStr">
        <is>
          <t>2026-02-09</t>
        </is>
      </c>
      <c r="H54" s="7" t="inlineStr">
        <is>
          <t>T2</t>
        </is>
      </c>
      <c r="J54" s="30" t="inlineStr">
        <is>
          <t>company PR</t>
        </is>
      </c>
    </row>
    <row r="55">
      <c r="B55" s="17" t="inlineStr">
        <is>
          <t>Customers spending over $10M</t>
        </is>
      </c>
      <c r="C55" s="17" t="inlineStr"/>
      <c r="D55" s="31" t="n">
        <v>70</v>
      </c>
      <c r="F55" s="7" t="inlineStr">
        <is>
          <t>2026-02-09</t>
        </is>
      </c>
      <c r="H55" s="7" t="inlineStr">
        <is>
          <t>T2</t>
        </is>
      </c>
      <c r="J55" s="30" t="inlineStr">
        <is>
          <t>company PR</t>
        </is>
      </c>
    </row>
    <row r="56">
      <c r="B56" s="17" t="inlineStr">
        <is>
          <t>Fortune500 (%)</t>
        </is>
      </c>
      <c r="C56" s="17" t="inlineStr"/>
      <c r="D56" s="15" t="inlineStr">
        <is>
          <t>&gt;60%</t>
        </is>
      </c>
      <c r="F56" s="7" t="inlineStr">
        <is>
          <t>2026-02-09</t>
        </is>
      </c>
      <c r="H56" s="7" t="inlineStr">
        <is>
          <t>T2</t>
        </is>
      </c>
      <c r="J56" s="30" t="inlineStr">
        <is>
          <t>company PR</t>
        </is>
      </c>
    </row>
    <row r="57">
      <c r="B57" s="17" t="inlineStr">
        <is>
          <t>Ceo</t>
        </is>
      </c>
      <c r="C57" s="17" t="inlineStr"/>
      <c r="D57" s="15" t="inlineStr">
        <is>
          <t>Ali Ghodsi</t>
        </is>
      </c>
      <c r="F57" s="7" t="inlineStr">
        <is>
          <t>2026-07-10</t>
        </is>
      </c>
      <c r="H57" s="7" t="inlineStr">
        <is>
          <t>T2</t>
        </is>
      </c>
      <c r="J57" s="30" t="inlineStr">
        <is>
          <t>validation pack, July 10, 2026</t>
        </is>
      </c>
    </row>
    <row r="58">
      <c r="B58" s="17" t="inlineStr">
        <is>
          <t>Naveen rao status</t>
        </is>
      </c>
      <c r="C58" s="17" t="inlineStr"/>
      <c r="D58" s="15" t="inlineStr">
        <is>
          <t>Departed Sep 12, 2025 to found AI-hardware startup; advisory</t>
        </is>
      </c>
      <c r="F58" s="7" t="inlineStr">
        <is>
          <t>2025-09-12</t>
        </is>
      </c>
      <c r="H58" s="7" t="inlineStr">
        <is>
          <t>T3</t>
        </is>
      </c>
      <c r="J58" s="30" t="inlineStr">
        <is>
          <t>press reports</t>
        </is>
      </c>
    </row>
    <row r="59">
      <c r="B59" s="17" t="inlineStr">
        <is>
          <t>Snowflake mkt cap ($bn)</t>
        </is>
      </c>
      <c r="C59" s="17" t="inlineStr"/>
      <c r="D59" s="31" t="n">
        <v>91.09999999999999</v>
      </c>
      <c r="F59" s="7" t="inlineStr">
        <is>
          <t>2026-07-07</t>
        </is>
      </c>
      <c r="H59" s="7" t="inlineStr">
        <is>
          <t>T3</t>
        </is>
      </c>
      <c r="J59" s="30" t="inlineStr">
        <is>
          <t>market data aggregators</t>
        </is>
      </c>
    </row>
    <row r="60">
      <c r="B60" s="17" t="inlineStr">
        <is>
          <t>Snowflake fwd product rev ($bn)</t>
        </is>
      </c>
      <c r="C60" s="17" t="inlineStr"/>
      <c r="D60" s="31" t="n">
        <v>5.84</v>
      </c>
      <c r="F60" s="7" t="inlineStr">
        <is>
          <t>2026-05-27</t>
        </is>
      </c>
      <c r="H60" s="7" t="inlineStr">
        <is>
          <t>T1</t>
        </is>
      </c>
      <c r="J60" s="30" t="inlineStr">
        <is>
          <t>Snowflake 8-K, Q1 FY27 guide, +31%</t>
        </is>
      </c>
    </row>
    <row r="61">
      <c r="B61" s="17" t="inlineStr">
        <is>
          <t>Vs snowflake</t>
        </is>
      </c>
      <c r="C61" s="17" t="inlineStr"/>
      <c r="D61" s="15" t="inlineStr">
        <is>
          <t>Databricks revenue has overtaken Snowflake; gap ~$1.6B and w</t>
        </is>
      </c>
      <c r="F61" s="7" t="inlineStr">
        <is>
          <t>2026-06-30</t>
        </is>
      </c>
      <c r="H61" s="7" t="inlineStr">
        <is>
          <t>T3</t>
        </is>
      </c>
      <c r="J61" s="30" t="inlineStr">
        <is>
          <t>third-party analyst data</t>
        </is>
      </c>
    </row>
    <row r="62">
      <c r="B62" s="17" t="inlineStr">
        <is>
          <t>Rank among private companies</t>
        </is>
      </c>
      <c r="C62" s="17" t="inlineStr"/>
      <c r="D62" s="15" t="inlineStr">
        <is>
          <t>Trails only Anthropic, OpenAI, Tether, ByteDance among priva</t>
        </is>
      </c>
      <c r="F62" s="7" t="inlineStr">
        <is>
          <t>2026-07-17</t>
        </is>
      </c>
      <c r="H62" s="7" t="inlineStr">
        <is>
          <t>T2</t>
        </is>
      </c>
      <c r="J62" s="30" t="inlineStr">
        <is>
          <t>PitchBook data via PitchBook news</t>
        </is>
      </c>
    </row>
    <row r="63">
      <c r="B63" s="17" t="inlineStr">
        <is>
          <t>Acquisitions count</t>
        </is>
      </c>
      <c r="C63" s="17" t="inlineStr"/>
      <c r="D63" s="31" t="n">
        <v>19</v>
      </c>
      <c r="F63" s="7" t="inlineStr">
        <is>
          <t>2026-07-10</t>
        </is>
      </c>
      <c r="H63" s="7" t="inlineStr">
        <is>
          <t>T3</t>
        </is>
      </c>
      <c r="J63" s="30" t="inlineStr">
        <is>
          <t>aggregated company disclosures + press</t>
        </is>
      </c>
    </row>
    <row r="64">
      <c r="B64" s="17" t="inlineStr">
        <is>
          <t>Latest</t>
        </is>
      </c>
      <c r="C64" s="17" t="inlineStr"/>
      <c r="D64" s="15" t="inlineStr">
        <is>
          <t>Panther (security, 3rd security deal; terms undisclosed; $1.</t>
        </is>
      </c>
      <c r="F64" s="7" t="inlineStr">
        <is>
          <t>2026-06-16</t>
        </is>
      </c>
      <c r="H64" s="7" t="inlineStr">
        <is>
          <t>T2</t>
        </is>
      </c>
      <c r="J64" s="30" t="inlineStr">
        <is>
          <t>company announcement + press</t>
        </is>
      </c>
    </row>
    <row r="65">
      <c r="B65" s="17" t="inlineStr">
        <is>
          <t>IPO filing status</t>
        </is>
      </c>
      <c r="C65" s="17" t="inlineStr"/>
      <c r="D65" s="15" t="inlineStr">
        <is>
          <t>No S-1 on file; Form D / D/A only (latest 2025-12-31)</t>
        </is>
      </c>
      <c r="F65" s="7" t="inlineStr">
        <is>
          <t>2026-07-10</t>
        </is>
      </c>
      <c r="H65" s="7" t="inlineStr">
        <is>
          <t>T1</t>
        </is>
      </c>
      <c r="J65" s="30" t="inlineStr">
        <is>
          <t>SEC EDGAR submissions API, CIK 0001587468</t>
        </is>
      </c>
    </row>
    <row r="66">
      <c r="B66" s="17" t="inlineStr">
        <is>
          <t>Expected IPO window</t>
        </is>
      </c>
      <c r="C66" s="17" t="inlineStr"/>
      <c r="D66" s="15" t="inlineStr">
        <is>
          <t>2026 publicly ruled out by CEO; 2027 earliest</t>
        </is>
      </c>
      <c r="F66" s="7" t="inlineStr">
        <is>
          <t>2026-06-04</t>
        </is>
      </c>
      <c r="H66" s="7" t="inlineStr">
        <is>
          <t>T2</t>
        </is>
      </c>
      <c r="J66" s="30" t="inlineStr">
        <is>
          <t>company (CEO television interview)</t>
        </is>
      </c>
    </row>
    <row r="67">
      <c r="B67" s="17" t="inlineStr">
        <is>
          <t>Prediction market</t>
        </is>
      </c>
      <c r="C67" s="17" t="inlineStr"/>
      <c r="D67" s="15" t="inlineStr">
        <is>
          <t>'No Databricks IPO by Dec 31, 2027' priced 0.54</t>
        </is>
      </c>
      <c r="F67" s="7" t="inlineStr">
        <is>
          <t>2026-07-07</t>
        </is>
      </c>
      <c r="H67" s="7" t="inlineStr">
        <is>
          <t>T3</t>
        </is>
      </c>
      <c r="J67" s="30" t="inlineStr">
        <is>
          <t>prediction-market aggregator</t>
        </is>
      </c>
    </row>
    <row r="68">
      <c r="B68" s="17" t="inlineStr">
        <is>
          <t>Quality score (composite)</t>
        </is>
      </c>
      <c r="C68" s="17" t="inlineStr"/>
      <c r="D68" s="31" t="n">
        <v>8.81</v>
      </c>
      <c r="F68" s="7" t="inlineStr">
        <is>
          <t>2026-07-10</t>
        </is>
      </c>
      <c r="H68" s="7" t="inlineStr">
        <is>
          <t>T2</t>
        </is>
      </c>
      <c r="J68" s="30" t="inlineStr">
        <is>
          <t>internal re-score (this desk)</t>
        </is>
      </c>
    </row>
    <row r="69">
      <c r="B69" s="17" t="inlineStr">
        <is>
          <t>Quality score by dimension</t>
        </is>
      </c>
      <c r="C69" s="17" t="inlineStr"/>
      <c r="D69" s="15" t="inlineStr">
        <is>
          <t>CE=8.9; RQ=9.0; CI=8.0; GO=8.9; MD=9.0; CRA=0.0</t>
        </is>
      </c>
      <c r="F69" s="7" t="inlineStr">
        <is>
          <t>2026-07-10</t>
        </is>
      </c>
      <c r="H69" s="7" t="inlineStr">
        <is>
          <t>T2</t>
        </is>
      </c>
      <c r="J69" s="30" t="inlineStr">
        <is>
          <t>internal re-score (this desk)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Databricks, Inc.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2" t="inlineStr"/>
      <c r="E8" s="32">
        <f>E9/D9-1</f>
        <v/>
      </c>
      <c r="F8" s="32">
        <f>F9/E9-1</f>
        <v/>
      </c>
      <c r="G8" s="32">
        <f>G9/F9-1</f>
        <v/>
      </c>
      <c r="H8" s="32">
        <f>H9/G9-1</f>
        <v/>
      </c>
      <c r="I8" s="32">
        <f>MAX(Inputs!$D$14,H8-Inputs!$D$13)*Inputs!$D$15</f>
        <v/>
      </c>
      <c r="J8" s="32">
        <f>MAX(Inputs!$D$14,I8-Inputs!$D$13)*Inputs!$D$15</f>
        <v/>
      </c>
      <c r="K8" s="32">
        <f>MAX(Inputs!$D$14,J8-Inputs!$D$13)*Inputs!$D$15</f>
        <v/>
      </c>
      <c r="L8" s="32">
        <f>MAX(Inputs!$D$14,K8-Inputs!$D$13)*Inputs!$D$15</f>
        <v/>
      </c>
      <c r="M8" s="32">
        <f>MAX(Inputs!$D$14,L8-Inputs!$D$13)*Inputs!$D$15</f>
        <v/>
      </c>
      <c r="N8" s="32">
        <f>MAX(Inputs!$D$14,M8-Inputs!$D$13)*Inputs!$D$15</f>
        <v/>
      </c>
    </row>
    <row r="9">
      <c r="B9" s="8" t="inlineStr">
        <is>
          <t>Revenue</t>
        </is>
      </c>
      <c r="D9" s="23" t="n">
        <v>844.8</v>
      </c>
      <c r="E9" s="23" t="n">
        <v>1309.4</v>
      </c>
      <c r="F9" s="23" t="n">
        <v>2160.5</v>
      </c>
      <c r="G9" s="23" t="n">
        <v>3888.9</v>
      </c>
      <c r="H9" s="23" t="n">
        <v>7000</v>
      </c>
      <c r="I9" s="33">
        <f>H9*(1+I8)</f>
        <v/>
      </c>
      <c r="J9" s="33">
        <f>I9*(1+J8)</f>
        <v/>
      </c>
      <c r="K9" s="33">
        <f>J9*(1+K8)</f>
        <v/>
      </c>
      <c r="L9" s="33">
        <f>K9*(1+L8)</f>
        <v/>
      </c>
      <c r="M9" s="33">
        <f>L9*(1+M8)</f>
        <v/>
      </c>
      <c r="N9" s="33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2">
        <f>Inputs!$D$18</f>
        <v/>
      </c>
      <c r="E12" s="32">
        <f>Inputs!$D$18</f>
        <v/>
      </c>
      <c r="F12" s="32">
        <f>Inputs!$D$18</f>
        <v/>
      </c>
      <c r="G12" s="32">
        <f>Inputs!$D$18</f>
        <v/>
      </c>
      <c r="H12" s="32">
        <f>Inputs!$D$18</f>
        <v/>
      </c>
      <c r="I12" s="32">
        <f>H12+Inputs!$D$19</f>
        <v/>
      </c>
      <c r="J12" s="32">
        <f>I12+Inputs!$D$19</f>
        <v/>
      </c>
      <c r="K12" s="32">
        <f>J12+Inputs!$D$19</f>
        <v/>
      </c>
      <c r="L12" s="32">
        <f>K12+Inputs!$D$19</f>
        <v/>
      </c>
      <c r="M12" s="32">
        <f>L12+Inputs!$D$19</f>
        <v/>
      </c>
      <c r="N12" s="32">
        <f>M12+Inputs!$D$19</f>
        <v/>
      </c>
    </row>
    <row r="13">
      <c r="B13" s="8" t="inlineStr">
        <is>
          <t>Gross profit</t>
        </is>
      </c>
      <c r="D13" s="33">
        <f>D9*D12</f>
        <v/>
      </c>
      <c r="E13" s="33">
        <f>E9*E12</f>
        <v/>
      </c>
      <c r="F13" s="33">
        <f>F9*F12</f>
        <v/>
      </c>
      <c r="G13" s="33">
        <f>G9*G12</f>
        <v/>
      </c>
      <c r="H13" s="33">
        <f>H9*H12</f>
        <v/>
      </c>
      <c r="I13" s="33">
        <f>I9*I12</f>
        <v/>
      </c>
      <c r="J13" s="33">
        <f>J9*J12</f>
        <v/>
      </c>
      <c r="K13" s="33">
        <f>K9*K12</f>
        <v/>
      </c>
      <c r="L13" s="33">
        <f>L9*L12</f>
        <v/>
      </c>
      <c r="M13" s="33">
        <f>M9*M12</f>
        <v/>
      </c>
      <c r="N13" s="33">
        <f>N9*N12</f>
        <v/>
      </c>
    </row>
    <row r="14">
      <c r="B14" s="8" t="inlineStr">
        <is>
          <t>Sales and marketing</t>
        </is>
      </c>
      <c r="D14" s="33">
        <f>D9*MAX(0.02,Inputs!$D$20+Inputs!$D$23*MAX(0,D5-2026))</f>
        <v/>
      </c>
      <c r="E14" s="33">
        <f>E9*MAX(0.02,Inputs!$D$20+Inputs!$D$23*MAX(0,E5-2026))</f>
        <v/>
      </c>
      <c r="F14" s="33">
        <f>F9*MAX(0.02,Inputs!$D$20+Inputs!$D$23*MAX(0,F5-2026))</f>
        <v/>
      </c>
      <c r="G14" s="33">
        <f>G9*MAX(0.02,Inputs!$D$20+Inputs!$D$23*MAX(0,G5-2026))</f>
        <v/>
      </c>
      <c r="H14" s="33">
        <f>H9*MAX(0.02,Inputs!$D$20+Inputs!$D$23*MAX(0,H5-2026))</f>
        <v/>
      </c>
      <c r="I14" s="33">
        <f>I9*MAX(0.02,Inputs!$D$20+Inputs!$D$23*MAX(0,I5-2026))</f>
        <v/>
      </c>
      <c r="J14" s="33">
        <f>J9*MAX(0.02,Inputs!$D$20+Inputs!$D$23*MAX(0,J5-2026))</f>
        <v/>
      </c>
      <c r="K14" s="33">
        <f>K9*MAX(0.02,Inputs!$D$20+Inputs!$D$23*MAX(0,K5-2026))</f>
        <v/>
      </c>
      <c r="L14" s="33">
        <f>L9*MAX(0.02,Inputs!$D$20+Inputs!$D$23*MAX(0,L5-2026))</f>
        <v/>
      </c>
      <c r="M14" s="33">
        <f>M9*MAX(0.02,Inputs!$D$20+Inputs!$D$23*MAX(0,M5-2026))</f>
        <v/>
      </c>
      <c r="N14" s="33">
        <f>N9*MAX(0.02,Inputs!$D$20+Inputs!$D$23*MAX(0,N5-2026))</f>
        <v/>
      </c>
    </row>
    <row r="15">
      <c r="B15" s="8" t="inlineStr">
        <is>
          <t>Research and development</t>
        </is>
      </c>
      <c r="D15" s="33">
        <f>D9*MAX(0.02,Inputs!$D$21+Inputs!$D$23*MAX(0,D5-2026))</f>
        <v/>
      </c>
      <c r="E15" s="33">
        <f>E9*MAX(0.02,Inputs!$D$21+Inputs!$D$23*MAX(0,E5-2026))</f>
        <v/>
      </c>
      <c r="F15" s="33">
        <f>F9*MAX(0.02,Inputs!$D$21+Inputs!$D$23*MAX(0,F5-2026))</f>
        <v/>
      </c>
      <c r="G15" s="33">
        <f>G9*MAX(0.02,Inputs!$D$21+Inputs!$D$23*MAX(0,G5-2026))</f>
        <v/>
      </c>
      <c r="H15" s="33">
        <f>H9*MAX(0.02,Inputs!$D$21+Inputs!$D$23*MAX(0,H5-2026))</f>
        <v/>
      </c>
      <c r="I15" s="33">
        <f>I9*MAX(0.02,Inputs!$D$21+Inputs!$D$23*MAX(0,I5-2026))</f>
        <v/>
      </c>
      <c r="J15" s="33">
        <f>J9*MAX(0.02,Inputs!$D$21+Inputs!$D$23*MAX(0,J5-2026))</f>
        <v/>
      </c>
      <c r="K15" s="33">
        <f>K9*MAX(0.02,Inputs!$D$21+Inputs!$D$23*MAX(0,K5-2026))</f>
        <v/>
      </c>
      <c r="L15" s="33">
        <f>L9*MAX(0.02,Inputs!$D$21+Inputs!$D$23*MAX(0,L5-2026))</f>
        <v/>
      </c>
      <c r="M15" s="33">
        <f>M9*MAX(0.02,Inputs!$D$21+Inputs!$D$23*MAX(0,M5-2026))</f>
        <v/>
      </c>
      <c r="N15" s="33">
        <f>N9*MAX(0.02,Inputs!$D$21+Inputs!$D$23*MAX(0,N5-2026))</f>
        <v/>
      </c>
    </row>
    <row r="16">
      <c r="B16" s="8" t="inlineStr">
        <is>
          <t>General and administrative</t>
        </is>
      </c>
      <c r="D16" s="33">
        <f>D9*MAX(0.02,Inputs!$D$22+Inputs!$D$23*MAX(0,D5-2026))</f>
        <v/>
      </c>
      <c r="E16" s="33">
        <f>E9*MAX(0.02,Inputs!$D$22+Inputs!$D$23*MAX(0,E5-2026))</f>
        <v/>
      </c>
      <c r="F16" s="33">
        <f>F9*MAX(0.02,Inputs!$D$22+Inputs!$D$23*MAX(0,F5-2026))</f>
        <v/>
      </c>
      <c r="G16" s="33">
        <f>G9*MAX(0.02,Inputs!$D$22+Inputs!$D$23*MAX(0,G5-2026))</f>
        <v/>
      </c>
      <c r="H16" s="33">
        <f>H9*MAX(0.02,Inputs!$D$22+Inputs!$D$23*MAX(0,H5-2026))</f>
        <v/>
      </c>
      <c r="I16" s="33">
        <f>I9*MAX(0.02,Inputs!$D$22+Inputs!$D$23*MAX(0,I5-2026))</f>
        <v/>
      </c>
      <c r="J16" s="33">
        <f>J9*MAX(0.02,Inputs!$D$22+Inputs!$D$23*MAX(0,J5-2026))</f>
        <v/>
      </c>
      <c r="K16" s="33">
        <f>K9*MAX(0.02,Inputs!$D$22+Inputs!$D$23*MAX(0,K5-2026))</f>
        <v/>
      </c>
      <c r="L16" s="33">
        <f>L9*MAX(0.02,Inputs!$D$22+Inputs!$D$23*MAX(0,L5-2026))</f>
        <v/>
      </c>
      <c r="M16" s="33">
        <f>M9*MAX(0.02,Inputs!$D$22+Inputs!$D$23*MAX(0,M5-2026))</f>
        <v/>
      </c>
      <c r="N16" s="33">
        <f>N9*MAX(0.02,Inputs!$D$22+Inputs!$D$23*MAX(0,N5-2026))</f>
        <v/>
      </c>
    </row>
    <row r="17">
      <c r="B17" s="6" t="inlineStr">
        <is>
          <t>Total operating expenses</t>
        </is>
      </c>
      <c r="D17" s="34">
        <f>SUM(D14:D16)</f>
        <v/>
      </c>
      <c r="E17" s="34">
        <f>SUM(E14:E16)</f>
        <v/>
      </c>
      <c r="F17" s="34">
        <f>SUM(F14:F16)</f>
        <v/>
      </c>
      <c r="G17" s="34">
        <f>SUM(G14:G16)</f>
        <v/>
      </c>
      <c r="H17" s="34">
        <f>SUM(H14:H16)</f>
        <v/>
      </c>
      <c r="I17" s="34">
        <f>SUM(I14:I16)</f>
        <v/>
      </c>
      <c r="J17" s="34">
        <f>SUM(J14:J16)</f>
        <v/>
      </c>
      <c r="K17" s="34">
        <f>SUM(K14:K16)</f>
        <v/>
      </c>
      <c r="L17" s="34">
        <f>SUM(L14:L16)</f>
        <v/>
      </c>
      <c r="M17" s="34">
        <f>SUM(M14:M16)</f>
        <v/>
      </c>
      <c r="N17" s="34">
        <f>SUM(N14:N16)</f>
        <v/>
      </c>
    </row>
    <row r="18">
      <c r="B18" s="6" t="inlineStr">
        <is>
          <t>Operating profit</t>
        </is>
      </c>
      <c r="D18" s="34">
        <f>D13-D17</f>
        <v/>
      </c>
      <c r="E18" s="34">
        <f>E13-E17</f>
        <v/>
      </c>
      <c r="F18" s="34">
        <f>F13-F17</f>
        <v/>
      </c>
      <c r="G18" s="34">
        <f>G13-G17</f>
        <v/>
      </c>
      <c r="H18" s="34">
        <f>H13-H17</f>
        <v/>
      </c>
      <c r="I18" s="34">
        <f>I13-I17</f>
        <v/>
      </c>
      <c r="J18" s="34">
        <f>J13-J17</f>
        <v/>
      </c>
      <c r="K18" s="34">
        <f>K13-K17</f>
        <v/>
      </c>
      <c r="L18" s="34">
        <f>L13-L17</f>
        <v/>
      </c>
      <c r="M18" s="34">
        <f>M13-M17</f>
        <v/>
      </c>
      <c r="N18" s="34">
        <f>N13-N17</f>
        <v/>
      </c>
    </row>
    <row r="19">
      <c r="B19" s="8" t="inlineStr">
        <is>
          <t>Operating margin (%)</t>
        </is>
      </c>
      <c r="D19" s="32">
        <f>IF(D9=0,0,D18/D9)</f>
        <v/>
      </c>
      <c r="E19" s="32">
        <f>IF(E9=0,0,E18/E9)</f>
        <v/>
      </c>
      <c r="F19" s="32">
        <f>IF(F9=0,0,F18/F9)</f>
        <v/>
      </c>
      <c r="G19" s="32">
        <f>IF(G9=0,0,G18/G9)</f>
        <v/>
      </c>
      <c r="H19" s="32">
        <f>IF(H9=0,0,H18/H9)</f>
        <v/>
      </c>
      <c r="I19" s="32">
        <f>IF(I9=0,0,I18/I9)</f>
        <v/>
      </c>
      <c r="J19" s="32">
        <f>IF(J9=0,0,J18/J9)</f>
        <v/>
      </c>
      <c r="K19" s="32">
        <f>IF(K9=0,0,K18/K9)</f>
        <v/>
      </c>
      <c r="L19" s="32">
        <f>IF(L9=0,0,L18/L9)</f>
        <v/>
      </c>
      <c r="M19" s="32">
        <f>IF(M9=0,0,M18/M9)</f>
        <v/>
      </c>
      <c r="N19" s="32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3">
        <f>-MAX(0,D18)*Inputs!$D$29</f>
        <v/>
      </c>
      <c r="E22" s="33">
        <f>-MAX(0,E18)*Inputs!$D$29</f>
        <v/>
      </c>
      <c r="F22" s="33">
        <f>-MAX(0,F18)*Inputs!$D$29</f>
        <v/>
      </c>
      <c r="G22" s="33">
        <f>-MAX(0,G18)*Inputs!$D$29</f>
        <v/>
      </c>
      <c r="H22" s="33">
        <f>-MAX(0,H18)*Inputs!$D$29</f>
        <v/>
      </c>
      <c r="I22" s="33">
        <f>-MAX(0,I18)*Inputs!$D$29</f>
        <v/>
      </c>
      <c r="J22" s="33">
        <f>-MAX(0,J18)*Inputs!$D$29</f>
        <v/>
      </c>
      <c r="K22" s="33">
        <f>-MAX(0,K18)*Inputs!$D$29</f>
        <v/>
      </c>
      <c r="L22" s="33">
        <f>-MAX(0,L18)*Inputs!$D$29</f>
        <v/>
      </c>
      <c r="M22" s="33">
        <f>-MAX(0,M18)*Inputs!$D$29</f>
        <v/>
      </c>
      <c r="N22" s="33">
        <f>-MAX(0,N18)*Inputs!$D$29</f>
        <v/>
      </c>
    </row>
    <row r="23">
      <c r="B23" s="8" t="inlineStr">
        <is>
          <t>Capital expenditure and working capital</t>
        </is>
      </c>
      <c r="D23" s="33">
        <f>-D9*0.06</f>
        <v/>
      </c>
      <c r="E23" s="33">
        <f>-E9*0.06</f>
        <v/>
      </c>
      <c r="F23" s="33">
        <f>-F9*0.06</f>
        <v/>
      </c>
      <c r="G23" s="33">
        <f>-G9*0.06</f>
        <v/>
      </c>
      <c r="H23" s="33">
        <f>-H9*0.06</f>
        <v/>
      </c>
      <c r="I23" s="33">
        <f>-I9*0.06</f>
        <v/>
      </c>
      <c r="J23" s="33">
        <f>-J9*0.06</f>
        <v/>
      </c>
      <c r="K23" s="33">
        <f>-K9*0.06</f>
        <v/>
      </c>
      <c r="L23" s="33">
        <f>-L9*0.06</f>
        <v/>
      </c>
      <c r="M23" s="33">
        <f>-M9*0.06</f>
        <v/>
      </c>
      <c r="N23" s="33">
        <f>-N9*0.06</f>
        <v/>
      </c>
    </row>
    <row r="24">
      <c r="B24" s="6" t="inlineStr">
        <is>
          <t>Free cash flow</t>
        </is>
      </c>
      <c r="D24" s="34">
        <f>D18+D22+D23</f>
        <v/>
      </c>
      <c r="E24" s="34">
        <f>E18+E22+E23</f>
        <v/>
      </c>
      <c r="F24" s="34">
        <f>F18+F22+F23</f>
        <v/>
      </c>
      <c r="G24" s="34">
        <f>G18+G22+G23</f>
        <v/>
      </c>
      <c r="H24" s="34">
        <f>H18+H22+H23</f>
        <v/>
      </c>
      <c r="I24" s="34">
        <f>I18+I22+I23</f>
        <v/>
      </c>
      <c r="J24" s="34">
        <f>J18+J22+J23</f>
        <v/>
      </c>
      <c r="K24" s="34">
        <f>K18+K22+K23</f>
        <v/>
      </c>
      <c r="L24" s="34">
        <f>L18+L22+L23</f>
        <v/>
      </c>
      <c r="M24" s="34">
        <f>M18+M22+M23</f>
        <v/>
      </c>
      <c r="N24" s="34">
        <f>N18+N22+N23</f>
        <v/>
      </c>
    </row>
    <row r="26">
      <c r="B26" s="4" t="inlineStr">
        <is>
          <t>Per-employee and efficiency</t>
        </is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B27" s="8" t="inlineStr">
        <is>
          <t>Revenue per employee ($000)</t>
        </is>
      </c>
      <c r="D27" s="33">
        <f>IF(D9=0,0,D9*1000/MAX(1,Inputs!$D$34))</f>
        <v/>
      </c>
      <c r="E27" s="33">
        <f>IF(E9=0,0,E9*1000/MAX(1,Inputs!$D$34))</f>
        <v/>
      </c>
      <c r="F27" s="33">
        <f>IF(F9=0,0,F9*1000/MAX(1,Inputs!$D$34))</f>
        <v/>
      </c>
      <c r="G27" s="33">
        <f>IF(G9=0,0,G9*1000/MAX(1,Inputs!$D$34))</f>
        <v/>
      </c>
      <c r="H27" s="33">
        <f>IF(H9=0,0,H9*1000/MAX(1,Inputs!$D$34))</f>
        <v/>
      </c>
      <c r="I27" s="33">
        <f>IF(I9=0,0,I9*1000/MAX(1,Inputs!$D$34))</f>
        <v/>
      </c>
      <c r="J27" s="33">
        <f>IF(J9=0,0,J9*1000/MAX(1,Inputs!$D$34))</f>
        <v/>
      </c>
      <c r="K27" s="33">
        <f>IF(K9=0,0,K9*1000/MAX(1,Inputs!$D$34))</f>
        <v/>
      </c>
      <c r="L27" s="33">
        <f>IF(L9=0,0,L9*1000/MAX(1,Inputs!$D$34))</f>
        <v/>
      </c>
      <c r="M27" s="33">
        <f>IF(M9=0,0,M9*1000/MAX(1,Inputs!$D$34))</f>
        <v/>
      </c>
      <c r="N27" s="33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Databricks, Inc.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>
        <f>1/(1+Inputs!$D$28)^1</f>
        <v/>
      </c>
      <c r="J8" s="35">
        <f>1/(1+Inputs!$D$28)^2</f>
        <v/>
      </c>
      <c r="K8" s="35">
        <f>1/(1+Inputs!$D$28)^3</f>
        <v/>
      </c>
      <c r="L8" s="35">
        <f>1/(1+Inputs!$D$28)^4</f>
        <v/>
      </c>
      <c r="M8" s="35">
        <f>1/(1+Inputs!$D$28)^5</f>
        <v/>
      </c>
      <c r="N8" s="35">
        <f>1/(1+Inputs!$D$28)^6</f>
        <v/>
      </c>
    </row>
    <row r="9">
      <c r="B9" s="8" t="inlineStr">
        <is>
          <t>Present value of free cash flow</t>
        </is>
      </c>
      <c r="D9" s="33" t="n">
        <v>0</v>
      </c>
      <c r="E9" s="33" t="n">
        <v>0</v>
      </c>
      <c r="F9" s="33" t="n">
        <v>0</v>
      </c>
      <c r="G9" s="33" t="n">
        <v>0</v>
      </c>
      <c r="H9" s="33" t="n">
        <v>0</v>
      </c>
      <c r="I9" s="33">
        <f>Model!I24*I8</f>
        <v/>
      </c>
      <c r="J9" s="33">
        <f>Model!J24*J8</f>
        <v/>
      </c>
      <c r="K9" s="33">
        <f>Model!K24*K8</f>
        <v/>
      </c>
      <c r="L9" s="33">
        <f>Model!L24*L8</f>
        <v/>
      </c>
      <c r="M9" s="33">
        <f>Model!M24*M8</f>
        <v/>
      </c>
      <c r="N9" s="33">
        <f>Model!N24*N8</f>
        <v/>
      </c>
    </row>
    <row r="11">
      <c r="B11" s="6" t="inlineStr">
        <is>
          <t>Sum of discounted cash flows</t>
        </is>
      </c>
      <c r="D11" s="34">
        <f>SUM(I9:N9)</f>
        <v/>
      </c>
    </row>
    <row r="12">
      <c r="B12" s="8" t="inlineStr">
        <is>
          <t>Terminal value (perpetuity)</t>
        </is>
      </c>
      <c r="D12" s="33">
        <f>Model!N24*(1+Inputs!$D$14)/(Inputs!$D$28-Inputs!$D$14)*N8</f>
        <v/>
      </c>
    </row>
    <row r="13">
      <c r="B13" s="8" t="inlineStr">
        <is>
          <t>Terminal value (exit multiple)</t>
        </is>
      </c>
      <c r="D13" s="33">
        <f>Model!N9*Inputs!$D$30*N8</f>
        <v/>
      </c>
    </row>
    <row r="14">
      <c r="B14" s="8" t="inlineStr">
        <is>
          <t>Terminal value used (average of the two)</t>
        </is>
      </c>
      <c r="D14" s="33">
        <f>AVERAGE(D12,D13)</f>
        <v/>
      </c>
    </row>
    <row r="16">
      <c r="B16" s="36" t="inlineStr">
        <is>
          <t>Enterprise value</t>
        </is>
      </c>
      <c r="D16" s="37">
        <f>D11+D14</f>
        <v/>
      </c>
    </row>
    <row r="18">
      <c r="B18" s="4" t="inlineStr">
        <is>
          <t>Cross-checks against the stored mark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B19" s="8" t="inlineStr">
        <is>
          <t>Latest stored valuation</t>
        </is>
      </c>
      <c r="D19" s="38">
        <f>Inputs!$D$26</f>
        <v/>
      </c>
    </row>
    <row r="20">
      <c r="B20" s="8" t="inlineStr">
        <is>
          <t>Model value against the stored mark</t>
        </is>
      </c>
      <c r="D20" s="39">
        <f>IF(D19=0,0,Valuation!$D$16/D19)</f>
        <v/>
      </c>
    </row>
    <row r="21">
      <c r="B21" s="8" t="inlineStr">
        <is>
          <t>Stored mark against latest revenue</t>
        </is>
      </c>
      <c r="D21" s="39">
        <f>IF(Model!H9=0,0,D19/Model!H9)</f>
        <v/>
      </c>
    </row>
    <row r="22">
      <c r="B22" s="8" t="inlineStr">
        <is>
          <t>Stored mark per dollar of equity raised</t>
        </is>
      </c>
      <c r="D22" s="39">
        <f>IF(Inputs!$D$27=0,0,D19/Inputs!$D$27)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Databricks, Inc.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Model!D24</f>
        <v/>
      </c>
      <c r="E10" s="38">
        <f>Model!E24</f>
        <v/>
      </c>
      <c r="F10" s="38">
        <f>Model!F24</f>
        <v/>
      </c>
      <c r="G10" s="38">
        <f>Model!G24</f>
        <v/>
      </c>
      <c r="H10" s="38">
        <f>Model!H24</f>
        <v/>
      </c>
      <c r="I10" s="38">
        <f>Model!I24</f>
        <v/>
      </c>
      <c r="J10" s="38">
        <f>Model!J24</f>
        <v/>
      </c>
      <c r="K10" s="38">
        <f>Model!K24</f>
        <v/>
      </c>
      <c r="L10" s="38">
        <f>Model!L24</f>
        <v/>
      </c>
      <c r="M10" s="38">
        <f>Model!M24</f>
        <v/>
      </c>
      <c r="N10" s="38">
        <f>Model!N24</f>
        <v/>
      </c>
    </row>
    <row r="12">
      <c r="B12" s="36" t="inlineStr">
        <is>
          <t>Enterprise value (discounted cash flow)</t>
        </is>
      </c>
      <c r="D12" s="37">
        <f>Valuation!$D$16</f>
        <v/>
      </c>
    </row>
    <row r="14">
      <c r="B14" s="14" t="inlineStr">
        <is>
          <t>What this business does</t>
        </is>
      </c>
    </row>
    <row r="15" ht="30" customHeight="1">
      <c r="B15" s="40" t="inlineStr">
        <is>
          <t>Sells the software companies use to store their data and build AI on top of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2026-08-13T20:07:20Z</dcterms:created>
  <dcterms:modified xmlns:dcterms="http://purl.org/dc/terms/" xmlns:xsi="http://www.w3.org/2001/XMLSchema-instance" xsi:type="dcterms:W3CDTF">2026-08-13T20:07:20Z</dcterms:modified>
</cp:coreProperties>
</file>