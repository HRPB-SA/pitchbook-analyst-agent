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3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i val="1"/>
      <color rgb="006B7280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8" fillId="0" borderId="0" pivotButton="0" quotePrefix="0" xfId="0"/>
    <xf numFmtId="166" fontId="19" fillId="0" borderId="0" pivotButton="0" quotePrefix="0" xfId="0"/>
    <xf numFmtId="167" fontId="12" fillId="0" borderId="0" pivotButton="0" quotePrefix="0" xfId="0"/>
    <xf numFmtId="0" fontId="20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1" fillId="0" borderId="0" pivotButton="0" quotePrefix="0" xfId="0"/>
    <xf numFmtId="0" fontId="8" fillId="0" borderId="0" pivotButton="0" quotePrefix="0" xfId="0"/>
    <xf numFmtId="0" fontId="22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3" borderId="0" pivotButton="0" quotePrefix="0" xfId="0"/>
    <xf numFmtId="167" fontId="6" fillId="3" borderId="0" pivotButton="0" quotePrefix="0" xfId="0"/>
    <xf numFmtId="2" fontId="5" fillId="0" borderId="0" pivotButton="0" quotePrefix="0" xfId="0"/>
    <xf numFmtId="166" fontId="6" fillId="0" borderId="0" pivotButton="0" quotePrefix="0" xfId="0"/>
    <xf numFmtId="168" fontId="6" fillId="3" borderId="0" pivotButton="0" quotePrefix="0" xfId="0"/>
    <xf numFmtId="0" fontId="7" fillId="0" borderId="0" pivotButton="0" quotePrefix="0" xfId="0"/>
    <xf numFmtId="0" fontId="11" fillId="0" borderId="0" pivotButton="0" quotePrefix="0" xfId="0"/>
    <xf numFmtId="166" fontId="9" fillId="0" borderId="0" pivotButton="0" quotePrefix="0" xfId="0"/>
    <xf numFmtId="167" fontId="5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5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ASSUMPTION
Annualised revenue
Basis: No revenue in the store. Placeholder — replace before use.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SOURCED FACT
Valuation
Value: 12.0
As of: 2026-03-05
Tier: T2
Source: PitchBook deal 316043-65T (Later Stage VC)
Note: 7th Round; deal size $250M</t>
      </text>
    </comment>
    <comment ref="D27" authorId="0" shapeId="0">
      <text>
        <t>SOURCED FACT
Total raised (includes debt — NOT an equity figure)
Value: 0.795
As of: 2026-03-05
Tier: T2
Source: PitchBook Raised to Date, deal 316043-65T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ASSUMPTION
Employees
Basis: Not in the store.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House ruling R1: capital efficiency uses EQUITY ONLY. The store holds only a combined equity-and-debt figure for this company, so this ratio is deliberately left blank rather than computed from a number that includes debt.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OpenEvidence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2026-08-16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2</v>
      </c>
    </row>
    <row r="24">
      <c r="B24" s="8" t="inlineStr">
        <is>
          <t>Inputs that are desk assumptions</t>
        </is>
      </c>
      <c r="D24" s="11" t="n">
        <v>15</v>
      </c>
    </row>
    <row r="25">
      <c r="B25" s="8" t="inlineStr">
        <is>
          <t>Share sourced</t>
        </is>
      </c>
      <c r="D25" s="12" t="n">
        <v>0.1176470588235294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OpenEvidence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100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6" t="n">
        <v>12000</v>
      </c>
    </row>
    <row r="27">
      <c r="B27" s="8" t="inlineStr">
        <is>
          <t>Total raised to date, equity AND debt ($M)</t>
        </is>
      </c>
      <c r="D27" s="26" t="n">
        <v>795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7" t="n">
        <v>8</v>
      </c>
    </row>
    <row r="31">
      <c r="B31" s="8" t="inlineStr">
        <is>
          <t>Headcount (latest)</t>
        </is>
      </c>
      <c r="D31" s="23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OpenEvidence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8" t="inlineStr">
        <is>
          <t>Metric</t>
        </is>
      </c>
      <c r="D5" s="28" t="inlineStr">
        <is>
          <t>Value</t>
        </is>
      </c>
      <c r="F5" s="28" t="inlineStr">
        <is>
          <t>As of</t>
        </is>
      </c>
      <c r="H5" s="28" t="inlineStr">
        <is>
          <t>Tier</t>
        </is>
      </c>
      <c r="J5" s="28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OpenEvidence</t>
        </is>
      </c>
      <c r="F6" s="7" t="inlineStr">
        <is>
          <t>2026-07-16</t>
        </is>
      </c>
      <c r="H6" s="7" t="inlineStr">
        <is>
          <t>T2</t>
        </is>
      </c>
      <c r="J6" s="29" t="inlineStr">
        <is>
          <t>canonical refresh, July 16, 2026</t>
        </is>
      </c>
    </row>
    <row r="7">
      <c r="B7" s="17" t="inlineStr">
        <is>
          <t>Valuation history</t>
        </is>
      </c>
      <c r="C7" s="17" t="inlineStr"/>
      <c r="D7" s="30" t="n">
        <v>0.425</v>
      </c>
      <c r="F7" s="7" t="inlineStr">
        <is>
          <t>2022-07-01</t>
        </is>
      </c>
      <c r="H7" s="7" t="inlineStr">
        <is>
          <t>T2</t>
        </is>
      </c>
      <c r="J7" s="29" t="inlineStr">
        <is>
          <t>PitchBook deal 223843-42T (Later Stage VC)</t>
        </is>
      </c>
    </row>
    <row r="8">
      <c r="B8" s="17" t="inlineStr">
        <is>
          <t>Valuation history</t>
        </is>
      </c>
      <c r="C8" s="17" t="inlineStr"/>
      <c r="D8" s="30" t="n">
        <v>0.5600000000000001</v>
      </c>
      <c r="F8" s="7" t="inlineStr">
        <is>
          <t>2023-07-31</t>
        </is>
      </c>
      <c r="H8" s="7" t="inlineStr">
        <is>
          <t>T2</t>
        </is>
      </c>
      <c r="J8" s="29" t="inlineStr">
        <is>
          <t>PitchBook deal 233172-46T (Later Stage VC)</t>
        </is>
      </c>
    </row>
    <row r="9">
      <c r="B9" s="17" t="inlineStr">
        <is>
          <t>Valuation history</t>
        </is>
      </c>
      <c r="C9" s="17" t="inlineStr"/>
      <c r="D9" s="30" t="n">
        <v>1</v>
      </c>
      <c r="F9" s="7" t="inlineStr">
        <is>
          <t>2025-02-19</t>
        </is>
      </c>
      <c r="H9" s="7" t="inlineStr">
        <is>
          <t>T2</t>
        </is>
      </c>
      <c r="J9" s="29" t="inlineStr">
        <is>
          <t>PitchBook deal 285572-35T (Later Stage VC)</t>
        </is>
      </c>
    </row>
    <row r="10">
      <c r="B10" s="17" t="inlineStr">
        <is>
          <t>Valuation history</t>
        </is>
      </c>
      <c r="C10" s="17" t="inlineStr"/>
      <c r="D10" s="30" t="n">
        <v>3.5</v>
      </c>
      <c r="F10" s="7" t="inlineStr">
        <is>
          <t>2025-07-15</t>
        </is>
      </c>
      <c r="H10" s="7" t="inlineStr">
        <is>
          <t>T2</t>
        </is>
      </c>
      <c r="J10" s="29" t="inlineStr">
        <is>
          <t>PitchBook deal 296709-49T (Later Stage VC)</t>
        </is>
      </c>
    </row>
    <row r="11">
      <c r="B11" s="17" t="inlineStr">
        <is>
          <t>Valuation history</t>
        </is>
      </c>
      <c r="C11" s="17" t="inlineStr"/>
      <c r="D11" s="30" t="n">
        <v>6</v>
      </c>
      <c r="F11" s="7" t="inlineStr">
        <is>
          <t>2025-10-20</t>
        </is>
      </c>
      <c r="H11" s="7" t="inlineStr">
        <is>
          <t>T2</t>
        </is>
      </c>
      <c r="J11" s="29" t="inlineStr">
        <is>
          <t>PitchBook deal 310645-72T (Later Stage VC)</t>
        </is>
      </c>
    </row>
    <row r="12">
      <c r="B12" s="17" t="inlineStr">
        <is>
          <t>Valuation history</t>
        </is>
      </c>
      <c r="C12" s="17" t="inlineStr"/>
      <c r="D12" s="30" t="n">
        <v>12</v>
      </c>
      <c r="F12" s="7" t="inlineStr">
        <is>
          <t>2026-03-05</t>
        </is>
      </c>
      <c r="H12" s="7" t="inlineStr">
        <is>
          <t>T2</t>
        </is>
      </c>
      <c r="J12" s="29" t="inlineStr">
        <is>
          <t>PitchBook deal 316043-65T (Later Stage VC)</t>
        </is>
      </c>
    </row>
    <row r="13">
      <c r="B13" s="17" t="inlineStr">
        <is>
          <t>Last completed round</t>
        </is>
      </c>
      <c r="C13" s="17" t="inlineStr"/>
      <c r="D13" s="15" t="inlineStr">
        <is>
          <t>Later Stage VC $250M (7th Round)</t>
        </is>
      </c>
      <c r="F13" s="7" t="inlineStr">
        <is>
          <t>2026-03-05</t>
        </is>
      </c>
      <c r="H13" s="7" t="inlineStr">
        <is>
          <t>T2</t>
        </is>
      </c>
      <c r="J13" s="29" t="inlineStr">
        <is>
          <t>PitchBook deal 316043-65T</t>
        </is>
      </c>
    </row>
    <row r="14">
      <c r="B14" s="17" t="inlineStr">
        <is>
          <t>Raised to date ($bn)</t>
        </is>
      </c>
      <c r="C14" s="17" t="inlineStr"/>
      <c r="D14" s="30" t="n">
        <v>0.795</v>
      </c>
      <c r="F14" s="7" t="inlineStr">
        <is>
          <t>2026-03-05</t>
        </is>
      </c>
      <c r="H14" s="7" t="inlineStr">
        <is>
          <t>T2</t>
        </is>
      </c>
      <c r="J14" s="29" t="inlineStr">
        <is>
          <t>PitchBook Raised to Date, deal 316043-65T</t>
        </is>
      </c>
    </row>
    <row r="15">
      <c r="B15" s="17" t="inlineStr">
        <is>
          <t>Deal history</t>
        </is>
      </c>
      <c r="C15" s="17" t="inlineStr"/>
      <c r="D15" s="15" t="inlineStr">
        <is>
          <t>2017-01-01 Capitalization $5M; 2022-07-01 Later Stage VC $27</t>
        </is>
      </c>
      <c r="F15" s="7" t="inlineStr">
        <is>
          <t>2026-08-14</t>
        </is>
      </c>
      <c r="H15" s="7" t="inlineStr">
        <is>
          <t>T2</t>
        </is>
      </c>
      <c r="J15" s="29" t="inlineStr">
        <is>
          <t>PitchBook deal history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OpenEvidence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31" t="inlineStr"/>
      <c r="E8" s="31">
        <f>E9/D9-1</f>
        <v/>
      </c>
      <c r="F8" s="31">
        <f>F9/E9-1</f>
        <v/>
      </c>
      <c r="G8" s="31">
        <f>G9/F9-1</f>
        <v/>
      </c>
      <c r="H8" s="31">
        <f>H9/G9-1</f>
        <v/>
      </c>
      <c r="I8" s="31">
        <f>MAX(Inputs!$D$14,H8-Inputs!$D$13)*Inputs!$D$15</f>
        <v/>
      </c>
      <c r="J8" s="31">
        <f>MAX(Inputs!$D$14,I8-Inputs!$D$13)*Inputs!$D$15</f>
        <v/>
      </c>
      <c r="K8" s="31">
        <f>MAX(Inputs!$D$14,J8-Inputs!$D$13)*Inputs!$D$15</f>
        <v/>
      </c>
      <c r="L8" s="31">
        <f>MAX(Inputs!$D$14,K8-Inputs!$D$13)*Inputs!$D$15</f>
        <v/>
      </c>
      <c r="M8" s="31">
        <f>MAX(Inputs!$D$14,L8-Inputs!$D$13)*Inputs!$D$15</f>
        <v/>
      </c>
      <c r="N8" s="31">
        <f>MAX(Inputs!$D$14,M8-Inputs!$D$13)*Inputs!$D$15</f>
        <v/>
      </c>
    </row>
    <row r="9">
      <c r="B9" s="8" t="inlineStr">
        <is>
          <t>Revenue</t>
        </is>
      </c>
      <c r="D9" s="26" t="n">
        <v>0</v>
      </c>
      <c r="E9" s="26" t="n">
        <v>0</v>
      </c>
      <c r="F9" s="26" t="n">
        <v>0</v>
      </c>
      <c r="G9" s="26" t="n">
        <v>0</v>
      </c>
      <c r="H9" s="26" t="n">
        <v>0</v>
      </c>
      <c r="I9" s="32">
        <f>H9*(1+I8)</f>
        <v/>
      </c>
      <c r="J9" s="32">
        <f>I9*(1+J8)</f>
        <v/>
      </c>
      <c r="K9" s="32">
        <f>J9*(1+K8)</f>
        <v/>
      </c>
      <c r="L9" s="32">
        <f>K9*(1+L8)</f>
        <v/>
      </c>
      <c r="M9" s="32">
        <f>L9*(1+M8)</f>
        <v/>
      </c>
      <c r="N9" s="32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31">
        <f>Inputs!$D$18</f>
        <v/>
      </c>
      <c r="E12" s="31">
        <f>Inputs!$D$18</f>
        <v/>
      </c>
      <c r="F12" s="31">
        <f>Inputs!$D$18</f>
        <v/>
      </c>
      <c r="G12" s="31">
        <f>Inputs!$D$18</f>
        <v/>
      </c>
      <c r="H12" s="31">
        <f>Inputs!$D$18</f>
        <v/>
      </c>
      <c r="I12" s="31">
        <f>H12+Inputs!$D$19</f>
        <v/>
      </c>
      <c r="J12" s="31">
        <f>I12+Inputs!$D$19</f>
        <v/>
      </c>
      <c r="K12" s="31">
        <f>J12+Inputs!$D$19</f>
        <v/>
      </c>
      <c r="L12" s="31">
        <f>K12+Inputs!$D$19</f>
        <v/>
      </c>
      <c r="M12" s="31">
        <f>L12+Inputs!$D$19</f>
        <v/>
      </c>
      <c r="N12" s="31">
        <f>M12+Inputs!$D$19</f>
        <v/>
      </c>
    </row>
    <row r="13">
      <c r="B13" s="8" t="inlineStr">
        <is>
          <t>Gross profit</t>
        </is>
      </c>
      <c r="D13" s="32">
        <f>D9*D12</f>
        <v/>
      </c>
      <c r="E13" s="32">
        <f>E9*E12</f>
        <v/>
      </c>
      <c r="F13" s="32">
        <f>F9*F12</f>
        <v/>
      </c>
      <c r="G13" s="32">
        <f>G9*G12</f>
        <v/>
      </c>
      <c r="H13" s="32">
        <f>H9*H12</f>
        <v/>
      </c>
      <c r="I13" s="32">
        <f>I9*I12</f>
        <v/>
      </c>
      <c r="J13" s="32">
        <f>J9*J12</f>
        <v/>
      </c>
      <c r="K13" s="32">
        <f>K9*K12</f>
        <v/>
      </c>
      <c r="L13" s="32">
        <f>L9*L12</f>
        <v/>
      </c>
      <c r="M13" s="32">
        <f>M9*M12</f>
        <v/>
      </c>
      <c r="N13" s="32">
        <f>N9*N12</f>
        <v/>
      </c>
    </row>
    <row r="14">
      <c r="B14" s="8" t="inlineStr">
        <is>
          <t>Sales and marketing</t>
        </is>
      </c>
      <c r="D14" s="32">
        <f>D9*MAX(0.02,Inputs!$D$20+Inputs!$D$23*MAX(0,D5-2026))</f>
        <v/>
      </c>
      <c r="E14" s="32">
        <f>E9*MAX(0.02,Inputs!$D$20+Inputs!$D$23*MAX(0,E5-2026))</f>
        <v/>
      </c>
      <c r="F14" s="32">
        <f>F9*MAX(0.02,Inputs!$D$20+Inputs!$D$23*MAX(0,F5-2026))</f>
        <v/>
      </c>
      <c r="G14" s="32">
        <f>G9*MAX(0.02,Inputs!$D$20+Inputs!$D$23*MAX(0,G5-2026))</f>
        <v/>
      </c>
      <c r="H14" s="32">
        <f>H9*MAX(0.02,Inputs!$D$20+Inputs!$D$23*MAX(0,H5-2026))</f>
        <v/>
      </c>
      <c r="I14" s="32">
        <f>I9*MAX(0.02,Inputs!$D$20+Inputs!$D$23*MAX(0,I5-2026))</f>
        <v/>
      </c>
      <c r="J14" s="32">
        <f>J9*MAX(0.02,Inputs!$D$20+Inputs!$D$23*MAX(0,J5-2026))</f>
        <v/>
      </c>
      <c r="K14" s="32">
        <f>K9*MAX(0.02,Inputs!$D$20+Inputs!$D$23*MAX(0,K5-2026))</f>
        <v/>
      </c>
      <c r="L14" s="32">
        <f>L9*MAX(0.02,Inputs!$D$20+Inputs!$D$23*MAX(0,L5-2026))</f>
        <v/>
      </c>
      <c r="M14" s="32">
        <f>M9*MAX(0.02,Inputs!$D$20+Inputs!$D$23*MAX(0,M5-2026))</f>
        <v/>
      </c>
      <c r="N14" s="32">
        <f>N9*MAX(0.02,Inputs!$D$20+Inputs!$D$23*MAX(0,N5-2026))</f>
        <v/>
      </c>
    </row>
    <row r="15">
      <c r="B15" s="8" t="inlineStr">
        <is>
          <t>Research and development</t>
        </is>
      </c>
      <c r="D15" s="32">
        <f>D9*MAX(0.02,Inputs!$D$21+Inputs!$D$23*MAX(0,D5-2026))</f>
        <v/>
      </c>
      <c r="E15" s="32">
        <f>E9*MAX(0.02,Inputs!$D$21+Inputs!$D$23*MAX(0,E5-2026))</f>
        <v/>
      </c>
      <c r="F15" s="32">
        <f>F9*MAX(0.02,Inputs!$D$21+Inputs!$D$23*MAX(0,F5-2026))</f>
        <v/>
      </c>
      <c r="G15" s="32">
        <f>G9*MAX(0.02,Inputs!$D$21+Inputs!$D$23*MAX(0,G5-2026))</f>
        <v/>
      </c>
      <c r="H15" s="32">
        <f>H9*MAX(0.02,Inputs!$D$21+Inputs!$D$23*MAX(0,H5-2026))</f>
        <v/>
      </c>
      <c r="I15" s="32">
        <f>I9*MAX(0.02,Inputs!$D$21+Inputs!$D$23*MAX(0,I5-2026))</f>
        <v/>
      </c>
      <c r="J15" s="32">
        <f>J9*MAX(0.02,Inputs!$D$21+Inputs!$D$23*MAX(0,J5-2026))</f>
        <v/>
      </c>
      <c r="K15" s="32">
        <f>K9*MAX(0.02,Inputs!$D$21+Inputs!$D$23*MAX(0,K5-2026))</f>
        <v/>
      </c>
      <c r="L15" s="32">
        <f>L9*MAX(0.02,Inputs!$D$21+Inputs!$D$23*MAX(0,L5-2026))</f>
        <v/>
      </c>
      <c r="M15" s="32">
        <f>M9*MAX(0.02,Inputs!$D$21+Inputs!$D$23*MAX(0,M5-2026))</f>
        <v/>
      </c>
      <c r="N15" s="32">
        <f>N9*MAX(0.02,Inputs!$D$21+Inputs!$D$23*MAX(0,N5-2026))</f>
        <v/>
      </c>
    </row>
    <row r="16">
      <c r="B16" s="8" t="inlineStr">
        <is>
          <t>General and administrative</t>
        </is>
      </c>
      <c r="D16" s="32">
        <f>D9*MAX(0.02,Inputs!$D$22+Inputs!$D$23*MAX(0,D5-2026))</f>
        <v/>
      </c>
      <c r="E16" s="32">
        <f>E9*MAX(0.02,Inputs!$D$22+Inputs!$D$23*MAX(0,E5-2026))</f>
        <v/>
      </c>
      <c r="F16" s="32">
        <f>F9*MAX(0.02,Inputs!$D$22+Inputs!$D$23*MAX(0,F5-2026))</f>
        <v/>
      </c>
      <c r="G16" s="32">
        <f>G9*MAX(0.02,Inputs!$D$22+Inputs!$D$23*MAX(0,G5-2026))</f>
        <v/>
      </c>
      <c r="H16" s="32">
        <f>H9*MAX(0.02,Inputs!$D$22+Inputs!$D$23*MAX(0,H5-2026))</f>
        <v/>
      </c>
      <c r="I16" s="32">
        <f>I9*MAX(0.02,Inputs!$D$22+Inputs!$D$23*MAX(0,I5-2026))</f>
        <v/>
      </c>
      <c r="J16" s="32">
        <f>J9*MAX(0.02,Inputs!$D$22+Inputs!$D$23*MAX(0,J5-2026))</f>
        <v/>
      </c>
      <c r="K16" s="32">
        <f>K9*MAX(0.02,Inputs!$D$22+Inputs!$D$23*MAX(0,K5-2026))</f>
        <v/>
      </c>
      <c r="L16" s="32">
        <f>L9*MAX(0.02,Inputs!$D$22+Inputs!$D$23*MAX(0,L5-2026))</f>
        <v/>
      </c>
      <c r="M16" s="32">
        <f>M9*MAX(0.02,Inputs!$D$22+Inputs!$D$23*MAX(0,M5-2026))</f>
        <v/>
      </c>
      <c r="N16" s="32">
        <f>N9*MAX(0.02,Inputs!$D$22+Inputs!$D$23*MAX(0,N5-2026))</f>
        <v/>
      </c>
    </row>
    <row r="17">
      <c r="B17" s="6" t="inlineStr">
        <is>
          <t>Total operating expenses</t>
        </is>
      </c>
      <c r="D17" s="33">
        <f>SUM(D14:D16)</f>
        <v/>
      </c>
      <c r="E17" s="33">
        <f>SUM(E14:E16)</f>
        <v/>
      </c>
      <c r="F17" s="33">
        <f>SUM(F14:F16)</f>
        <v/>
      </c>
      <c r="G17" s="33">
        <f>SUM(G14:G16)</f>
        <v/>
      </c>
      <c r="H17" s="33">
        <f>SUM(H14:H16)</f>
        <v/>
      </c>
      <c r="I17" s="33">
        <f>SUM(I14:I16)</f>
        <v/>
      </c>
      <c r="J17" s="33">
        <f>SUM(J14:J16)</f>
        <v/>
      </c>
      <c r="K17" s="33">
        <f>SUM(K14:K16)</f>
        <v/>
      </c>
      <c r="L17" s="33">
        <f>SUM(L14:L16)</f>
        <v/>
      </c>
      <c r="M17" s="33">
        <f>SUM(M14:M16)</f>
        <v/>
      </c>
      <c r="N17" s="33">
        <f>SUM(N14:N16)</f>
        <v/>
      </c>
    </row>
    <row r="18">
      <c r="B18" s="6" t="inlineStr">
        <is>
          <t>Operating profit</t>
        </is>
      </c>
      <c r="D18" s="33">
        <f>D13-D17</f>
        <v/>
      </c>
      <c r="E18" s="33">
        <f>E13-E17</f>
        <v/>
      </c>
      <c r="F18" s="33">
        <f>F13-F17</f>
        <v/>
      </c>
      <c r="G18" s="33">
        <f>G13-G17</f>
        <v/>
      </c>
      <c r="H18" s="33">
        <f>H13-H17</f>
        <v/>
      </c>
      <c r="I18" s="33">
        <f>I13-I17</f>
        <v/>
      </c>
      <c r="J18" s="33">
        <f>J13-J17</f>
        <v/>
      </c>
      <c r="K18" s="33">
        <f>K13-K17</f>
        <v/>
      </c>
      <c r="L18" s="33">
        <f>L13-L17</f>
        <v/>
      </c>
      <c r="M18" s="33">
        <f>M13-M17</f>
        <v/>
      </c>
      <c r="N18" s="33">
        <f>N13-N17</f>
        <v/>
      </c>
    </row>
    <row r="19">
      <c r="B19" s="8" t="inlineStr">
        <is>
          <t>Operating margin (%)</t>
        </is>
      </c>
      <c r="D19" s="31">
        <f>IF(D9=0,0,D18/D9)</f>
        <v/>
      </c>
      <c r="E19" s="31">
        <f>IF(E9=0,0,E18/E9)</f>
        <v/>
      </c>
      <c r="F19" s="31">
        <f>IF(F9=0,0,F18/F9)</f>
        <v/>
      </c>
      <c r="G19" s="31">
        <f>IF(G9=0,0,G18/G9)</f>
        <v/>
      </c>
      <c r="H19" s="31">
        <f>IF(H9=0,0,H18/H9)</f>
        <v/>
      </c>
      <c r="I19" s="31">
        <f>IF(I9=0,0,I18/I9)</f>
        <v/>
      </c>
      <c r="J19" s="31">
        <f>IF(J9=0,0,J18/J9)</f>
        <v/>
      </c>
      <c r="K19" s="31">
        <f>IF(K9=0,0,K18/K9)</f>
        <v/>
      </c>
      <c r="L19" s="31">
        <f>IF(L9=0,0,L18/L9)</f>
        <v/>
      </c>
      <c r="M19" s="31">
        <f>IF(M9=0,0,M18/M9)</f>
        <v/>
      </c>
      <c r="N19" s="31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2">
        <f>-MAX(0,D18)*Inputs!$D$29</f>
        <v/>
      </c>
      <c r="E22" s="32">
        <f>-MAX(0,E18)*Inputs!$D$29</f>
        <v/>
      </c>
      <c r="F22" s="32">
        <f>-MAX(0,F18)*Inputs!$D$29</f>
        <v/>
      </c>
      <c r="G22" s="32">
        <f>-MAX(0,G18)*Inputs!$D$29</f>
        <v/>
      </c>
      <c r="H22" s="32">
        <f>-MAX(0,H18)*Inputs!$D$29</f>
        <v/>
      </c>
      <c r="I22" s="32">
        <f>-MAX(0,I18)*Inputs!$D$29</f>
        <v/>
      </c>
      <c r="J22" s="32">
        <f>-MAX(0,J18)*Inputs!$D$29</f>
        <v/>
      </c>
      <c r="K22" s="32">
        <f>-MAX(0,K18)*Inputs!$D$29</f>
        <v/>
      </c>
      <c r="L22" s="32">
        <f>-MAX(0,L18)*Inputs!$D$29</f>
        <v/>
      </c>
      <c r="M22" s="32">
        <f>-MAX(0,M18)*Inputs!$D$29</f>
        <v/>
      </c>
      <c r="N22" s="32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2">
        <f>-D9*Model!$D$23</f>
        <v/>
      </c>
      <c r="E24" s="32">
        <f>-E9*Model!$D$23</f>
        <v/>
      </c>
      <c r="F24" s="32">
        <f>-F9*Model!$D$23</f>
        <v/>
      </c>
      <c r="G24" s="32">
        <f>-G9*Model!$D$23</f>
        <v/>
      </c>
      <c r="H24" s="32">
        <f>-H9*Model!$D$23</f>
        <v/>
      </c>
      <c r="I24" s="32">
        <f>-I9*Model!$D$23</f>
        <v/>
      </c>
      <c r="J24" s="32">
        <f>-J9*Model!$D$23</f>
        <v/>
      </c>
      <c r="K24" s="32">
        <f>-K9*Model!$D$23</f>
        <v/>
      </c>
      <c r="L24" s="32">
        <f>-L9*Model!$D$23</f>
        <v/>
      </c>
      <c r="M24" s="32">
        <f>-M9*Model!$D$23</f>
        <v/>
      </c>
      <c r="N24" s="32">
        <f>-N9*Model!$D$23</f>
        <v/>
      </c>
    </row>
    <row r="25">
      <c r="B25" s="6" t="inlineStr">
        <is>
          <t>Free cash flow</t>
        </is>
      </c>
      <c r="D25" s="33">
        <f>D18+D22+D24</f>
        <v/>
      </c>
      <c r="E25" s="33">
        <f>E18+E22+E24</f>
        <v/>
      </c>
      <c r="F25" s="33">
        <f>F18+F22+F24</f>
        <v/>
      </c>
      <c r="G25" s="33">
        <f>G18+G22+G24</f>
        <v/>
      </c>
      <c r="H25" s="33">
        <f>H18+H22+H24</f>
        <v/>
      </c>
      <c r="I25" s="33">
        <f>I18+I22+I24</f>
        <v/>
      </c>
      <c r="J25" s="33">
        <f>J18+J22+J24</f>
        <v/>
      </c>
      <c r="K25" s="33">
        <f>K18+K22+K24</f>
        <v/>
      </c>
      <c r="L25" s="33">
        <f>L18+L22+L24</f>
        <v/>
      </c>
      <c r="M25" s="33">
        <f>M18+M22+M24</f>
        <v/>
      </c>
      <c r="N25" s="33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2">
        <f>IF(D9=0,0,D9*1000/MAX(1,Inputs!$D$34))</f>
        <v/>
      </c>
      <c r="E28" s="32">
        <f>IF(E9=0,0,E9*1000/MAX(1,Inputs!$D$34))</f>
        <v/>
      </c>
      <c r="F28" s="32">
        <f>IF(F9=0,0,F9*1000/MAX(1,Inputs!$D$34))</f>
        <v/>
      </c>
      <c r="G28" s="32">
        <f>IF(G9=0,0,G9*1000/MAX(1,Inputs!$D$34))</f>
        <v/>
      </c>
      <c r="H28" s="32">
        <f>IF(H9=0,0,H9*1000/MAX(1,Inputs!$D$34))</f>
        <v/>
      </c>
      <c r="I28" s="32">
        <f>IF(I9=0,0,I9*1000/MAX(1,Inputs!$D$34))</f>
        <v/>
      </c>
      <c r="J28" s="32">
        <f>IF(J9=0,0,J9*1000/MAX(1,Inputs!$D$34))</f>
        <v/>
      </c>
      <c r="K28" s="32">
        <f>IF(K9=0,0,K9*1000/MAX(1,Inputs!$D$34))</f>
        <v/>
      </c>
      <c r="L28" s="32">
        <f>IF(L9=0,0,L9*1000/MAX(1,Inputs!$D$34))</f>
        <v/>
      </c>
      <c r="M28" s="32">
        <f>IF(M9=0,0,M9*1000/MAX(1,Inputs!$D$34))</f>
        <v/>
      </c>
      <c r="N28" s="32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OpenEvidence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4" t="n">
        <v>0</v>
      </c>
      <c r="E8" s="34" t="n">
        <v>0</v>
      </c>
      <c r="F8" s="34" t="n">
        <v>0</v>
      </c>
      <c r="G8" s="34" t="n">
        <v>0</v>
      </c>
      <c r="H8" s="34" t="n">
        <v>0</v>
      </c>
      <c r="I8" s="34">
        <f>1/(1+Inputs!$D$28)^1</f>
        <v/>
      </c>
      <c r="J8" s="34">
        <f>1/(1+Inputs!$D$28)^2</f>
        <v/>
      </c>
      <c r="K8" s="34">
        <f>1/(1+Inputs!$D$28)^3</f>
        <v/>
      </c>
      <c r="L8" s="34">
        <f>1/(1+Inputs!$D$28)^4</f>
        <v/>
      </c>
      <c r="M8" s="34">
        <f>1/(1+Inputs!$D$28)^5</f>
        <v/>
      </c>
      <c r="N8" s="34">
        <f>1/(1+Inputs!$D$28)^6</f>
        <v/>
      </c>
    </row>
    <row r="9">
      <c r="B9" s="8" t="inlineStr">
        <is>
          <t>Present value of free cash flow</t>
        </is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0</v>
      </c>
      <c r="I9" s="32">
        <f>Model!I25*I8</f>
        <v/>
      </c>
      <c r="J9" s="32">
        <f>Model!J25*J8</f>
        <v/>
      </c>
      <c r="K9" s="32">
        <f>Model!K25*K8</f>
        <v/>
      </c>
      <c r="L9" s="32">
        <f>Model!L25*L8</f>
        <v/>
      </c>
      <c r="M9" s="32">
        <f>Model!M25*M8</f>
        <v/>
      </c>
      <c r="N9" s="32">
        <f>Model!N25*N8</f>
        <v/>
      </c>
    </row>
    <row r="11">
      <c r="B11" s="6" t="inlineStr">
        <is>
          <t>Sum of discounted cash flows</t>
        </is>
      </c>
      <c r="D11" s="33">
        <f>SUM(I9:N9)</f>
        <v/>
      </c>
    </row>
    <row r="12">
      <c r="B12" s="8" t="inlineStr">
        <is>
          <t>Terminal value (perpetuity)</t>
        </is>
      </c>
      <c r="D12" s="32">
        <f>Model!N25*(1+Inputs!$D$14)/(Inputs!$D$28-Inputs!$D$14)*N8</f>
        <v/>
      </c>
    </row>
    <row r="13">
      <c r="B13" s="8" t="inlineStr">
        <is>
          <t>Terminal value (exit multiple)</t>
        </is>
      </c>
      <c r="D13" s="32">
        <f>Model!N9*Inputs!$D$30*N8</f>
        <v/>
      </c>
    </row>
    <row r="14">
      <c r="B14" s="8" t="inlineStr">
        <is>
          <t>Spread between the two methods</t>
        </is>
      </c>
      <c r="D14" s="35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3">
        <f>D12</f>
        <v/>
      </c>
    </row>
    <row r="17">
      <c r="B17" s="36" t="inlineStr">
        <is>
          <t>Enterprise value</t>
        </is>
      </c>
      <c r="D17" s="37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8">
        <f>Inputs!$D$26</f>
        <v/>
      </c>
    </row>
    <row r="21">
      <c r="B21" s="8" t="inlineStr">
        <is>
          <t>Model value against the stored mark</t>
        </is>
      </c>
      <c r="D21" s="35">
        <f>IF(D20=0,0,Valuation!$D$17/D20)</f>
        <v/>
      </c>
    </row>
    <row r="22">
      <c r="B22" s="8" t="inlineStr">
        <is>
          <t>Stored mark against latest revenue</t>
        </is>
      </c>
      <c r="D22" s="35">
        <f>IF(Model!H9=0,0,D20/Model!H9)</f>
        <v/>
      </c>
    </row>
    <row r="23">
      <c r="B23" s="8" t="inlineStr">
        <is>
          <t>Stored mark per dollar of equity raised</t>
        </is>
      </c>
      <c r="D23" s="39" t="inlineStr">
        <is>
          <t>not computed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OpenEvidence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8">
        <f>Model!D9</f>
        <v/>
      </c>
      <c r="E7" s="38">
        <f>Model!E9</f>
        <v/>
      </c>
      <c r="F7" s="38">
        <f>Model!F9</f>
        <v/>
      </c>
      <c r="G7" s="38">
        <f>Model!G9</f>
        <v/>
      </c>
      <c r="H7" s="38">
        <f>Model!H9</f>
        <v/>
      </c>
      <c r="I7" s="38">
        <f>Model!I9</f>
        <v/>
      </c>
      <c r="J7" s="38">
        <f>Model!J9</f>
        <v/>
      </c>
      <c r="K7" s="38">
        <f>Model!K9</f>
        <v/>
      </c>
      <c r="L7" s="38">
        <f>Model!L9</f>
        <v/>
      </c>
      <c r="M7" s="38">
        <f>Model!M9</f>
        <v/>
      </c>
      <c r="N7" s="38">
        <f>Model!N9</f>
        <v/>
      </c>
    </row>
    <row r="8">
      <c r="B8" s="6" t="inlineStr">
        <is>
          <t>Gross profit</t>
        </is>
      </c>
      <c r="D8" s="38">
        <f>Model!D13</f>
        <v/>
      </c>
      <c r="E8" s="38">
        <f>Model!E13</f>
        <v/>
      </c>
      <c r="F8" s="38">
        <f>Model!F13</f>
        <v/>
      </c>
      <c r="G8" s="38">
        <f>Model!G13</f>
        <v/>
      </c>
      <c r="H8" s="38">
        <f>Model!H13</f>
        <v/>
      </c>
      <c r="I8" s="38">
        <f>Model!I13</f>
        <v/>
      </c>
      <c r="J8" s="38">
        <f>Model!J13</f>
        <v/>
      </c>
      <c r="K8" s="38">
        <f>Model!K13</f>
        <v/>
      </c>
      <c r="L8" s="38">
        <f>Model!L13</f>
        <v/>
      </c>
      <c r="M8" s="38">
        <f>Model!M13</f>
        <v/>
      </c>
      <c r="N8" s="38">
        <f>Model!N13</f>
        <v/>
      </c>
    </row>
    <row r="9">
      <c r="B9" s="6" t="inlineStr">
        <is>
          <t>Operating profit</t>
        </is>
      </c>
      <c r="D9" s="38">
        <f>Model!D18</f>
        <v/>
      </c>
      <c r="E9" s="38">
        <f>Model!E18</f>
        <v/>
      </c>
      <c r="F9" s="38">
        <f>Model!F18</f>
        <v/>
      </c>
      <c r="G9" s="38">
        <f>Model!G18</f>
        <v/>
      </c>
      <c r="H9" s="38">
        <f>Model!H18</f>
        <v/>
      </c>
      <c r="I9" s="38">
        <f>Model!I18</f>
        <v/>
      </c>
      <c r="J9" s="38">
        <f>Model!J18</f>
        <v/>
      </c>
      <c r="K9" s="38">
        <f>Model!K18</f>
        <v/>
      </c>
      <c r="L9" s="38">
        <f>Model!L18</f>
        <v/>
      </c>
      <c r="M9" s="38">
        <f>Model!M18</f>
        <v/>
      </c>
      <c r="N9" s="38">
        <f>Model!N18</f>
        <v/>
      </c>
    </row>
    <row r="10">
      <c r="B10" s="6" t="inlineStr">
        <is>
          <t>Free cash flow</t>
        </is>
      </c>
      <c r="D10" s="38">
        <f>Model!D25</f>
        <v/>
      </c>
      <c r="E10" s="38">
        <f>Model!E25</f>
        <v/>
      </c>
      <c r="F10" s="38">
        <f>Model!F25</f>
        <v/>
      </c>
      <c r="G10" s="38">
        <f>Model!G25</f>
        <v/>
      </c>
      <c r="H10" s="38">
        <f>Model!H25</f>
        <v/>
      </c>
      <c r="I10" s="38">
        <f>Model!I25</f>
        <v/>
      </c>
      <c r="J10" s="38">
        <f>Model!J25</f>
        <v/>
      </c>
      <c r="K10" s="38">
        <f>Model!K25</f>
        <v/>
      </c>
      <c r="L10" s="38">
        <f>Model!L25</f>
        <v/>
      </c>
      <c r="M10" s="38">
        <f>Model!M25</f>
        <v/>
      </c>
      <c r="N10" s="38">
        <f>Model!N25</f>
        <v/>
      </c>
    </row>
    <row r="12">
      <c r="B12" s="36" t="inlineStr">
        <is>
          <t>Enterprise value (discounted cash flow)</t>
        </is>
      </c>
      <c r="D12" s="37">
        <f>Valuation!$D$17</f>
        <v/>
      </c>
    </row>
    <row r="14">
      <c r="B14" s="14" t="inlineStr">
        <is>
          <t>What this business does</t>
        </is>
      </c>
    </row>
    <row r="15" ht="30" customHeight="1">
      <c r="B15" s="40" t="inlineStr">
        <is>
          <t>A medical search tool that answers doctors' clinical questions with citations.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2026-08-16T23:49:52Z</dcterms:created>
  <dcterms:modified xmlns:dcterms="http://purl.org/dc/terms/" xmlns:xsi="http://www.w3.org/2001/XMLSchema-instance" xsi:type="dcterms:W3CDTF">2026-08-16T23:49:52Z</dcterms:modified>
</cp:coreProperties>
</file>