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Raw Data" sheetId="3" state="visible" r:id="rId3"/>
    <sheet xmlns:r="http://schemas.openxmlformats.org/officeDocument/2006/relationships" name="Model" sheetId="4" state="visible" r:id="rId4"/>
    <sheet xmlns:r="http://schemas.openxmlformats.org/officeDocument/2006/relationships" name="Valuation" sheetId="5" state="visible" r:id="rId5"/>
    <sheet xmlns:r="http://schemas.openxmlformats.org/officeDocument/2006/relationships" name="Outp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&quot;A&quot;"/>
    <numFmt numFmtId="165" formatCode="0&quot;F&quot;"/>
    <numFmt numFmtId="166" formatCode="_(#,##0_);(#,##0);_(&quot;–&quot;_);_(@_)"/>
    <numFmt numFmtId="167" formatCode="_(#,##0.0%_);(#,##0.0%);_(&quot;–&quot;_)_%;_(@_)_%"/>
    <numFmt numFmtId="168" formatCode="0.0&quot;x&quot;"/>
    <numFmt numFmtId="169" formatCode="0.000"/>
    <numFmt numFmtId="170" formatCode="&quot;Yes&quot;;&quot;ERROR&quot;;&quot;No&quot;;&quot;ERROR&quot;"/>
  </numFmts>
  <fonts count="22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i val="1"/>
      <color rgb="006B7280"/>
      <sz val="9"/>
    </font>
    <font>
      <name val="Calibri"/>
      <b val="1"/>
      <color rgb="001F2A4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6B7280"/>
      <sz val="9"/>
    </font>
    <font>
      <name val="Calibri"/>
      <color rgb="00000000"/>
      <sz val="9"/>
    </font>
    <font>
      <name val="Calibri"/>
      <color rgb="000000FF"/>
      <sz val="9"/>
    </font>
    <font>
      <name val="Calibri"/>
      <color rgb="006B7280"/>
      <sz val="9"/>
    </font>
    <font>
      <name val="Calibri"/>
      <color rgb="006B7280"/>
      <sz val="8"/>
    </font>
    <font>
      <name val="Calibri"/>
      <b val="1"/>
      <color rgb="00000000"/>
      <sz val="10"/>
    </font>
    <font>
      <name val="Calibri"/>
      <b val="1"/>
      <color rgb="001F2A44"/>
      <sz val="11"/>
    </font>
    <font>
      <name val="Calibri"/>
      <color rgb="001C5D46"/>
      <sz val="10"/>
    </font>
    <font>
      <name val="Calibri"/>
      <b val="1"/>
      <color rgb="001F2A44"/>
      <sz val="20"/>
    </font>
    <font>
      <name val="Calibri"/>
      <color rgb="0035506E"/>
      <sz val="12"/>
    </font>
    <font>
      <name val="Calibri"/>
      <b val="1"/>
      <color rgb="001C5D46"/>
      <sz val="10"/>
    </font>
    <font>
      <name val="Calibri"/>
      <b val="1"/>
      <color rgb="008A6410"/>
      <sz val="10"/>
    </font>
    <font>
      <name val="Calibri"/>
      <b val="1"/>
      <color rgb="008F3421"/>
      <sz val="10"/>
    </font>
    <font>
      <name val="Calibri"/>
      <color rgb="008A6410"/>
      <sz val="9"/>
    </font>
    <font>
      <name val="Calibri"/>
      <color rgb="001C5D46"/>
      <sz val="9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12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70" fontId="12" fillId="0" borderId="0" pivotButton="0" quotePrefix="0" xfId="0"/>
    <xf numFmtId="166" fontId="17" fillId="0" borderId="0" pivotButton="0" quotePrefix="0" xfId="0"/>
    <xf numFmtId="166" fontId="18" fillId="0" borderId="0" pivotButton="0" quotePrefix="0" xfId="0"/>
    <xf numFmtId="167" fontId="12" fillId="0" borderId="0" pivotButton="0" quotePrefix="0" xfId="0"/>
    <xf numFmtId="0" fontId="19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9" fillId="0" borderId="0" pivotButton="0" quotePrefix="0" xfId="0"/>
    <xf numFmtId="0" fontId="20" fillId="0" borderId="0" pivotButton="0" quotePrefix="0" xfId="0"/>
    <xf numFmtId="0" fontId="8" fillId="0" borderId="0" pivotButton="0" quotePrefix="0" xfId="0"/>
    <xf numFmtId="0" fontId="21" fillId="0" borderId="0" pivotButton="0" quotePrefix="0" xfId="0"/>
    <xf numFmtId="0" fontId="1" fillId="0" borderId="0" pivotButton="0" quotePrefix="0" xfId="0"/>
    <xf numFmtId="164" fontId="3" fillId="0" borderId="0" applyAlignment="1" pivotButton="0" quotePrefix="0" xfId="0">
      <alignment horizontal="center" vertical="top"/>
    </xf>
    <xf numFmtId="165" fontId="3" fillId="0" borderId="0" applyAlignment="1" pivotButton="0" quotePrefix="0" xfId="0">
      <alignment horizontal="center" vertical="top"/>
    </xf>
    <xf numFmtId="0" fontId="6" fillId="3" borderId="0" pivotButton="0" quotePrefix="0" xfId="0"/>
    <xf numFmtId="166" fontId="6" fillId="0" borderId="0" pivotButton="0" quotePrefix="0" xfId="0"/>
    <xf numFmtId="167" fontId="6" fillId="3" borderId="0" pivotButton="0" quotePrefix="0" xfId="0"/>
    <xf numFmtId="2" fontId="5" fillId="0" borderId="0" pivotButton="0" quotePrefix="0" xfId="0"/>
    <xf numFmtId="168" fontId="6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166" fontId="9" fillId="0" borderId="0" pivotButton="0" quotePrefix="0" xfId="0"/>
    <xf numFmtId="167" fontId="5" fillId="0" borderId="0" pivotButton="0" quotePrefix="0" xfId="0"/>
    <xf numFmtId="166" fontId="5" fillId="0" borderId="0" pivotButton="0" quotePrefix="0" xfId="0"/>
    <xf numFmtId="166" fontId="12" fillId="0" borderId="0" pivotButton="0" quotePrefix="0" xfId="0"/>
    <xf numFmtId="169" fontId="5" fillId="0" borderId="0" pivotButton="0" quotePrefix="0" xfId="0"/>
    <xf numFmtId="168" fontId="5" fillId="0" borderId="0" pivotButton="0" quotePrefix="0" xfId="0"/>
    <xf numFmtId="0" fontId="13" fillId="0" borderId="0" pivotButton="0" quotePrefix="0" xfId="0"/>
    <xf numFmtId="166" fontId="13" fillId="0" borderId="0" pivotButton="0" quotePrefix="0" xfId="0"/>
    <xf numFmtId="166" fontId="14" fillId="0" borderId="0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HRPB Desk</author>
  </authors>
  <commentList>
    <comment ref="D8" authorId="0" shapeId="0">
      <text>
        <t>ASSUMPTION
Scenario switch
Basis: Base case selected. Change to 2 or 3 to move the whole model.</t>
      </text>
    </comment>
    <comment ref="D11" authorId="0" shapeId="0">
      <text>
        <t>SOURCED FACT
Annualised revenue
Value: 47
As of: 2026-05-15
Tier: T2
Source: company-announced run-rate (gross basis)
Note: GROSS basis (incl. cloud partner sales); equalized net ~$28.3B at 39.75% (Ruling 5); STALE past quarterly decay</t>
      </text>
    </comment>
    <comment ref="D12" authorId="0" shapeId="0">
      <text>
        <t>ASSUMPTION
Revenue growth YoY
Basis: No growth print in the store.</t>
      </text>
    </comment>
    <comment ref="D13" authorId="0" shapeId="0">
      <text>
        <t>ASSUMPTION
Growth decay
Basis: Growth fades as the base compounds. 15 points a year is the house default for a company at this scale; override per company.</t>
      </text>
    </comment>
    <comment ref="D14" authorId="0" shapeId="0">
      <text>
        <t>ASSUMPTION
Terminal growth
Basis: Long-run growth after the forecast window.</t>
      </text>
    </comment>
    <comment ref="D18" authorId="0" shapeId="0">
      <text>
        <t>ASSUMPTION
Gross margin
Basis: No margin disclosed. 70% is a software-sector placeholder.</t>
      </text>
    </comment>
    <comment ref="D19" authorId="0" shapeId="0">
      <text>
        <t>ASSUMPTION
Gross margin drift
Basis: AI workloads carry a heavier cost of delivery than classic software.</t>
      </text>
    </comment>
    <comment ref="D20" authorId="0" shapeId="0">
      <text>
        <t>ASSUMPTION
Sales and marketing (% of revenue)
Basis: Typical for a company still growing above 40%.</t>
      </text>
    </comment>
    <comment ref="D21" authorId="0" shapeId="0">
      <text>
        <t>ASSUMPTION
Research and development (% of revenue)
Basis: Frontier AI and data platforms run heavier than classic software.</t>
      </text>
    </comment>
    <comment ref="D22" authorId="0" shapeId="0">
      <text>
        <t>ASSUMPTION
General and administrative (% of revenue)
Basis: Scales down slowly with revenue.</t>
      </text>
    </comment>
    <comment ref="D23" authorId="0" shapeId="0">
      <text>
        <t>ASSUMPTION
Opex leverage
Basis: Operating costs fall as a share of revenue as the company scales.</t>
      </text>
    </comment>
    <comment ref="D26" authorId="0" shapeId="0">
      <text>
        <t>SOURCED FACT
Valuation
Value: 965
As of: 2026-05-28
Tier: T2
Source: Series H $65B (Dragoneer/Sequoia/Greenoaks/Altimeter), confirmed on PitchBook Jul 16</t>
      </text>
    </comment>
    <comment ref="D27" authorId="0" shapeId="0">
      <text>
        <t>SOURCED FACT
Equity raised (equity only, house ruling R1)
Value: 124.3
As of: 2026-07-02
Tier: T2
Source: canonical decomposition: excludes $34.5B chip bonds + $2.5B revolver</t>
      </text>
    </comment>
    <comment ref="D28" authorId="0" shapeId="0">
      <text>
        <t>ASSUMPTION
Discount rate
Basis: Private, high-growth, pre-exit. 12% is the house default.</t>
      </text>
    </comment>
    <comment ref="D29" authorId="0" shapeId="0">
      <text>
        <t>ASSUMPTION
Tax rate
Basis: US federal statutory.</t>
      </text>
    </comment>
    <comment ref="D30" authorId="0" shapeId="0">
      <text>
        <t>ASSUMPTION
Exit multiple
Basis: Applied to terminal-year revenue. A company growing at the terminal rate is a mature business, so this is deliberately well below what the company commands today as a high-growth private.</t>
      </text>
    </comment>
    <comment ref="D31" authorId="0" shapeId="0">
      <text>
        <t>SOURCED FACT
Employees
Value: 5000
As of: 2026-04-21
Tier: T2
Source: PitchBook</t>
      </text>
    </comment>
    <comment ref="D32" authorId="0" shapeId="0">
      <text>
        <t>SOURCED FACT
Net revenue retention
As of: 2026-05-15
Source: company-announced</t>
      </text>
    </comment>
  </commentList>
</comments>
</file>

<file path=xl/comments/comment2.xml><?xml version="1.0" encoding="utf-8"?>
<comments xmlns="http://schemas.openxmlformats.org/spreadsheetml/2006/main">
  <authors>
    <author>HRPB Desk</author>
  </authors>
  <commentList>
    <comment ref="D9" authorId="0" shapeId="0">
      <text>
        <t>Back-solved from the latest stored annualised revenue and the stored growth ladder. An estimate, not a disclosed figure.</t>
      </text>
    </comment>
    <comment ref="E9" authorId="0" shapeId="0">
      <text>
        <t>Back-solved from the latest stored annualised revenue and the stored growth ladder. An estimate, not a disclosed figure.</t>
      </text>
    </comment>
    <comment ref="F9" authorId="0" shapeId="0">
      <text>
        <t>Back-solved from the latest stored annualised revenue and the stored growth ladder. An estimate, not a disclosed figure.</t>
      </text>
    </comment>
    <comment ref="G9" authorId="0" shapeId="0">
      <text>
        <t>Back-solved from the latest stored annualised revenue and the stored growth ladder. An estimate, not a disclosed figure.</t>
      </text>
    </comment>
    <comment ref="H9" authorId="0" shapeId="0">
      <text>
        <t>Back-solved from the latest stored annualised revenue and the stored growth ladder. An estimate, not a disclosed figure.</t>
      </text>
    </comment>
    <comment ref="D23" authorId="0" shapeId="0">
      <text>
        <t>ASSUMPTION
Capex and working capital
Basis: software businesses are asset-light; 4% of revenue covers capitalised development and working capital swings. Raise it for anyone building their own data centres.</t>
      </text>
    </comment>
  </commentList>
</comments>
</file>

<file path=xl/comments/comment3.xml><?xml version="1.0" encoding="utf-8"?>
<comments xmlns="http://schemas.openxmlformats.org/spreadsheetml/2006/main">
  <authors>
    <author>HRPB Desk</author>
  </authors>
  <commentList>
    <comment ref="D14" authorId="0" shapeId="0">
      <text>
        <t>When the two methods disagree by more than about 1.5x, averaging them hides the disagreement rather than resolving it. Use the perpetuity figure and treat the multiple as a cross-check.</t>
      </text>
    </comment>
    <comment ref="D23" authorId="0" shapeId="0">
      <text>
        <t>Equity only. Debt informs risk, never this ratio (house ruling R1).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3" customWidth="1" min="3" max="3"/>
    <col width="22" customWidth="1" min="4" max="4"/>
  </cols>
  <sheetData>
    <row r="2">
      <c r="B2" s="1" t="inlineStr">
        <is>
          <t>Anthropic</t>
        </is>
      </c>
    </row>
    <row r="3">
      <c r="B3" s="2" t="inlineStr">
        <is>
          <t>Operating and valuation model — 2022 to 2032</t>
        </is>
      </c>
    </row>
    <row r="4">
      <c r="B4" s="3" t="inlineStr">
        <is>
          <t>Prepared 2026-08-14 · HRPB Research Desk</t>
        </is>
      </c>
    </row>
    <row r="6">
      <c r="B6" s="4" t="inlineStr">
        <is>
          <t>Contents</t>
        </is>
      </c>
      <c r="C6" s="5" t="n"/>
      <c r="D6" s="5" t="n"/>
      <c r="E6" s="5" t="n"/>
    </row>
    <row r="7">
      <c r="B7" s="6" t="inlineStr">
        <is>
          <t>Inputs</t>
        </is>
      </c>
      <c r="D7" s="7" t="inlineStr">
        <is>
          <t>Every assumption, in blue. Yellow fill marks an estimate.</t>
        </is>
      </c>
    </row>
    <row r="8">
      <c r="B8" s="6" t="inlineStr">
        <is>
          <t>Raw Data</t>
        </is>
      </c>
      <c r="D8" s="7" t="inlineStr">
        <is>
          <t>The stored facts, with source and date.</t>
        </is>
      </c>
    </row>
    <row r="9">
      <c r="B9" s="6" t="inlineStr">
        <is>
          <t>Model</t>
        </is>
      </c>
      <c r="D9" s="7" t="inlineStr">
        <is>
          <t>Revenue, profit and loss, and cash flow.</t>
        </is>
      </c>
    </row>
    <row r="10">
      <c r="B10" s="6" t="inlineStr">
        <is>
          <t>Valuation</t>
        </is>
      </c>
      <c r="D10" s="7" t="inlineStr">
        <is>
          <t>Discounted cash flow and cross-checks.</t>
        </is>
      </c>
    </row>
    <row r="11">
      <c r="B11" s="6" t="inlineStr">
        <is>
          <t>Outputs</t>
        </is>
      </c>
      <c r="D11" s="7" t="inlineStr">
        <is>
          <t>The summary.</t>
        </is>
      </c>
    </row>
    <row r="13">
      <c r="B13" s="4" t="inlineStr">
        <is>
          <t>Model checks</t>
        </is>
      </c>
      <c r="C13" s="5" t="n"/>
      <c r="D13" s="5" t="n"/>
      <c r="E13" s="5" t="n"/>
    </row>
    <row r="14">
      <c r="B14" s="8" t="inlineStr">
        <is>
          <t>Gross profit exceeds revenue?</t>
        </is>
      </c>
      <c r="D14" s="9">
        <f>IF(SUMPRODUCT(--(Model!D13:N13&gt;Model!D9:N9))&gt;0,1,0)</f>
        <v/>
      </c>
    </row>
    <row r="15">
      <c r="B15" s="8" t="inlineStr">
        <is>
          <t>Any negative revenue?</t>
        </is>
      </c>
      <c r="D15" s="9">
        <f>IF(SUMPRODUCT(--(Model!D9:N9&lt;0))&gt;0,1,0)</f>
        <v/>
      </c>
    </row>
    <row r="16">
      <c r="B16" s="8" t="inlineStr">
        <is>
          <t>Discount rate at or below terminal growth?</t>
        </is>
      </c>
      <c r="D16" s="9">
        <f>IF(Inputs!$D$28&lt;=Inputs!$D$14,1,0)</f>
        <v/>
      </c>
    </row>
    <row r="17">
      <c r="B17" s="8" t="inlineStr">
        <is>
          <t>Enterprise value non-positive?</t>
        </is>
      </c>
      <c r="D17" s="9">
        <f>IF(Valuation!$D$17&lt;=0,1,0)</f>
        <v/>
      </c>
    </row>
    <row r="18">
      <c r="B18" s="8" t="inlineStr">
        <is>
          <t>Terminal methods disagree by more than 1.5x?</t>
        </is>
      </c>
      <c r="D18" s="9">
        <f>IF(Valuation!$D$14&gt;1.5,1,0)</f>
        <v/>
      </c>
    </row>
    <row r="19">
      <c r="B19" s="8" t="inlineStr">
        <is>
          <t>Terminal value more than 75% of enterprise value?</t>
        </is>
      </c>
      <c r="D19" s="9">
        <f>IF(Valuation!$D$17=0,0,IF(D15/Valuation!$D$17&gt;0.75,1,0))</f>
        <v/>
      </c>
    </row>
    <row r="20">
      <c r="B20" s="3" t="inlineStr">
        <is>
          <t>All checks should read No.</t>
        </is>
      </c>
    </row>
    <row r="22">
      <c r="B22" s="4" t="inlineStr">
        <is>
          <t>How much of this model is fact</t>
        </is>
      </c>
      <c r="C22" s="5" t="n"/>
      <c r="D22" s="5" t="n"/>
      <c r="E22" s="5" t="n"/>
    </row>
    <row r="23">
      <c r="B23" s="8" t="inlineStr">
        <is>
          <t>Inputs drawn from sourced facts</t>
        </is>
      </c>
      <c r="D23" s="10" t="n">
        <v>5</v>
      </c>
    </row>
    <row r="24">
      <c r="B24" s="8" t="inlineStr">
        <is>
          <t>Inputs that are desk assumptions</t>
        </is>
      </c>
      <c r="D24" s="11" t="n">
        <v>14</v>
      </c>
    </row>
    <row r="25">
      <c r="B25" s="8" t="inlineStr">
        <is>
          <t>Share sourced</t>
        </is>
      </c>
      <c r="D25" s="12" t="n">
        <v>0.2631578947368421</v>
      </c>
    </row>
    <row r="26" ht="32" customHeight="1">
      <c r="B26" s="13" t="inlineStr">
        <is>
          <t>ILLUSTRATIVE ONLY — most inputs are desk assumptions. This company discloses too little to support a decision model. Treat the outputs as a shape, not a number.</t>
        </is>
      </c>
    </row>
    <row r="28">
      <c r="B28" s="14" t="inlineStr">
        <is>
          <t>Convention</t>
        </is>
      </c>
    </row>
    <row r="29">
      <c r="B29" s="15" t="inlineStr">
        <is>
          <t>Blue text — an input you may change</t>
        </is>
      </c>
    </row>
    <row r="30">
      <c r="B30" s="16" t="inlineStr">
        <is>
          <t>Yellow fill — an assumption, not a sourced fact</t>
        </is>
      </c>
    </row>
    <row r="31">
      <c r="B31" s="17" t="inlineStr">
        <is>
          <t>Black text — a formula; do not overwrite</t>
        </is>
      </c>
    </row>
    <row r="32">
      <c r="B32" s="18" t="inlineStr">
        <is>
          <t>Green text — a link to another sheet</t>
        </is>
      </c>
    </row>
    <row r="34">
      <c r="B34" s="3" t="inlineStr">
        <is>
          <t>Every blue cell carries a note with its source and date. Hover to read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Anthropic — Inputs and assumptions</t>
        </is>
      </c>
    </row>
    <row r="3">
      <c r="B3" s="3" t="inlineStr">
        <is>
          <t>All figures in USD millions unless stated. Blue cells are inputs. Yellow-filled blue cells are assumptions.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Scenario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Driver switch (1 = Base, 2 = Bull, 3 = Bear)</t>
        </is>
      </c>
      <c r="D8" s="22" t="n">
        <v>1</v>
      </c>
    </row>
    <row r="10">
      <c r="B10" s="4" t="inlineStr">
        <is>
          <t>Revenue drivers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1">
      <c r="B11" s="8" t="inlineStr">
        <is>
          <t>Latest annualised revenue ($M)</t>
        </is>
      </c>
      <c r="D11" s="23" t="n">
        <v>47000</v>
      </c>
    </row>
    <row r="12">
      <c r="B12" s="8" t="inlineStr">
        <is>
          <t>Latest revenue growth (% YoY)</t>
        </is>
      </c>
      <c r="D12" s="24" t="n">
        <v>0.4</v>
      </c>
    </row>
    <row r="13">
      <c r="B13" s="8" t="inlineStr">
        <is>
          <t>Growth decay per year (points of growth lost)</t>
        </is>
      </c>
      <c r="D13" s="24" t="n">
        <v>0.15</v>
      </c>
    </row>
    <row r="14">
      <c r="B14" s="8" t="inlineStr">
        <is>
          <t>Terminal growth (% a year)</t>
        </is>
      </c>
      <c r="D14" s="24" t="n">
        <v>0.04</v>
      </c>
    </row>
    <row r="15">
      <c r="B15" s="8" t="inlineStr">
        <is>
          <t>Scenario multiplier on growth</t>
        </is>
      </c>
      <c r="D15" s="25">
        <f>CHOOSE(Inputs!$D$8,1,1.25,0.7)</f>
        <v/>
      </c>
    </row>
    <row r="17">
      <c r="B17" s="4" t="inlineStr">
        <is>
          <t>Margin and cost drivers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8" t="inlineStr">
        <is>
          <t>Gross margin (%)</t>
        </is>
      </c>
      <c r="D18" s="24" t="n">
        <v>0.7</v>
      </c>
    </row>
    <row r="19">
      <c r="B19" s="8" t="inlineStr">
        <is>
          <t>Gross margin drift per year (points)</t>
        </is>
      </c>
      <c r="D19" s="24" t="n">
        <v>-0.005</v>
      </c>
    </row>
    <row r="20">
      <c r="B20" s="8" t="inlineStr">
        <is>
          <t>Sales and marketing (% of revenue)</t>
        </is>
      </c>
      <c r="D20" s="24" t="n">
        <v>0.32</v>
      </c>
    </row>
    <row r="21">
      <c r="B21" s="8" t="inlineStr">
        <is>
          <t>Research and development (% of revenue)</t>
        </is>
      </c>
      <c r="D21" s="24" t="n">
        <v>0.28</v>
      </c>
    </row>
    <row r="22">
      <c r="B22" s="8" t="inlineStr">
        <is>
          <t>General and administrative (% of revenue)</t>
        </is>
      </c>
      <c r="D22" s="24" t="n">
        <v>0.1</v>
      </c>
    </row>
    <row r="23">
      <c r="B23" s="8" t="inlineStr">
        <is>
          <t>Operating expense leverage per year (points)</t>
        </is>
      </c>
      <c r="D23" s="24" t="n">
        <v>-0.015</v>
      </c>
    </row>
    <row r="25">
      <c r="B25" s="4" t="inlineStr">
        <is>
          <t>Capital and valuation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B26" s="8" t="inlineStr">
        <is>
          <t>Latest valuation ($M)</t>
        </is>
      </c>
      <c r="D26" s="23" t="n">
        <v>965000</v>
      </c>
    </row>
    <row r="27">
      <c r="B27" s="8" t="inlineStr">
        <is>
          <t>Equity raised to date ($M)</t>
        </is>
      </c>
      <c r="D27" s="23" t="n">
        <v>124300</v>
      </c>
    </row>
    <row r="28">
      <c r="B28" s="8" t="inlineStr">
        <is>
          <t>Discount rate (cost of capital)</t>
        </is>
      </c>
      <c r="D28" s="24" t="n">
        <v>0.12</v>
      </c>
    </row>
    <row r="29">
      <c r="B29" s="8" t="inlineStr">
        <is>
          <t>Tax rate</t>
        </is>
      </c>
      <c r="D29" s="24" t="n">
        <v>0.21</v>
      </c>
    </row>
    <row r="30">
      <c r="B30" s="8" t="inlineStr">
        <is>
          <t>Exit multiple on revenue</t>
        </is>
      </c>
      <c r="D30" s="26" t="n">
        <v>8</v>
      </c>
    </row>
    <row r="31">
      <c r="B31" s="8" t="inlineStr">
        <is>
          <t>Headcount (latest)</t>
        </is>
      </c>
      <c r="D31" s="23" t="n">
        <v>5000</v>
      </c>
    </row>
    <row r="32">
      <c r="B32" s="8" t="inlineStr">
        <is>
          <t>Net revenue retention</t>
        </is>
      </c>
      <c r="D32" s="27" t="inlineStr">
        <is>
          <t>140%+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4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6" customWidth="1" min="4" max="4"/>
    <col width="13" customWidth="1" min="6" max="6"/>
    <col width="7" customWidth="1" min="8" max="8"/>
    <col width="70" customWidth="1" min="10" max="10"/>
  </cols>
  <sheetData>
    <row r="2">
      <c r="B2" s="19" t="inlineStr">
        <is>
          <t>Anthropic — Historical record from the store</t>
        </is>
      </c>
    </row>
    <row r="3">
      <c r="B3" s="3" t="inlineStr">
        <is>
          <t>Every figure below is a stored Fact. Source and date sit beside it; hover any value for its full provenance.</t>
        </is>
      </c>
    </row>
    <row r="5">
      <c r="B5" s="28" t="inlineStr">
        <is>
          <t>Metric</t>
        </is>
      </c>
      <c r="D5" s="28" t="inlineStr">
        <is>
          <t>Value</t>
        </is>
      </c>
      <c r="F5" s="28" t="inlineStr">
        <is>
          <t>As of</t>
        </is>
      </c>
      <c r="H5" s="28" t="inlineStr">
        <is>
          <t>Tier</t>
        </is>
      </c>
      <c r="J5" s="28" t="inlineStr">
        <is>
          <t>Source</t>
        </is>
      </c>
    </row>
    <row r="6">
      <c r="B6" s="17" t="inlineStr">
        <is>
          <t>Legal name</t>
        </is>
      </c>
      <c r="C6" s="17" t="inlineStr"/>
      <c r="D6" s="15" t="inlineStr">
        <is>
          <t>Anthropic</t>
        </is>
      </c>
      <c r="F6" s="7" t="inlineStr">
        <is>
          <t>2026-07-16</t>
        </is>
      </c>
      <c r="H6" s="7" t="inlineStr">
        <is>
          <t>T2</t>
        </is>
      </c>
      <c r="J6" s="29" t="inlineStr">
        <is>
          <t>canonical refresh, July 16, 2026</t>
        </is>
      </c>
    </row>
    <row r="7">
      <c r="B7" s="17" t="inlineStr">
        <is>
          <t>PitchBook ID</t>
        </is>
      </c>
      <c r="C7" s="17" t="inlineStr"/>
      <c r="D7" s="15" t="inlineStr">
        <is>
          <t>466959-97</t>
        </is>
      </c>
      <c r="F7" s="7" t="inlineStr">
        <is>
          <t>2026-07-16</t>
        </is>
      </c>
      <c r="H7" s="7" t="inlineStr">
        <is>
          <t>T2</t>
        </is>
      </c>
      <c r="J7" s="29" t="inlineStr">
        <is>
          <t>PitchBook profile</t>
        </is>
      </c>
    </row>
    <row r="8">
      <c r="B8" s="17" t="inlineStr">
        <is>
          <t>Sector</t>
        </is>
      </c>
      <c r="C8" s="17" t="inlineStr"/>
      <c r="D8" s="15" t="inlineStr">
        <is>
          <t>AI-INFRA (frontier lab)</t>
        </is>
      </c>
      <c r="F8" s="7" t="inlineStr">
        <is>
          <t>2026-07-16</t>
        </is>
      </c>
      <c r="H8" s="7" t="inlineStr">
        <is>
          <t>T2</t>
        </is>
      </c>
      <c r="J8" s="29" t="inlineStr">
        <is>
          <t>canonical refresh, July 16, 2026</t>
        </is>
      </c>
    </row>
    <row r="9">
      <c r="B9" s="17" t="inlineStr">
        <is>
          <t>Valuation at last completed round</t>
        </is>
      </c>
      <c r="C9" s="17" t="inlineStr"/>
      <c r="D9" s="30" t="n">
        <v>965</v>
      </c>
      <c r="F9" s="7" t="inlineStr">
        <is>
          <t>2026-05-28</t>
        </is>
      </c>
      <c r="H9" s="7" t="inlineStr">
        <is>
          <t>T2</t>
        </is>
      </c>
      <c r="J9" s="29" t="inlineStr">
        <is>
          <t>Series H $65B (Dragoneer/Sequoia/Greenoaks/Altimeter), confirmed on PitchBook Jul 16</t>
        </is>
      </c>
    </row>
    <row r="10">
      <c r="B10" s="17" t="inlineStr">
        <is>
          <t>Total raised (equity and debt)</t>
        </is>
      </c>
      <c r="C10" s="17" t="inlineStr"/>
      <c r="D10" s="30" t="n">
        <v>161.3</v>
      </c>
      <c r="F10" s="7" t="inlineStr">
        <is>
          <t>2026-07-16</t>
        </is>
      </c>
      <c r="H10" s="7" t="inlineStr">
        <is>
          <t>T2</t>
        </is>
      </c>
      <c r="J10" s="29" t="inlineStr">
        <is>
          <t>PitchBook total raised $161.254B, confirmed live</t>
        </is>
      </c>
    </row>
    <row r="11">
      <c r="B11" s="17" t="inlineStr">
        <is>
          <t>Equity raised</t>
        </is>
      </c>
      <c r="C11" s="17" t="inlineStr"/>
      <c r="D11" s="30" t="n">
        <v>124.3</v>
      </c>
      <c r="F11" s="7" t="inlineStr">
        <is>
          <t>2026-07-02</t>
        </is>
      </c>
      <c r="H11" s="7" t="inlineStr">
        <is>
          <t>T2</t>
        </is>
      </c>
      <c r="J11" s="29" t="inlineStr">
        <is>
          <t>canonical decomposition: excludes $34.5B chip bonds + $2.5B revolver</t>
        </is>
      </c>
    </row>
    <row r="12">
      <c r="B12" s="17" t="inlineStr">
        <is>
          <t>Debt raised</t>
        </is>
      </c>
      <c r="C12" s="17" t="inlineStr"/>
      <c r="D12" s="30" t="n">
        <v>37</v>
      </c>
      <c r="F12" s="7" t="inlineStr">
        <is>
          <t>2026-07-02</t>
        </is>
      </c>
      <c r="H12" s="7" t="inlineStr">
        <is>
          <t>T2</t>
        </is>
      </c>
      <c r="J12" s="29" t="inlineStr">
        <is>
          <t>PB 334763-02T ($34.5B tranched chip bonds) + 295197-04T ($2.5B revolver)</t>
        </is>
      </c>
    </row>
    <row r="13">
      <c r="B13" s="17" t="inlineStr">
        <is>
          <t>Annualised revenue</t>
        </is>
      </c>
      <c r="C13" s="17" t="inlineStr"/>
      <c r="D13" s="30" t="n">
        <v>47</v>
      </c>
      <c r="F13" s="7" t="inlineStr">
        <is>
          <t>2026-05-15</t>
        </is>
      </c>
      <c r="H13" s="7" t="inlineStr">
        <is>
          <t>T2</t>
        </is>
      </c>
      <c r="J13" s="29" t="inlineStr">
        <is>
          <t>company-announced run-rate (gross basis)</t>
        </is>
      </c>
    </row>
    <row r="14">
      <c r="B14" s="17" t="inlineStr">
        <is>
          <t>Fy2025 revenue ($bn)</t>
        </is>
      </c>
      <c r="C14" s="17" t="inlineStr"/>
      <c r="D14" s="30" t="n">
        <v>9</v>
      </c>
      <c r="F14" s="7" t="inlineStr">
        <is>
          <t>2026-07-16</t>
        </is>
      </c>
      <c r="H14" s="7" t="inlineStr">
        <is>
          <t>T2</t>
        </is>
      </c>
      <c r="J14" s="29" t="inlineStr">
        <is>
          <t>PitchBook financials</t>
        </is>
      </c>
    </row>
    <row r="15">
      <c r="B15" s="17" t="inlineStr">
        <is>
          <t>Note on the PitchBook revenue field</t>
        </is>
      </c>
      <c r="C15" s="17" t="inlineStr"/>
      <c r="D15" s="15" t="inlineStr">
        <is>
          <t>PB revenue field $55B TTM 4Q2027 (period end 2027-12-31) = f</t>
        </is>
      </c>
      <c r="F15" s="7" t="inlineStr">
        <is>
          <t>2026-07-16</t>
        </is>
      </c>
      <c r="H15" s="7" t="inlineStr">
        <is>
          <t>T2</t>
        </is>
      </c>
      <c r="J15" s="29" t="inlineStr">
        <is>
          <t>canonical refresh, July 16, 2026</t>
        </is>
      </c>
    </row>
    <row r="16">
      <c r="B16" s="17" t="inlineStr">
        <is>
          <t>First operating profit</t>
        </is>
      </c>
      <c r="C16" s="17" t="inlineStr"/>
      <c r="D16" s="15" t="inlineStr">
        <is>
          <t>~$559M expected Q2 2026</t>
        </is>
      </c>
      <c r="F16" s="7" t="inlineStr">
        <is>
          <t>2026-05-28</t>
        </is>
      </c>
      <c r="H16" s="7" t="inlineStr">
        <is>
          <t>T3</t>
        </is>
      </c>
      <c r="J16" s="29" t="inlineStr">
        <is>
          <t>press reports</t>
        </is>
      </c>
    </row>
    <row r="17">
      <c r="B17" s="17" t="inlineStr">
        <is>
          <t>Employees</t>
        </is>
      </c>
      <c r="C17" s="17" t="inlineStr"/>
      <c r="D17" s="30" t="n">
        <v>5000</v>
      </c>
      <c r="F17" s="7" t="inlineStr">
        <is>
          <t>2026-04-21</t>
        </is>
      </c>
      <c r="H17" s="7" t="inlineStr">
        <is>
          <t>T2</t>
        </is>
      </c>
      <c r="J17" s="29" t="inlineStr">
        <is>
          <t>PitchBook</t>
        </is>
      </c>
    </row>
    <row r="18">
      <c r="B18" s="17" t="inlineStr">
        <is>
          <t>Net revenue retention</t>
        </is>
      </c>
      <c r="C18" s="17" t="inlineStr"/>
      <c r="D18" s="15" t="inlineStr">
        <is>
          <t>140%+</t>
        </is>
      </c>
      <c r="F18" s="7" t="inlineStr">
        <is>
          <t>2026-05-15</t>
        </is>
      </c>
      <c r="H18" s="7" t="inlineStr">
        <is>
          <t>T2</t>
        </is>
      </c>
      <c r="J18" s="29" t="inlineStr">
        <is>
          <t>company-announced</t>
        </is>
      </c>
    </row>
    <row r="19">
      <c r="B19" s="17" t="inlineStr">
        <is>
          <t>Business customers</t>
        </is>
      </c>
      <c r="C19" s="17" t="inlineStr"/>
      <c r="D19" s="15" t="inlineStr">
        <is>
          <t>300K+</t>
        </is>
      </c>
      <c r="F19" s="7" t="inlineStr">
        <is>
          <t>2026-05-15</t>
        </is>
      </c>
      <c r="H19" s="7" t="inlineStr">
        <is>
          <t>T2</t>
        </is>
      </c>
      <c r="J19" s="29" t="inlineStr">
        <is>
          <t>company-announced</t>
        </is>
      </c>
    </row>
    <row r="20">
      <c r="B20" s="17" t="inlineStr">
        <is>
          <t>Acv 1m plus</t>
        </is>
      </c>
      <c r="C20" s="17" t="inlineStr"/>
      <c r="D20" s="15" t="inlineStr">
        <is>
          <t>1,000+</t>
        </is>
      </c>
      <c r="F20" s="7" t="inlineStr">
        <is>
          <t>2026-05-15</t>
        </is>
      </c>
      <c r="H20" s="7" t="inlineStr">
        <is>
          <t>T2</t>
        </is>
      </c>
      <c r="J20" s="29" t="inlineStr">
        <is>
          <t>company-announced</t>
        </is>
      </c>
    </row>
    <row r="21">
      <c r="B21" s="17" t="inlineStr">
        <is>
          <t>Claude code arr ($bn)</t>
        </is>
      </c>
      <c r="C21" s="17" t="inlineStr"/>
      <c r="D21" s="30" t="n">
        <v>2.5</v>
      </c>
      <c r="F21" s="7" t="inlineStr">
        <is>
          <t>2026-05-15</t>
        </is>
      </c>
      <c r="H21" s="7" t="inlineStr">
        <is>
          <t>T2</t>
        </is>
      </c>
      <c r="J21" s="29" t="inlineStr">
        <is>
          <t>company-announced</t>
        </is>
      </c>
    </row>
    <row r="22">
      <c r="B22" s="17" t="inlineStr">
        <is>
          <t>IPO filing status</t>
        </is>
      </c>
      <c r="C22" s="17" t="inlineStr"/>
      <c r="D22" s="15" t="inlineStr">
        <is>
          <t>Confidential S-1 filed Jun 1, 2026</t>
        </is>
      </c>
      <c r="F22" s="7" t="inlineStr">
        <is>
          <t>2026-06-01</t>
        </is>
      </c>
      <c r="H22" s="7" t="inlineStr">
        <is>
          <t>T2</t>
        </is>
      </c>
      <c r="J22" s="29" t="inlineStr">
        <is>
          <t>press + PitchBook</t>
        </is>
      </c>
    </row>
    <row r="23">
      <c r="B23" s="17" t="inlineStr">
        <is>
          <t>Expected IPO window</t>
        </is>
      </c>
      <c r="C23" s="17" t="inlineStr"/>
      <c r="D23" s="15" t="inlineStr">
        <is>
          <t>October 2026 expected (PitchBook financing note, refreshed J</t>
        </is>
      </c>
      <c r="F23" s="7" t="inlineStr">
        <is>
          <t>2026-07-16</t>
        </is>
      </c>
      <c r="H23" s="7" t="inlineStr">
        <is>
          <t>T2</t>
        </is>
      </c>
      <c r="J23" s="29" t="inlineStr">
        <is>
          <t>PitchBook</t>
        </is>
      </c>
    </row>
    <row r="24">
      <c r="B24" s="17" t="inlineStr">
        <is>
          <t>Quality score (composite)</t>
        </is>
      </c>
      <c r="C24" s="17" t="inlineStr"/>
      <c r="D24" s="30" t="n">
        <v>8.199999999999999</v>
      </c>
      <c r="F24" s="7" t="inlineStr">
        <is>
          <t>2026-05-27</t>
        </is>
      </c>
      <c r="H24" s="7" t="inlineStr">
        <is>
          <t>T2</t>
        </is>
      </c>
      <c r="J24" s="29" t="inlineStr">
        <is>
          <t>internal AIBQ v3.0 (this desk)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8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Anthropic — Operating model</t>
        </is>
      </c>
    </row>
    <row r="3">
      <c r="B3" s="3" t="inlineStr">
        <is>
          <t>All figures in USD millions. Black cells are formulas.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Revenue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Revenue growth (% YoY)</t>
        </is>
      </c>
      <c r="D8" s="31" t="inlineStr"/>
      <c r="E8" s="31">
        <f>E9/D9-1</f>
        <v/>
      </c>
      <c r="F8" s="31">
        <f>F9/E9-1</f>
        <v/>
      </c>
      <c r="G8" s="31">
        <f>G9/F9-1</f>
        <v/>
      </c>
      <c r="H8" s="31">
        <f>H9/G9-1</f>
        <v/>
      </c>
      <c r="I8" s="31">
        <f>MAX(Inputs!$D$14,H8-Inputs!$D$13)*Inputs!$D$15</f>
        <v/>
      </c>
      <c r="J8" s="31">
        <f>MAX(Inputs!$D$14,I8-Inputs!$D$13)*Inputs!$D$15</f>
        <v/>
      </c>
      <c r="K8" s="31">
        <f>MAX(Inputs!$D$14,J8-Inputs!$D$13)*Inputs!$D$15</f>
        <v/>
      </c>
      <c r="L8" s="31">
        <f>MAX(Inputs!$D$14,K8-Inputs!$D$13)*Inputs!$D$15</f>
        <v/>
      </c>
      <c r="M8" s="31">
        <f>MAX(Inputs!$D$14,L8-Inputs!$D$13)*Inputs!$D$15</f>
        <v/>
      </c>
      <c r="N8" s="31">
        <f>MAX(Inputs!$D$14,M8-Inputs!$D$13)*Inputs!$D$15</f>
        <v/>
      </c>
    </row>
    <row r="9">
      <c r="B9" s="8" t="inlineStr">
        <is>
          <t>Revenue</t>
        </is>
      </c>
      <c r="D9" s="23" t="n">
        <v>9284</v>
      </c>
      <c r="E9" s="23" t="n">
        <v>13925.9</v>
      </c>
      <c r="F9" s="23" t="n">
        <v>20888.9</v>
      </c>
      <c r="G9" s="23" t="n">
        <v>31333.3</v>
      </c>
      <c r="H9" s="23" t="n">
        <v>47000</v>
      </c>
      <c r="I9" s="32">
        <f>H9*(1+I8)</f>
        <v/>
      </c>
      <c r="J9" s="32">
        <f>I9*(1+J8)</f>
        <v/>
      </c>
      <c r="K9" s="32">
        <f>J9*(1+K8)</f>
        <v/>
      </c>
      <c r="L9" s="32">
        <f>K9*(1+L8)</f>
        <v/>
      </c>
      <c r="M9" s="32">
        <f>L9*(1+M8)</f>
        <v/>
      </c>
      <c r="N9" s="32">
        <f>M9*(1+N8)</f>
        <v/>
      </c>
    </row>
    <row r="11">
      <c r="B11" s="4" t="inlineStr">
        <is>
          <t>Profit and loss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B12" s="8" t="inlineStr">
        <is>
          <t>Gross margin (%)</t>
        </is>
      </c>
      <c r="D12" s="31">
        <f>Inputs!$D$18</f>
        <v/>
      </c>
      <c r="E12" s="31">
        <f>Inputs!$D$18</f>
        <v/>
      </c>
      <c r="F12" s="31">
        <f>Inputs!$D$18</f>
        <v/>
      </c>
      <c r="G12" s="31">
        <f>Inputs!$D$18</f>
        <v/>
      </c>
      <c r="H12" s="31">
        <f>Inputs!$D$18</f>
        <v/>
      </c>
      <c r="I12" s="31">
        <f>H12+Inputs!$D$19</f>
        <v/>
      </c>
      <c r="J12" s="31">
        <f>I12+Inputs!$D$19</f>
        <v/>
      </c>
      <c r="K12" s="31">
        <f>J12+Inputs!$D$19</f>
        <v/>
      </c>
      <c r="L12" s="31">
        <f>K12+Inputs!$D$19</f>
        <v/>
      </c>
      <c r="M12" s="31">
        <f>L12+Inputs!$D$19</f>
        <v/>
      </c>
      <c r="N12" s="31">
        <f>M12+Inputs!$D$19</f>
        <v/>
      </c>
    </row>
    <row r="13">
      <c r="B13" s="8" t="inlineStr">
        <is>
          <t>Gross profit</t>
        </is>
      </c>
      <c r="D13" s="32">
        <f>D9*D12</f>
        <v/>
      </c>
      <c r="E13" s="32">
        <f>E9*E12</f>
        <v/>
      </c>
      <c r="F13" s="32">
        <f>F9*F12</f>
        <v/>
      </c>
      <c r="G13" s="32">
        <f>G9*G12</f>
        <v/>
      </c>
      <c r="H13" s="32">
        <f>H9*H12</f>
        <v/>
      </c>
      <c r="I13" s="32">
        <f>I9*I12</f>
        <v/>
      </c>
      <c r="J13" s="32">
        <f>J9*J12</f>
        <v/>
      </c>
      <c r="K13" s="32">
        <f>K9*K12</f>
        <v/>
      </c>
      <c r="L13" s="32">
        <f>L9*L12</f>
        <v/>
      </c>
      <c r="M13" s="32">
        <f>M9*M12</f>
        <v/>
      </c>
      <c r="N13" s="32">
        <f>N9*N12</f>
        <v/>
      </c>
    </row>
    <row r="14">
      <c r="B14" s="8" t="inlineStr">
        <is>
          <t>Sales and marketing</t>
        </is>
      </c>
      <c r="D14" s="32">
        <f>D9*MAX(0.02,Inputs!$D$20+Inputs!$D$23*MAX(0,D5-2026))</f>
        <v/>
      </c>
      <c r="E14" s="32">
        <f>E9*MAX(0.02,Inputs!$D$20+Inputs!$D$23*MAX(0,E5-2026))</f>
        <v/>
      </c>
      <c r="F14" s="32">
        <f>F9*MAX(0.02,Inputs!$D$20+Inputs!$D$23*MAX(0,F5-2026))</f>
        <v/>
      </c>
      <c r="G14" s="32">
        <f>G9*MAX(0.02,Inputs!$D$20+Inputs!$D$23*MAX(0,G5-2026))</f>
        <v/>
      </c>
      <c r="H14" s="32">
        <f>H9*MAX(0.02,Inputs!$D$20+Inputs!$D$23*MAX(0,H5-2026))</f>
        <v/>
      </c>
      <c r="I14" s="32">
        <f>I9*MAX(0.02,Inputs!$D$20+Inputs!$D$23*MAX(0,I5-2026))</f>
        <v/>
      </c>
      <c r="J14" s="32">
        <f>J9*MAX(0.02,Inputs!$D$20+Inputs!$D$23*MAX(0,J5-2026))</f>
        <v/>
      </c>
      <c r="K14" s="32">
        <f>K9*MAX(0.02,Inputs!$D$20+Inputs!$D$23*MAX(0,K5-2026))</f>
        <v/>
      </c>
      <c r="L14" s="32">
        <f>L9*MAX(0.02,Inputs!$D$20+Inputs!$D$23*MAX(0,L5-2026))</f>
        <v/>
      </c>
      <c r="M14" s="32">
        <f>M9*MAX(0.02,Inputs!$D$20+Inputs!$D$23*MAX(0,M5-2026))</f>
        <v/>
      </c>
      <c r="N14" s="32">
        <f>N9*MAX(0.02,Inputs!$D$20+Inputs!$D$23*MAX(0,N5-2026))</f>
        <v/>
      </c>
    </row>
    <row r="15">
      <c r="B15" s="8" t="inlineStr">
        <is>
          <t>Research and development</t>
        </is>
      </c>
      <c r="D15" s="32">
        <f>D9*MAX(0.02,Inputs!$D$21+Inputs!$D$23*MAX(0,D5-2026))</f>
        <v/>
      </c>
      <c r="E15" s="32">
        <f>E9*MAX(0.02,Inputs!$D$21+Inputs!$D$23*MAX(0,E5-2026))</f>
        <v/>
      </c>
      <c r="F15" s="32">
        <f>F9*MAX(0.02,Inputs!$D$21+Inputs!$D$23*MAX(0,F5-2026))</f>
        <v/>
      </c>
      <c r="G15" s="32">
        <f>G9*MAX(0.02,Inputs!$D$21+Inputs!$D$23*MAX(0,G5-2026))</f>
        <v/>
      </c>
      <c r="H15" s="32">
        <f>H9*MAX(0.02,Inputs!$D$21+Inputs!$D$23*MAX(0,H5-2026))</f>
        <v/>
      </c>
      <c r="I15" s="32">
        <f>I9*MAX(0.02,Inputs!$D$21+Inputs!$D$23*MAX(0,I5-2026))</f>
        <v/>
      </c>
      <c r="J15" s="32">
        <f>J9*MAX(0.02,Inputs!$D$21+Inputs!$D$23*MAX(0,J5-2026))</f>
        <v/>
      </c>
      <c r="K15" s="32">
        <f>K9*MAX(0.02,Inputs!$D$21+Inputs!$D$23*MAX(0,K5-2026))</f>
        <v/>
      </c>
      <c r="L15" s="32">
        <f>L9*MAX(0.02,Inputs!$D$21+Inputs!$D$23*MAX(0,L5-2026))</f>
        <v/>
      </c>
      <c r="M15" s="32">
        <f>M9*MAX(0.02,Inputs!$D$21+Inputs!$D$23*MAX(0,M5-2026))</f>
        <v/>
      </c>
      <c r="N15" s="32">
        <f>N9*MAX(0.02,Inputs!$D$21+Inputs!$D$23*MAX(0,N5-2026))</f>
        <v/>
      </c>
    </row>
    <row r="16">
      <c r="B16" s="8" t="inlineStr">
        <is>
          <t>General and administrative</t>
        </is>
      </c>
      <c r="D16" s="32">
        <f>D9*MAX(0.02,Inputs!$D$22+Inputs!$D$23*MAX(0,D5-2026))</f>
        <v/>
      </c>
      <c r="E16" s="32">
        <f>E9*MAX(0.02,Inputs!$D$22+Inputs!$D$23*MAX(0,E5-2026))</f>
        <v/>
      </c>
      <c r="F16" s="32">
        <f>F9*MAX(0.02,Inputs!$D$22+Inputs!$D$23*MAX(0,F5-2026))</f>
        <v/>
      </c>
      <c r="G16" s="32">
        <f>G9*MAX(0.02,Inputs!$D$22+Inputs!$D$23*MAX(0,G5-2026))</f>
        <v/>
      </c>
      <c r="H16" s="32">
        <f>H9*MAX(0.02,Inputs!$D$22+Inputs!$D$23*MAX(0,H5-2026))</f>
        <v/>
      </c>
      <c r="I16" s="32">
        <f>I9*MAX(0.02,Inputs!$D$22+Inputs!$D$23*MAX(0,I5-2026))</f>
        <v/>
      </c>
      <c r="J16" s="32">
        <f>J9*MAX(0.02,Inputs!$D$22+Inputs!$D$23*MAX(0,J5-2026))</f>
        <v/>
      </c>
      <c r="K16" s="32">
        <f>K9*MAX(0.02,Inputs!$D$22+Inputs!$D$23*MAX(0,K5-2026))</f>
        <v/>
      </c>
      <c r="L16" s="32">
        <f>L9*MAX(0.02,Inputs!$D$22+Inputs!$D$23*MAX(0,L5-2026))</f>
        <v/>
      </c>
      <c r="M16" s="32">
        <f>M9*MAX(0.02,Inputs!$D$22+Inputs!$D$23*MAX(0,M5-2026))</f>
        <v/>
      </c>
      <c r="N16" s="32">
        <f>N9*MAX(0.02,Inputs!$D$22+Inputs!$D$23*MAX(0,N5-2026))</f>
        <v/>
      </c>
    </row>
    <row r="17">
      <c r="B17" s="6" t="inlineStr">
        <is>
          <t>Total operating expenses</t>
        </is>
      </c>
      <c r="D17" s="33">
        <f>SUM(D14:D16)</f>
        <v/>
      </c>
      <c r="E17" s="33">
        <f>SUM(E14:E16)</f>
        <v/>
      </c>
      <c r="F17" s="33">
        <f>SUM(F14:F16)</f>
        <v/>
      </c>
      <c r="G17" s="33">
        <f>SUM(G14:G16)</f>
        <v/>
      </c>
      <c r="H17" s="33">
        <f>SUM(H14:H16)</f>
        <v/>
      </c>
      <c r="I17" s="33">
        <f>SUM(I14:I16)</f>
        <v/>
      </c>
      <c r="J17" s="33">
        <f>SUM(J14:J16)</f>
        <v/>
      </c>
      <c r="K17" s="33">
        <f>SUM(K14:K16)</f>
        <v/>
      </c>
      <c r="L17" s="33">
        <f>SUM(L14:L16)</f>
        <v/>
      </c>
      <c r="M17" s="33">
        <f>SUM(M14:M16)</f>
        <v/>
      </c>
      <c r="N17" s="33">
        <f>SUM(N14:N16)</f>
        <v/>
      </c>
    </row>
    <row r="18">
      <c r="B18" s="6" t="inlineStr">
        <is>
          <t>Operating profit</t>
        </is>
      </c>
      <c r="D18" s="33">
        <f>D13-D17</f>
        <v/>
      </c>
      <c r="E18" s="33">
        <f>E13-E17</f>
        <v/>
      </c>
      <c r="F18" s="33">
        <f>F13-F17</f>
        <v/>
      </c>
      <c r="G18" s="33">
        <f>G13-G17</f>
        <v/>
      </c>
      <c r="H18" s="33">
        <f>H13-H17</f>
        <v/>
      </c>
      <c r="I18" s="33">
        <f>I13-I17</f>
        <v/>
      </c>
      <c r="J18" s="33">
        <f>J13-J17</f>
        <v/>
      </c>
      <c r="K18" s="33">
        <f>K13-K17</f>
        <v/>
      </c>
      <c r="L18" s="33">
        <f>L13-L17</f>
        <v/>
      </c>
      <c r="M18" s="33">
        <f>M13-M17</f>
        <v/>
      </c>
      <c r="N18" s="33">
        <f>N13-N17</f>
        <v/>
      </c>
    </row>
    <row r="19">
      <c r="B19" s="8" t="inlineStr">
        <is>
          <t>Operating margin (%)</t>
        </is>
      </c>
      <c r="D19" s="31">
        <f>IF(D9=0,0,D18/D9)</f>
        <v/>
      </c>
      <c r="E19" s="31">
        <f>IF(E9=0,0,E18/E9)</f>
        <v/>
      </c>
      <c r="F19" s="31">
        <f>IF(F9=0,0,F18/F9)</f>
        <v/>
      </c>
      <c r="G19" s="31">
        <f>IF(G9=0,0,G18/G9)</f>
        <v/>
      </c>
      <c r="H19" s="31">
        <f>IF(H9=0,0,H18/H9)</f>
        <v/>
      </c>
      <c r="I19" s="31">
        <f>IF(I9=0,0,I18/I9)</f>
        <v/>
      </c>
      <c r="J19" s="31">
        <f>IF(J9=0,0,J18/J9)</f>
        <v/>
      </c>
      <c r="K19" s="31">
        <f>IF(K9=0,0,K18/K9)</f>
        <v/>
      </c>
      <c r="L19" s="31">
        <f>IF(L9=0,0,L18/L9)</f>
        <v/>
      </c>
      <c r="M19" s="31">
        <f>IF(M9=0,0,M18/M9)</f>
        <v/>
      </c>
      <c r="N19" s="31">
        <f>IF(N9=0,0,N18/N9)</f>
        <v/>
      </c>
    </row>
    <row r="21">
      <c r="B21" s="4" t="inlineStr">
        <is>
          <t>Cash flow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</row>
    <row r="22">
      <c r="B22" s="8" t="inlineStr">
        <is>
          <t>Tax</t>
        </is>
      </c>
      <c r="D22" s="32">
        <f>-MAX(0,D18)*Inputs!$D$29</f>
        <v/>
      </c>
      <c r="E22" s="32">
        <f>-MAX(0,E18)*Inputs!$D$29</f>
        <v/>
      </c>
      <c r="F22" s="32">
        <f>-MAX(0,F18)*Inputs!$D$29</f>
        <v/>
      </c>
      <c r="G22" s="32">
        <f>-MAX(0,G18)*Inputs!$D$29</f>
        <v/>
      </c>
      <c r="H22" s="32">
        <f>-MAX(0,H18)*Inputs!$D$29</f>
        <v/>
      </c>
      <c r="I22" s="32">
        <f>-MAX(0,I18)*Inputs!$D$29</f>
        <v/>
      </c>
      <c r="J22" s="32">
        <f>-MAX(0,J18)*Inputs!$D$29</f>
        <v/>
      </c>
      <c r="K22" s="32">
        <f>-MAX(0,K18)*Inputs!$D$29</f>
        <v/>
      </c>
      <c r="L22" s="32">
        <f>-MAX(0,L18)*Inputs!$D$29</f>
        <v/>
      </c>
      <c r="M22" s="32">
        <f>-MAX(0,M18)*Inputs!$D$29</f>
        <v/>
      </c>
      <c r="N22" s="32">
        <f>-MAX(0,N18)*Inputs!$D$29</f>
        <v/>
      </c>
    </row>
    <row r="23">
      <c r="B23" s="8" t="inlineStr">
        <is>
          <t>Capital expenditure and working capital (% of revenue)</t>
        </is>
      </c>
      <c r="D23" s="24" t="n">
        <v>0.04</v>
      </c>
    </row>
    <row r="24">
      <c r="B24" s="8" t="inlineStr">
        <is>
          <t>Capital expenditure and working capital</t>
        </is>
      </c>
      <c r="D24" s="32">
        <f>-D9*Model!$D$23</f>
        <v/>
      </c>
      <c r="E24" s="32">
        <f>-E9*Model!$D$23</f>
        <v/>
      </c>
      <c r="F24" s="32">
        <f>-F9*Model!$D$23</f>
        <v/>
      </c>
      <c r="G24" s="32">
        <f>-G9*Model!$D$23</f>
        <v/>
      </c>
      <c r="H24" s="32">
        <f>-H9*Model!$D$23</f>
        <v/>
      </c>
      <c r="I24" s="32">
        <f>-I9*Model!$D$23</f>
        <v/>
      </c>
      <c r="J24" s="32">
        <f>-J9*Model!$D$23</f>
        <v/>
      </c>
      <c r="K24" s="32">
        <f>-K9*Model!$D$23</f>
        <v/>
      </c>
      <c r="L24" s="32">
        <f>-L9*Model!$D$23</f>
        <v/>
      </c>
      <c r="M24" s="32">
        <f>-M9*Model!$D$23</f>
        <v/>
      </c>
      <c r="N24" s="32">
        <f>-N9*Model!$D$23</f>
        <v/>
      </c>
    </row>
    <row r="25">
      <c r="B25" s="6" t="inlineStr">
        <is>
          <t>Free cash flow</t>
        </is>
      </c>
      <c r="D25" s="33">
        <f>D18+D22+D24</f>
        <v/>
      </c>
      <c r="E25" s="33">
        <f>E18+E22+E24</f>
        <v/>
      </c>
      <c r="F25" s="33">
        <f>F18+F22+F24</f>
        <v/>
      </c>
      <c r="G25" s="33">
        <f>G18+G22+G24</f>
        <v/>
      </c>
      <c r="H25" s="33">
        <f>H18+H22+H24</f>
        <v/>
      </c>
      <c r="I25" s="33">
        <f>I18+I22+I24</f>
        <v/>
      </c>
      <c r="J25" s="33">
        <f>J18+J22+J24</f>
        <v/>
      </c>
      <c r="K25" s="33">
        <f>K18+K22+K24</f>
        <v/>
      </c>
      <c r="L25" s="33">
        <f>L18+L22+L24</f>
        <v/>
      </c>
      <c r="M25" s="33">
        <f>M18+M22+M24</f>
        <v/>
      </c>
      <c r="N25" s="33">
        <f>N18+N22+N24</f>
        <v/>
      </c>
    </row>
    <row r="27">
      <c r="B27" s="4" t="inlineStr">
        <is>
          <t>Per-employee and efficiency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</row>
    <row r="28">
      <c r="B28" s="8" t="inlineStr">
        <is>
          <t>Revenue per employee ($000)</t>
        </is>
      </c>
      <c r="D28" s="32">
        <f>IF(D9=0,0,D9*1000/MAX(1,Inputs!$D$34))</f>
        <v/>
      </c>
      <c r="E28" s="32">
        <f>IF(E9=0,0,E9*1000/MAX(1,Inputs!$D$34))</f>
        <v/>
      </c>
      <c r="F28" s="32">
        <f>IF(F9=0,0,F9*1000/MAX(1,Inputs!$D$34))</f>
        <v/>
      </c>
      <c r="G28" s="32">
        <f>IF(G9=0,0,G9*1000/MAX(1,Inputs!$D$34))</f>
        <v/>
      </c>
      <c r="H28" s="32">
        <f>IF(H9=0,0,H9*1000/MAX(1,Inputs!$D$34))</f>
        <v/>
      </c>
      <c r="I28" s="32">
        <f>IF(I9=0,0,I9*1000/MAX(1,Inputs!$D$34))</f>
        <v/>
      </c>
      <c r="J28" s="32">
        <f>IF(J9=0,0,J9*1000/MAX(1,Inputs!$D$34))</f>
        <v/>
      </c>
      <c r="K28" s="32">
        <f>IF(K9=0,0,K9*1000/MAX(1,Inputs!$D$34))</f>
        <v/>
      </c>
      <c r="L28" s="32">
        <f>IF(L9=0,0,L9*1000/MAX(1,Inputs!$D$34))</f>
        <v/>
      </c>
      <c r="M28" s="32">
        <f>IF(M9=0,0,M9*1000/MAX(1,Inputs!$D$34))</f>
        <v/>
      </c>
      <c r="N28" s="32">
        <f>IF(N9=0,0,N9*1000/MAX(1,Inputs!$D$34))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N23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Anthropic — Valuation</t>
        </is>
      </c>
    </row>
    <row r="3">
      <c r="B3" s="3" t="inlineStr">
        <is>
          <t>Discounted cash flow and an exit-multiple cross-check. 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4" t="inlineStr">
        <is>
          <t>Discounted cash flow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B8" s="8" t="inlineStr">
        <is>
          <t>Discount factor</t>
        </is>
      </c>
      <c r="D8" s="34" t="n">
        <v>0</v>
      </c>
      <c r="E8" s="34" t="n">
        <v>0</v>
      </c>
      <c r="F8" s="34" t="n">
        <v>0</v>
      </c>
      <c r="G8" s="34" t="n">
        <v>0</v>
      </c>
      <c r="H8" s="34" t="n">
        <v>0</v>
      </c>
      <c r="I8" s="34">
        <f>1/(1+Inputs!$D$28)^1</f>
        <v/>
      </c>
      <c r="J8" s="34">
        <f>1/(1+Inputs!$D$28)^2</f>
        <v/>
      </c>
      <c r="K8" s="34">
        <f>1/(1+Inputs!$D$28)^3</f>
        <v/>
      </c>
      <c r="L8" s="34">
        <f>1/(1+Inputs!$D$28)^4</f>
        <v/>
      </c>
      <c r="M8" s="34">
        <f>1/(1+Inputs!$D$28)^5</f>
        <v/>
      </c>
      <c r="N8" s="34">
        <f>1/(1+Inputs!$D$28)^6</f>
        <v/>
      </c>
    </row>
    <row r="9">
      <c r="B9" s="8" t="inlineStr">
        <is>
          <t>Present value of free cash flow</t>
        </is>
      </c>
      <c r="D9" s="32" t="n">
        <v>0</v>
      </c>
      <c r="E9" s="32" t="n">
        <v>0</v>
      </c>
      <c r="F9" s="32" t="n">
        <v>0</v>
      </c>
      <c r="G9" s="32" t="n">
        <v>0</v>
      </c>
      <c r="H9" s="32" t="n">
        <v>0</v>
      </c>
      <c r="I9" s="32">
        <f>Model!I25*I8</f>
        <v/>
      </c>
      <c r="J9" s="32">
        <f>Model!J25*J8</f>
        <v/>
      </c>
      <c r="K9" s="32">
        <f>Model!K25*K8</f>
        <v/>
      </c>
      <c r="L9" s="32">
        <f>Model!L25*L8</f>
        <v/>
      </c>
      <c r="M9" s="32">
        <f>Model!M25*M8</f>
        <v/>
      </c>
      <c r="N9" s="32">
        <f>Model!N25*N8</f>
        <v/>
      </c>
    </row>
    <row r="11">
      <c r="B11" s="6" t="inlineStr">
        <is>
          <t>Sum of discounted cash flows</t>
        </is>
      </c>
      <c r="D11" s="33">
        <f>SUM(I9:N9)</f>
        <v/>
      </c>
    </row>
    <row r="12">
      <c r="B12" s="8" t="inlineStr">
        <is>
          <t>Terminal value (perpetuity)</t>
        </is>
      </c>
      <c r="D12" s="32">
        <f>Model!N25*(1+Inputs!$D$14)/(Inputs!$D$28-Inputs!$D$14)*N8</f>
        <v/>
      </c>
    </row>
    <row r="13">
      <c r="B13" s="8" t="inlineStr">
        <is>
          <t>Terminal value (exit multiple)</t>
        </is>
      </c>
      <c r="D13" s="32">
        <f>Model!N9*Inputs!$D$30*N8</f>
        <v/>
      </c>
    </row>
    <row r="14">
      <c r="B14" s="8" t="inlineStr">
        <is>
          <t>Spread between the two methods</t>
        </is>
      </c>
      <c r="D14" s="35">
        <f>IF(MIN(D12,D13)=0,0,MAX(D12,D13)/MIN(D12,D13))</f>
        <v/>
      </c>
    </row>
    <row r="15">
      <c r="B15" s="8" t="inlineStr">
        <is>
          <t>Terminal value used (perpetuity; multiple is the cross-check)</t>
        </is>
      </c>
      <c r="D15" s="33">
        <f>D12</f>
        <v/>
      </c>
    </row>
    <row r="17">
      <c r="B17" s="36" t="inlineStr">
        <is>
          <t>Enterprise value</t>
        </is>
      </c>
      <c r="D17" s="37">
        <f>D11+D15</f>
        <v/>
      </c>
    </row>
    <row r="19">
      <c r="B19" s="4" t="inlineStr">
        <is>
          <t>Cross-checks against the stored mark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B20" s="8" t="inlineStr">
        <is>
          <t>Latest stored valuation</t>
        </is>
      </c>
      <c r="D20" s="38">
        <f>Inputs!$D$26</f>
        <v/>
      </c>
    </row>
    <row r="21">
      <c r="B21" s="8" t="inlineStr">
        <is>
          <t>Model value against the stored mark</t>
        </is>
      </c>
      <c r="D21" s="35">
        <f>IF(D20=0,0,Valuation!$D$17/D20)</f>
        <v/>
      </c>
    </row>
    <row r="22">
      <c r="B22" s="8" t="inlineStr">
        <is>
          <t>Stored mark against latest revenue</t>
        </is>
      </c>
      <c r="D22" s="35">
        <f>IF(Model!H9=0,0,D20/Model!H9)</f>
        <v/>
      </c>
    </row>
    <row r="23">
      <c r="B23" s="8" t="inlineStr">
        <is>
          <t>Stored mark per dollar of equity raised</t>
        </is>
      </c>
      <c r="D23" s="35">
        <f>IF(Inputs!$D$27=0,0,D20/Inputs!$D$27)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N15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2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2">
      <c r="B2" s="19" t="inlineStr">
        <is>
          <t>Anthropic — Summary</t>
        </is>
      </c>
    </row>
    <row r="3">
      <c r="B3" s="3" t="inlineStr">
        <is>
          <t>All figures in USD millions.</t>
        </is>
      </c>
    </row>
    <row r="5">
      <c r="D5" s="20" t="n">
        <v>2022</v>
      </c>
      <c r="E5" s="20" t="n">
        <v>2023</v>
      </c>
      <c r="F5" s="20" t="n">
        <v>2024</v>
      </c>
      <c r="G5" s="20" t="n">
        <v>2025</v>
      </c>
      <c r="H5" s="20" t="n">
        <v>2026</v>
      </c>
      <c r="I5" s="21" t="n">
        <v>2027</v>
      </c>
      <c r="J5" s="21" t="n">
        <v>2028</v>
      </c>
      <c r="K5" s="21" t="n">
        <v>2029</v>
      </c>
      <c r="L5" s="21" t="n">
        <v>2030</v>
      </c>
      <c r="M5" s="21" t="n">
        <v>2031</v>
      </c>
      <c r="N5" s="21" t="n">
        <v>2032</v>
      </c>
    </row>
    <row r="7">
      <c r="B7" s="6" t="inlineStr">
        <is>
          <t>Revenue</t>
        </is>
      </c>
      <c r="D7" s="38">
        <f>Model!D9</f>
        <v/>
      </c>
      <c r="E7" s="38">
        <f>Model!E9</f>
        <v/>
      </c>
      <c r="F7" s="38">
        <f>Model!F9</f>
        <v/>
      </c>
      <c r="G7" s="38">
        <f>Model!G9</f>
        <v/>
      </c>
      <c r="H7" s="38">
        <f>Model!H9</f>
        <v/>
      </c>
      <c r="I7" s="38">
        <f>Model!I9</f>
        <v/>
      </c>
      <c r="J7" s="38">
        <f>Model!J9</f>
        <v/>
      </c>
      <c r="K7" s="38">
        <f>Model!K9</f>
        <v/>
      </c>
      <c r="L7" s="38">
        <f>Model!L9</f>
        <v/>
      </c>
      <c r="M7" s="38">
        <f>Model!M9</f>
        <v/>
      </c>
      <c r="N7" s="38">
        <f>Model!N9</f>
        <v/>
      </c>
    </row>
    <row r="8">
      <c r="B8" s="6" t="inlineStr">
        <is>
          <t>Gross profit</t>
        </is>
      </c>
      <c r="D8" s="38">
        <f>Model!D13</f>
        <v/>
      </c>
      <c r="E8" s="38">
        <f>Model!E13</f>
        <v/>
      </c>
      <c r="F8" s="38">
        <f>Model!F13</f>
        <v/>
      </c>
      <c r="G8" s="38">
        <f>Model!G13</f>
        <v/>
      </c>
      <c r="H8" s="38">
        <f>Model!H13</f>
        <v/>
      </c>
      <c r="I8" s="38">
        <f>Model!I13</f>
        <v/>
      </c>
      <c r="J8" s="38">
        <f>Model!J13</f>
        <v/>
      </c>
      <c r="K8" s="38">
        <f>Model!K13</f>
        <v/>
      </c>
      <c r="L8" s="38">
        <f>Model!L13</f>
        <v/>
      </c>
      <c r="M8" s="38">
        <f>Model!M13</f>
        <v/>
      </c>
      <c r="N8" s="38">
        <f>Model!N13</f>
        <v/>
      </c>
    </row>
    <row r="9">
      <c r="B9" s="6" t="inlineStr">
        <is>
          <t>Operating profit</t>
        </is>
      </c>
      <c r="D9" s="38">
        <f>Model!D18</f>
        <v/>
      </c>
      <c r="E9" s="38">
        <f>Model!E18</f>
        <v/>
      </c>
      <c r="F9" s="38">
        <f>Model!F18</f>
        <v/>
      </c>
      <c r="G9" s="38">
        <f>Model!G18</f>
        <v/>
      </c>
      <c r="H9" s="38">
        <f>Model!H18</f>
        <v/>
      </c>
      <c r="I9" s="38">
        <f>Model!I18</f>
        <v/>
      </c>
      <c r="J9" s="38">
        <f>Model!J18</f>
        <v/>
      </c>
      <c r="K9" s="38">
        <f>Model!K18</f>
        <v/>
      </c>
      <c r="L9" s="38">
        <f>Model!L18</f>
        <v/>
      </c>
      <c r="M9" s="38">
        <f>Model!M18</f>
        <v/>
      </c>
      <c r="N9" s="38">
        <f>Model!N18</f>
        <v/>
      </c>
    </row>
    <row r="10">
      <c r="B10" s="6" t="inlineStr">
        <is>
          <t>Free cash flow</t>
        </is>
      </c>
      <c r="D10" s="38">
        <f>Model!D25</f>
        <v/>
      </c>
      <c r="E10" s="38">
        <f>Model!E25</f>
        <v/>
      </c>
      <c r="F10" s="38">
        <f>Model!F25</f>
        <v/>
      </c>
      <c r="G10" s="38">
        <f>Model!G25</f>
        <v/>
      </c>
      <c r="H10" s="38">
        <f>Model!H25</f>
        <v/>
      </c>
      <c r="I10" s="38">
        <f>Model!I25</f>
        <v/>
      </c>
      <c r="J10" s="38">
        <f>Model!J25</f>
        <v/>
      </c>
      <c r="K10" s="38">
        <f>Model!K25</f>
        <v/>
      </c>
      <c r="L10" s="38">
        <f>Model!L25</f>
        <v/>
      </c>
      <c r="M10" s="38">
        <f>Model!M25</f>
        <v/>
      </c>
      <c r="N10" s="38">
        <f>Model!N25</f>
        <v/>
      </c>
    </row>
    <row r="12">
      <c r="B12" s="36" t="inlineStr">
        <is>
          <t>Enterprise value (discounted cash flow)</t>
        </is>
      </c>
      <c r="D12" s="37">
        <f>Valuation!$D$17</f>
        <v/>
      </c>
    </row>
    <row r="14">
      <c r="B14" s="14" t="inlineStr">
        <is>
          <t>What this business does</t>
        </is>
      </c>
    </row>
    <row r="15" ht="30" customHeight="1">
      <c r="B15" s="39" t="inlineStr">
        <is>
          <t>Builds Claude, a family of AI assistants sold mainly to businesses.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2026-08-14T14:29:50Z</dcterms:created>
  <dcterms:modified xmlns:dcterms="http://purl.org/dc/terms/" xmlns:xsi="http://www.w3.org/2001/XMLSchema-instance" xsi:type="dcterms:W3CDTF">2026-08-14T14:29:50Z</dcterms:modified>
</cp:coreProperties>
</file>