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ASSUMPTION
Valuation
Basis: No mark in the store.</t>
      </text>
    </comment>
    <comment ref="D27" authorId="0" shapeId="0">
      <text>
        <t>ASSUMPTION
Equity raised
Basis: Not in the store.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CoreWeave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0</v>
      </c>
    </row>
    <row r="24">
      <c r="B24" s="8" t="inlineStr">
        <is>
          <t>Inputs that are desk assumptions</t>
        </is>
      </c>
      <c r="D24" s="11" t="n">
        <v>17</v>
      </c>
    </row>
    <row r="25">
      <c r="B25" s="8" t="inlineStr">
        <is>
          <t>Share sourced</t>
        </is>
      </c>
      <c r="D25" s="12" t="n">
        <v>0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0</v>
      </c>
    </row>
    <row r="27">
      <c r="B27" s="8" t="inlineStr">
        <is>
          <t>Equity raised to date ($M)</t>
        </is>
      </c>
      <c r="D27" s="23" t="n">
        <v>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CoreWeave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CoreWeave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29" t="inlineStr"/>
      <c r="E8" s="29">
        <f>E9/D9-1</f>
        <v/>
      </c>
      <c r="F8" s="29">
        <f>F9/E9-1</f>
        <v/>
      </c>
      <c r="G8" s="29">
        <f>G9/F9-1</f>
        <v/>
      </c>
      <c r="H8" s="29">
        <f>H9/G9-1</f>
        <v/>
      </c>
      <c r="I8" s="29">
        <f>MAX(Inputs!$D$14,H8-Inputs!$D$13)*Inputs!$D$15</f>
        <v/>
      </c>
      <c r="J8" s="29">
        <f>MAX(Inputs!$D$14,I8-Inputs!$D$13)*Inputs!$D$15</f>
        <v/>
      </c>
      <c r="K8" s="29">
        <f>MAX(Inputs!$D$14,J8-Inputs!$D$13)*Inputs!$D$15</f>
        <v/>
      </c>
      <c r="L8" s="29">
        <f>MAX(Inputs!$D$14,K8-Inputs!$D$13)*Inputs!$D$15</f>
        <v/>
      </c>
      <c r="M8" s="29">
        <f>MAX(Inputs!$D$14,L8-Inputs!$D$13)*Inputs!$D$15</f>
        <v/>
      </c>
      <c r="N8" s="29">
        <f>MAX(Inputs!$D$14,M8-Inputs!$D$13)*Inputs!$D$15</f>
        <v/>
      </c>
    </row>
    <row r="9">
      <c r="B9" s="8" t="inlineStr">
        <is>
          <t>Revenue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29">
        <f>Inputs!$D$18</f>
        <v/>
      </c>
      <c r="E12" s="29">
        <f>Inputs!$D$18</f>
        <v/>
      </c>
      <c r="F12" s="29">
        <f>Inputs!$D$18</f>
        <v/>
      </c>
      <c r="G12" s="29">
        <f>Inputs!$D$18</f>
        <v/>
      </c>
      <c r="H12" s="29">
        <f>Inputs!$D$18</f>
        <v/>
      </c>
      <c r="I12" s="29">
        <f>H12+Inputs!$D$19</f>
        <v/>
      </c>
      <c r="J12" s="29">
        <f>I12+Inputs!$D$19</f>
        <v/>
      </c>
      <c r="K12" s="29">
        <f>J12+Inputs!$D$19</f>
        <v/>
      </c>
      <c r="L12" s="29">
        <f>K12+Inputs!$D$19</f>
        <v/>
      </c>
      <c r="M12" s="29">
        <f>L12+Inputs!$D$19</f>
        <v/>
      </c>
      <c r="N12" s="29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29">
        <f>IF(D9=0,0,D18/D9)</f>
        <v/>
      </c>
      <c r="E19" s="29">
        <f>IF(E9=0,0,E18/E9)</f>
        <v/>
      </c>
      <c r="F19" s="29">
        <f>IF(F9=0,0,F18/F9)</f>
        <v/>
      </c>
      <c r="G19" s="29">
        <f>IF(G9=0,0,G18/G9)</f>
        <v/>
      </c>
      <c r="H19" s="29">
        <f>IF(H9=0,0,H18/H9)</f>
        <v/>
      </c>
      <c r="I19" s="29">
        <f>IF(I9=0,0,I18/I9)</f>
        <v/>
      </c>
      <c r="J19" s="29">
        <f>IF(J9=0,0,J18/J9)</f>
        <v/>
      </c>
      <c r="K19" s="29">
        <f>IF(K9=0,0,K18/K9)</f>
        <v/>
      </c>
      <c r="L19" s="29">
        <f>IF(L9=0,0,L18/L9)</f>
        <v/>
      </c>
      <c r="M19" s="29">
        <f>IF(M9=0,0,M18/M9)</f>
        <v/>
      </c>
      <c r="N19" s="29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CoreWeave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Rents out AI computing power. Now a public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2026-08-13T20:45:47Z</dcterms:created>
  <dcterms:modified xmlns:dcterms="http://purl.org/dc/terms/" xmlns:xsi="http://www.w3.org/2001/XMLSchema-instance" xsi:type="dcterms:W3CDTF">2026-08-13T20:45:47Z</dcterms:modified>
</cp:coreProperties>
</file>