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00_Assumptions" sheetId="2" state="visible" r:id="rId2"/>
    <sheet name="01_Data" sheetId="3" state="visible" r:id="rId3"/>
    <sheet name="02_Revenue" sheetId="4" state="visible" r:id="rId4"/>
    <sheet name="03_Costs" sheetId="5" state="visible" r:id="rId5"/>
    <sheet name="04_PL" sheetId="6" state="visible" r:id="rId6"/>
    <sheet name="05_Cash_Fund" sheetId="7" state="visible" r:id="rId7"/>
    <sheet name="06_Valuation" sheetId="8" state="visible" r:id="rId8"/>
    <sheet name="07_Sensitivity" sheetId="9" state="visible" r:id="rId9"/>
    <sheet name="08_Output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0&quot;A&quot;"/>
    <numFmt numFmtId="165" formatCode="0&quot;E&quot;"/>
    <numFmt numFmtId="166" formatCode="_(#,##0_);\(#,##0\);_(&quot;–&quot;_);_(@_)"/>
    <numFmt numFmtId="167" formatCode="_(#,##0.0%_);\(#,##0.0%\);_(&quot;–&quot;_)_%;_(@_)_%"/>
    <numFmt numFmtId="168" formatCode="_(0.0\x_);\(0.0\x\);_(&quot;–&quot;_);_(@_)"/>
    <numFmt numFmtId="169" formatCode="#,##0_);[Red]\(#,##0\);\-"/>
  </numFmts>
  <fonts count="20">
    <font>
      <name val="Calibri"/>
      <family val="2"/>
      <color theme="1"/>
      <sz val="11"/>
      <scheme val="minor"/>
    </font>
    <font>
      <name val="Open Sans"/>
      <b val="1"/>
      <color rgb="FF3271D2"/>
      <sz val="14"/>
    </font>
    <font>
      <name val="Open Sans"/>
      <i val="1"/>
      <sz val="9"/>
    </font>
    <font>
      <name val="Open Sans"/>
      <b val="1"/>
      <sz val="10"/>
    </font>
    <font>
      <name val="Open Sans"/>
      <color rgb="FF3271D2"/>
      <sz val="10"/>
    </font>
    <font>
      <name val="Open Sans"/>
      <sz val="10"/>
    </font>
    <font>
      <name val="Open Sans"/>
      <b val="1"/>
      <color rgb="FF3271D2"/>
      <sz val="10"/>
    </font>
    <font>
      <name val="Open Sans"/>
      <i val="1"/>
      <sz val="8"/>
    </font>
    <font>
      <name val="Open Sans"/>
      <sz val="9"/>
    </font>
    <font>
      <name val="Open Sans"/>
      <color rgb="FFFA621C"/>
      <sz val="9"/>
    </font>
    <font>
      <name val="Open Sans"/>
      <i val="1"/>
      <sz val="10"/>
    </font>
    <font>
      <name val="Open Sans"/>
      <i val="1"/>
      <color rgb="FFFA621C"/>
      <sz val="9"/>
    </font>
    <font>
      <name val="Open Sans"/>
      <i val="1"/>
      <color rgb="FFFA621C"/>
      <sz val="8"/>
    </font>
    <font>
      <name val="Open Sans"/>
      <b val="1"/>
      <sz val="9"/>
    </font>
    <font>
      <name val="Open Sans"/>
      <b val="1"/>
      <color rgb="FF4472C4"/>
      <sz val="20"/>
    </font>
    <font>
      <name val="Open Sans"/>
      <b val="1"/>
      <color rgb="FF132E57"/>
      <sz val="14"/>
    </font>
    <font>
      <name val="Open Sans"/>
      <sz val="12"/>
    </font>
    <font>
      <name val="Open Sans"/>
      <b val="1"/>
      <color rgb="FF132E57"/>
      <sz val="12"/>
    </font>
    <font>
      <name val="Open Sans"/>
      <color rgb="FFFA621C"/>
      <sz val="10"/>
    </font>
    <font>
      <name val="Open Sans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D9E5F7"/>
      </patternFill>
    </fill>
    <fill>
      <patternFill patternType="solid">
        <fgColor rgb="FF4472C4"/>
      </patternFill>
    </fill>
  </fills>
  <borders count="7">
    <border>
      <left/>
      <right/>
      <top/>
      <bottom/>
      <diagonal/>
    </border>
    <border>
      <top style="medium"/>
      <bottom style="medium"/>
    </border>
    <border>
      <top style="thin"/>
      <bottom style="thin"/>
    </border>
    <border>
      <bottom style="hair"/>
    </border>
    <border>
      <top style="thin"/>
    </border>
    <border>
      <top style="thin"/>
      <bottom style="double"/>
    </border>
    <border>
      <bottom style="thin"/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4" fillId="0" borderId="0" pivotButton="0" quotePrefix="0" xfId="0"/>
    <xf numFmtId="0" fontId="5" fillId="0" borderId="0" pivotButton="0" quotePrefix="0" xfId="0"/>
    <xf numFmtId="0" fontId="15" fillId="0" borderId="6" pivotButton="0" quotePrefix="0" xfId="0"/>
    <xf numFmtId="0" fontId="16" fillId="0" borderId="0" pivotButton="0" quotePrefix="0" xfId="0"/>
    <xf numFmtId="169" fontId="3" fillId="0" borderId="0" applyAlignment="1" pivotButton="0" quotePrefix="0" xfId="0">
      <alignment horizontal="center"/>
    </xf>
    <xf numFmtId="0" fontId="17" fillId="0" borderId="0" pivotButton="0" quotePrefix="0" xfId="0"/>
    <xf numFmtId="0" fontId="4" fillId="0" borderId="0" pivotButton="0" quotePrefix="0" xfId="0"/>
    <xf numFmtId="0" fontId="18" fillId="0" borderId="0" pivotButton="0" quotePrefix="0" xfId="0"/>
    <xf numFmtId="0" fontId="3" fillId="0" borderId="0" pivotButton="0" quotePrefix="0" xfId="0"/>
    <xf numFmtId="0" fontId="19" fillId="3" borderId="0" pivotButton="0" quotePrefix="0" xfId="0"/>
    <xf numFmtId="0" fontId="0" fillId="3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4" fontId="6" fillId="0" borderId="1" applyAlignment="1" pivotButton="0" quotePrefix="0" xfId="0">
      <alignment horizontal="center"/>
    </xf>
    <xf numFmtId="164" fontId="3" fillId="0" borderId="1" applyAlignment="1" pivotButton="0" quotePrefix="0" xfId="0">
      <alignment horizontal="center"/>
    </xf>
    <xf numFmtId="165" fontId="3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166" fontId="4" fillId="0" borderId="0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7" fontId="4" fillId="0" borderId="0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68" fontId="4" fillId="0" borderId="0" applyAlignment="1" pivotButton="0" quotePrefix="0" xfId="0">
      <alignment horizontal="center"/>
    </xf>
    <xf numFmtId="168" fontId="3" fillId="0" borderId="0" applyAlignment="1" pivotButton="0" quotePrefix="0" xfId="0">
      <alignment horizontal="center"/>
    </xf>
    <xf numFmtId="0" fontId="7" fillId="0" borderId="0" pivotButton="0" quotePrefix="0" xfId="0"/>
    <xf numFmtId="167" fontId="3" fillId="0" borderId="2" pivotButton="0" quotePrefix="0" xfId="0"/>
    <xf numFmtId="167" fontId="4" fillId="0" borderId="0" pivotButton="0" quotePrefix="0" xfId="0"/>
    <xf numFmtId="167" fontId="4" fillId="0" borderId="3" pivotButton="0" quotePrefix="0" xfId="0"/>
    <xf numFmtId="166" fontId="3" fillId="0" borderId="2" pivotButton="0" quotePrefix="0" xfId="0"/>
    <xf numFmtId="166" fontId="4" fillId="0" borderId="0" pivotButton="0" quotePrefix="0" xfId="0"/>
    <xf numFmtId="166" fontId="4" fillId="0" borderId="3" pivotButton="0" quotePrefix="0" xfId="0"/>
    <xf numFmtId="0" fontId="3" fillId="0" borderId="2" pivotButton="0" quotePrefix="0" xfId="0"/>
    <xf numFmtId="0" fontId="8" fillId="0" borderId="0" pivotButton="0" quotePrefix="0" xfId="0"/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166" fontId="5" fillId="0" borderId="0" pivotButton="0" quotePrefix="0" xfId="0"/>
    <xf numFmtId="0" fontId="10" fillId="0" borderId="0" pivotButton="0" quotePrefix="0" xfId="0"/>
    <xf numFmtId="167" fontId="10" fillId="0" borderId="0" pivotButton="0" quotePrefix="0" xfId="0"/>
    <xf numFmtId="166" fontId="6" fillId="0" borderId="2" pivotButton="0" quotePrefix="0" xfId="0"/>
    <xf numFmtId="0" fontId="11" fillId="0" borderId="0" pivotButton="0" quotePrefix="0" xfId="0"/>
    <xf numFmtId="167" fontId="5" fillId="0" borderId="0" pivotButton="0" quotePrefix="0" xfId="0"/>
    <xf numFmtId="166" fontId="3" fillId="0" borderId="4" pivotButton="0" quotePrefix="0" xfId="0"/>
    <xf numFmtId="166" fontId="3" fillId="0" borderId="0" pivotButton="0" quotePrefix="0" xfId="0"/>
    <xf numFmtId="166" fontId="3" fillId="0" borderId="5" pivotButton="0" quotePrefix="0" xfId="0"/>
    <xf numFmtId="169" fontId="5" fillId="0" borderId="0" pivotButton="0" quotePrefix="0" xfId="0"/>
    <xf numFmtId="168" fontId="3" fillId="0" borderId="0" pivotButton="0" quotePrefix="0" xfId="0"/>
    <xf numFmtId="168" fontId="5" fillId="0" borderId="0" pivotButton="0" quotePrefix="0" xfId="0"/>
    <xf numFmtId="168" fontId="3" fillId="0" borderId="2" pivotButton="0" quotePrefix="0" xfId="0"/>
    <xf numFmtId="0" fontId="12" fillId="0" borderId="0" pivotButton="0" quotePrefix="0" xfId="0"/>
    <xf numFmtId="167" fontId="3" fillId="0" borderId="0" pivotButton="0" quotePrefix="0" xfId="0"/>
    <xf numFmtId="167" fontId="6" fillId="0" borderId="2" applyAlignment="1" pivotButton="0" quotePrefix="0" xfId="0">
      <alignment horizontal="center"/>
    </xf>
    <xf numFmtId="167" fontId="6" fillId="0" borderId="0" applyAlignment="1" pivotButton="0" quotePrefix="0" xfId="0">
      <alignment horizontal="center"/>
    </xf>
    <xf numFmtId="166" fontId="6" fillId="0" borderId="2" applyAlignment="1" pivotButton="0" quotePrefix="0" xfId="0">
      <alignment horizontal="center"/>
    </xf>
    <xf numFmtId="168" fontId="6" fillId="0" borderId="0" applyAlignment="1" pivotButton="0" quotePrefix="0" xfId="0">
      <alignment horizontal="center"/>
    </xf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Recognized Revenue vs EBIT ($M)</a:t>
            </a:r>
          </a:p>
        </rich>
      </tx>
    </title>
    <plotArea>
      <barChart>
        <barDir val="col"/>
        <grouping val="clustered"/>
        <ser>
          <idx val="0"/>
          <order val="0"/>
          <tx>
            <v>Revenue (gross)</v>
          </tx>
          <spPr>
            <a:solidFill>
              <a:srgbClr val="3271D2"/>
            </a:solidFill>
            <a:ln>
              <a:prstDash val="solid"/>
            </a:ln>
          </spPr>
          <cat>
            <numRef>
              <f>'04_PL'!$D$7:$K$7</f>
            </numRef>
          </cat>
          <val>
            <numRef>
              <f>'04_PL'!$D$9:$K$9</f>
            </numRef>
          </val>
        </ser>
        <ser>
          <idx val="1"/>
          <order val="1"/>
          <tx>
            <v>EBIT</v>
          </tx>
          <spPr>
            <a:solidFill>
              <a:srgbClr val="132E57"/>
            </a:solidFill>
            <a:ln>
              <a:prstDash val="solid"/>
            </a:ln>
          </spPr>
          <cat>
            <numRef>
              <f>'04_PL'!$D$7:$K$7</f>
            </numRef>
          </cat>
          <val>
            <numRef>
              <f>'04_PL'!$D$20:$K$20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Exit Run-Rate Path — gross vs equalized net ($M)</a:t>
            </a:r>
          </a:p>
        </rich>
      </tx>
    </title>
    <plotArea>
      <lineChart>
        <grouping val="standard"/>
        <ser>
          <idx val="0"/>
          <order val="0"/>
          <tx>
            <v>Gross run-rate</v>
          </tx>
          <spPr>
            <a:ln w="28000">
              <a:solidFill>
                <a:srgbClr val="3271D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'04_PL'!$D$7:$K$7</f>
            </numRef>
          </cat>
          <val>
            <numRef>
              <f>'02_Revenue'!$D$9:$K$9</f>
            </numRef>
          </val>
        </ser>
        <ser>
          <idx val="1"/>
          <order val="1"/>
          <tx>
            <v>Net (equalized)</v>
          </tx>
          <spPr>
            <a:ln w="20000">
              <a:solidFill>
                <a:srgbClr val="FA621C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'04_PL'!$D$7:$K$7</f>
            </numRef>
          </cat>
          <val>
            <numRef>
              <f>'02_Revenue'!$D$11:$K$11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558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24</row>
      <rowOff>0</rowOff>
    </from>
    <ext cx="558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C11:I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" customWidth="1" min="2" max="2"/>
    <col width="34" customWidth="1" min="3" max="3"/>
    <col width="12" customWidth="1" min="4" max="4"/>
    <col width="12" customWidth="1" min="5" max="5"/>
    <col width="3" customWidth="1" min="6" max="6"/>
    <col width="3" customWidth="1" min="7" max="7"/>
    <col width="46" customWidth="1" min="8" max="8"/>
    <col width="10" customWidth="1" min="9" max="9"/>
    <col width="3" customWidth="1" min="10" max="10"/>
  </cols>
  <sheetData>
    <row r="11">
      <c r="C11" s="1" t="inlineStr">
        <is>
          <t>Anthropic — Operating Model &amp; Valuation</t>
        </is>
      </c>
    </row>
    <row r="12">
      <c r="C12" s="2" t="inlineStr">
        <is>
          <t>Teaching build v1.0 · 2026-08-19 · data: anthropic-model/DATA_PACK.md · all facts tiered on 01_Data</t>
        </is>
      </c>
    </row>
    <row r="14">
      <c r="C14" s="3" t="inlineStr">
        <is>
          <t>Table of Contents</t>
        </is>
      </c>
      <c r="H14" s="3" t="inlineStr">
        <is>
          <t>Model Checks (0 = OK)</t>
        </is>
      </c>
    </row>
    <row r="16">
      <c r="C16" s="4" t="inlineStr">
        <is>
          <t>00_Assumptions — drivers, scenario switch, timeline</t>
        </is>
      </c>
      <c r="H16" s="2" t="inlineStr">
        <is>
          <t>Cumulative equity ties to $124.3B [CANONICAL]?</t>
        </is>
      </c>
      <c r="I16" s="5">
        <f>'05_Cash_Fund'!D27</f>
        <v/>
      </c>
    </row>
    <row r="17">
      <c r="C17" s="4" t="inlineStr">
        <is>
          <t>01_Data — facts only, tiered</t>
        </is>
      </c>
      <c r="H17" s="2" t="inlineStr">
        <is>
          <t>2026E recognized within run-rate bounds?</t>
        </is>
      </c>
      <c r="I17" s="5">
        <f>IF(AND('02_Revenue'!G17&gt;='02_Revenue'!F9,'02_Revenue'!G17&lt;='02_Revenue'!G9),0,1)</f>
        <v/>
      </c>
    </row>
    <row r="18">
      <c r="C18" s="4" t="inlineStr">
        <is>
          <t>02_Revenue — run-rate curve → recognized revenue</t>
        </is>
      </c>
      <c r="H18" s="2" t="inlineStr">
        <is>
          <t>Terminal &lt; 95% of operating EV (Gordon)?</t>
        </is>
      </c>
      <c r="I18" s="5">
        <f>IF('06_Valuation'!C42&lt;0.95,0,1)</f>
        <v/>
      </c>
    </row>
    <row r="19">
      <c r="C19" s="4" t="inlineStr">
        <is>
          <t>03_Costs — GM path, compute, opex</t>
        </is>
      </c>
      <c r="H19" s="2" t="inlineStr">
        <is>
          <t>P&amp;L identity: GP − opex − EBIT = 0 (2030E)?</t>
        </is>
      </c>
      <c r="I19" s="5">
        <f>'04_PL'!K11-'04_PL'!K18-'04_PL'!K20</f>
        <v/>
      </c>
    </row>
    <row r="20">
      <c r="C20" s="4" t="inlineStr">
        <is>
          <t>04_PL — dual-basis P&amp;L, NOL schedule</t>
        </is>
      </c>
      <c r="H20" s="2" t="inlineStr">
        <is>
          <t>Cash walk continuity (EoY30 = BoY23 + Σflows)?</t>
        </is>
      </c>
      <c r="I20" s="5">
        <f>'05_Cash_Fund'!K25-('05_Cash_Fund'!D24+SUM('05_Cash_Fund'!D21:K21)+SUM('05_Cash_Fund'!D22:K22)+SUM('05_Cash_Fund'!D13:K13))</f>
        <v/>
      </c>
    </row>
    <row r="21">
      <c r="C21" s="4" t="inlineStr">
        <is>
          <t>05_Cash_Fund — FCF, cash walk, capitalization</t>
        </is>
      </c>
    </row>
    <row r="22">
      <c r="C22" s="4" t="inlineStr">
        <is>
          <t>06_Valuation — marks ladder, comps, DCF</t>
        </is>
      </c>
    </row>
    <row r="23">
      <c r="C23" s="4" t="inlineStr">
        <is>
          <t>07_Sensitivity — r × g and multiple grids</t>
        </is>
      </c>
      <c r="H23" s="6" t="inlineStr">
        <is>
          <t>Colour Key</t>
        </is>
      </c>
    </row>
    <row r="24">
      <c r="C24" s="4" t="inlineStr">
        <is>
          <t>08_Output — dashboard &amp; charts</t>
        </is>
      </c>
      <c r="H24" s="7" t="inlineStr">
        <is>
          <t>Blue — hardcoded input (fact or belief)</t>
        </is>
      </c>
    </row>
    <row r="25">
      <c r="H25" s="2" t="inlineStr">
        <is>
          <t>Black — formula (logic only)</t>
        </is>
      </c>
    </row>
    <row r="26">
      <c r="H26" s="8" t="inlineStr">
        <is>
          <t>Orange — flagged: DISPUTED / VERIFY / STALE / rumor</t>
        </is>
      </c>
    </row>
    <row r="27">
      <c r="H27" s="9" t="inlineStr">
        <is>
          <t>Bold driver rows — active scenario (switch: 00_Assumptions!D7)</t>
        </is>
      </c>
    </row>
    <row r="31">
      <c r="C31" s="10" t="inlineStr">
        <is>
          <t>HYPD · Harrison Rolfes — educational estimate built from public/reported data; not investment advice.</t>
        </is>
      </c>
      <c r="D31" s="11" t="n"/>
      <c r="E31" s="11" t="n"/>
      <c r="F31" s="11" t="n"/>
      <c r="G31" s="11" t="n"/>
      <c r="H31" s="11" t="n"/>
      <c r="I31" s="1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  <col width="70" customWidth="1" min="13" max="13"/>
  </cols>
  <sheetData>
    <row r="3">
      <c r="A3" s="12" t="n"/>
      <c r="B3" s="13" t="inlineStr">
        <is>
          <t>Scenario Control &amp; Timeline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All figures in USD millions unless stated</t>
        </is>
      </c>
    </row>
    <row r="7">
      <c r="B7" s="9" t="inlineStr">
        <is>
          <t>Scenario Switch</t>
        </is>
      </c>
      <c r="D7" s="15" t="n">
        <v>2</v>
      </c>
      <c r="F7" s="14" t="inlineStr">
        <is>
          <t>1 = Bear · 2 = Base · 3 = Bull</t>
        </is>
      </c>
    </row>
    <row r="8">
      <c r="B8" s="9" t="inlineStr">
        <is>
          <t>Active Scenario</t>
        </is>
      </c>
      <c r="D8" s="16">
        <f>CHOOSE($D$7,"Bear","Base","Bull")</f>
        <v/>
      </c>
    </row>
    <row r="10">
      <c r="B10" s="9" t="inlineStr">
        <is>
          <t>Timeline (typed once — every tab links here)</t>
        </is>
      </c>
      <c r="D10" s="17" t="n">
        <v>2023</v>
      </c>
      <c r="E10" s="18">
        <f>D10+1</f>
        <v/>
      </c>
      <c r="F10" s="18">
        <f>E10+1</f>
        <v/>
      </c>
      <c r="G10" s="19">
        <f>F10+1</f>
        <v/>
      </c>
      <c r="H10" s="19">
        <f>G10+1</f>
        <v/>
      </c>
      <c r="I10" s="19">
        <f>H10+1</f>
        <v/>
      </c>
      <c r="J10" s="19">
        <f>I10+1</f>
        <v/>
      </c>
      <c r="K10" s="19">
        <f>J10+1</f>
        <v/>
      </c>
    </row>
    <row r="13">
      <c r="A13" s="12" t="n"/>
      <c r="B13" s="13" t="inlineStr">
        <is>
          <t>Scalar Drivers (one value per scenario)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5">
      <c r="D15" s="20" t="inlineStr">
        <is>
          <t>Bear</t>
        </is>
      </c>
      <c r="E15" s="20" t="inlineStr">
        <is>
          <t>Base</t>
        </is>
      </c>
      <c r="F15" s="20" t="inlineStr">
        <is>
          <t>Bull</t>
        </is>
      </c>
      <c r="G15" s="20" t="inlineStr">
        <is>
          <t>Active</t>
        </is>
      </c>
    </row>
    <row r="16">
      <c r="B16" s="2" t="inlineStr">
        <is>
          <t>2026E exit run-rate — gross ($M)</t>
        </is>
      </c>
      <c r="D16" s="21" t="n">
        <v>95000</v>
      </c>
      <c r="E16" s="21" t="n">
        <v>110000</v>
      </c>
      <c r="F16" s="21" t="n">
        <v>125000</v>
      </c>
      <c r="G16" s="22">
        <f>CHOOSE($D$7,D16,E16,F16)</f>
        <v/>
      </c>
    </row>
    <row r="17">
      <c r="B17" s="2" t="inlineStr">
        <is>
          <t>Discount rate</t>
        </is>
      </c>
      <c r="D17" s="23" t="n">
        <v>0.22</v>
      </c>
      <c r="E17" s="23" t="n">
        <v>0.18</v>
      </c>
      <c r="F17" s="23" t="n">
        <v>0.15</v>
      </c>
      <c r="G17" s="24">
        <f>CHOOSE($D$7,D17,E17,F17)</f>
        <v/>
      </c>
    </row>
    <row r="18">
      <c r="B18" s="2" t="inlineStr">
        <is>
          <t>Terminal growth (Gordon)</t>
        </is>
      </c>
      <c r="D18" s="23" t="n">
        <v>0.025</v>
      </c>
      <c r="E18" s="23" t="n">
        <v>0.03</v>
      </c>
      <c r="F18" s="23" t="n">
        <v>0.035</v>
      </c>
      <c r="G18" s="24">
        <f>CHOOSE($D$7,D18,E18,F18)</f>
        <v/>
      </c>
    </row>
    <row r="19">
      <c r="B19" s="2" t="inlineStr">
        <is>
          <t>Terminal exit multiple (x 2030E FCF)</t>
        </is>
      </c>
      <c r="D19" s="25" t="n">
        <v>14</v>
      </c>
      <c r="E19" s="25" t="n">
        <v>18</v>
      </c>
      <c r="F19" s="25" t="n">
        <v>22</v>
      </c>
      <c r="G19" s="26">
        <f>CHOOSE($D$7,D19,E19,F19)</f>
        <v/>
      </c>
    </row>
    <row r="21">
      <c r="B21" s="9" t="inlineStr">
        <is>
          <t>Constants (not scenario-flexed)</t>
        </is>
      </c>
    </row>
    <row r="22">
      <c r="B22" s="2" t="inlineStr">
        <is>
          <t>Equalization — net as % of gross (Ruling 5)</t>
        </is>
      </c>
      <c r="D22" s="23" t="n">
        <v>0.6025</v>
      </c>
      <c r="F22" s="27" t="inlineStr">
        <is>
          <t>1 − 39.75% (Ruling 5) · gate-verified on May-26 mix · mix-stability assumed at later prints (est.)</t>
        </is>
      </c>
    </row>
    <row r="23">
      <c r="B23" s="2" t="inlineStr">
        <is>
          <t>Tax rate (post-NOL)</t>
        </is>
      </c>
      <c r="D23" s="23" t="n">
        <v>0.18</v>
      </c>
      <c r="F23" s="27" t="inlineStr">
        <is>
          <t>blended fed+state, simplified</t>
        </is>
      </c>
    </row>
    <row r="24">
      <c r="B24" s="2" t="inlineStr">
        <is>
          <t>Interest rate on debt</t>
        </is>
      </c>
      <c r="D24" s="23" t="n">
        <v>0.065</v>
      </c>
      <c r="F24" s="27" t="inlineStr">
        <is>
          <t>chip bonds + revolver, blended (est.)</t>
        </is>
      </c>
    </row>
    <row r="25">
      <c r="B25" s="2" t="inlineStr">
        <is>
          <t>Yield on cash</t>
        </is>
      </c>
      <c r="D25" s="23" t="n">
        <v>0.04</v>
      </c>
      <c r="F25" s="27" t="inlineStr">
        <is>
          <t>T-bill proxy</t>
        </is>
      </c>
    </row>
    <row r="26">
      <c r="B26" s="2" t="inlineStr">
        <is>
          <t>Owned-infra capex (% of revenue)</t>
        </is>
      </c>
      <c r="D26" s="23" t="n">
        <v>0.015</v>
      </c>
      <c r="F26" s="27" t="inlineStr">
        <is>
          <t>most compute is opex/prepay, not capex</t>
        </is>
      </c>
    </row>
    <row r="29">
      <c r="A29" s="12" t="n"/>
      <c r="B29" s="13" t="inlineStr">
        <is>
          <t>Per-Year Drivers — forecast 2026E–2030E (bold row = active scenario)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D31" s="18">
        <f>'00_Assumptions'!D$10</f>
        <v/>
      </c>
      <c r="E31" s="18">
        <f>'00_Assumptions'!E$10</f>
        <v/>
      </c>
      <c r="F31" s="18">
        <f>'00_Assumptions'!F$10</f>
        <v/>
      </c>
      <c r="G31" s="19">
        <f>'00_Assumptions'!G$10</f>
        <v/>
      </c>
      <c r="H31" s="19">
        <f>'00_Assumptions'!H$10</f>
        <v/>
      </c>
      <c r="I31" s="19">
        <f>'00_Assumptions'!I$10</f>
        <v/>
      </c>
      <c r="J31" s="19">
        <f>'00_Assumptions'!J$10</f>
        <v/>
      </c>
      <c r="K31" s="19">
        <f>'00_Assumptions'!K$10</f>
        <v/>
      </c>
    </row>
    <row r="33">
      <c r="B33" s="9" t="inlineStr">
        <is>
          <t>Exit run-rate growth (YoY, 2027E on)</t>
        </is>
      </c>
      <c r="H33" s="28">
        <f>CHOOSE($D$7,H35,H36,H37)</f>
        <v/>
      </c>
      <c r="I33" s="28">
        <f>CHOOSE($D$7,I35,I36,I37)</f>
        <v/>
      </c>
      <c r="J33" s="28">
        <f>CHOOSE($D$7,J35,J36,J37)</f>
        <v/>
      </c>
      <c r="K33" s="28">
        <f>CHOOSE($D$7,K35,K36,K37)</f>
        <v/>
      </c>
    </row>
    <row r="35">
      <c r="B35" s="7" t="inlineStr">
        <is>
          <t>Bear</t>
        </is>
      </c>
      <c r="H35" s="29" t="n">
        <v>0.1</v>
      </c>
      <c r="I35" s="29" t="n">
        <v>0.05</v>
      </c>
      <c r="J35" s="29" t="n">
        <v>0.03</v>
      </c>
      <c r="K35" s="29" t="n">
        <v>0.02</v>
      </c>
    </row>
    <row r="36">
      <c r="B36" s="7" t="inlineStr">
        <is>
          <t>Base</t>
        </is>
      </c>
      <c r="H36" s="29" t="n">
        <v>0.5</v>
      </c>
      <c r="I36" s="29" t="n">
        <v>0.32</v>
      </c>
      <c r="J36" s="29" t="n">
        <v>0.22</v>
      </c>
      <c r="K36" s="29" t="n">
        <v>0.15</v>
      </c>
    </row>
    <row r="37">
      <c r="B37" s="7" t="inlineStr">
        <is>
          <t>Bull</t>
        </is>
      </c>
      <c r="H37" s="30" t="n">
        <v>0.8</v>
      </c>
      <c r="I37" s="30" t="n">
        <v>0.55</v>
      </c>
      <c r="J37" s="30" t="n">
        <v>0.4</v>
      </c>
      <c r="K37" s="30" t="n">
        <v>0.3</v>
      </c>
    </row>
    <row r="39">
      <c r="B39" s="9" t="inlineStr">
        <is>
          <t>Gross margin (gross-revenue basis)</t>
        </is>
      </c>
      <c r="G39" s="28">
        <f>CHOOSE($D$7,G41,G42,G43)</f>
        <v/>
      </c>
      <c r="H39" s="28">
        <f>CHOOSE($D$7,H41,H42,H43)</f>
        <v/>
      </c>
      <c r="I39" s="28">
        <f>CHOOSE($D$7,I41,I42,I43)</f>
        <v/>
      </c>
      <c r="J39" s="28">
        <f>CHOOSE($D$7,J41,J42,J43)</f>
        <v/>
      </c>
      <c r="K39" s="28">
        <f>CHOOSE($D$7,K41,K42,K43)</f>
        <v/>
      </c>
    </row>
    <row r="41">
      <c r="B41" s="7" t="inlineStr">
        <is>
          <t>Bear</t>
        </is>
      </c>
      <c r="G41" s="29" t="n">
        <v>0.46</v>
      </c>
      <c r="H41" s="29" t="n">
        <v>0.52</v>
      </c>
      <c r="I41" s="29" t="n">
        <v>0.6</v>
      </c>
      <c r="J41" s="29" t="n">
        <v>0.62</v>
      </c>
      <c r="K41" s="29" t="n">
        <v>0.63</v>
      </c>
    </row>
    <row r="42">
      <c r="B42" s="7" t="inlineStr">
        <is>
          <t>Base</t>
        </is>
      </c>
      <c r="G42" s="29" t="n">
        <v>0.52</v>
      </c>
      <c r="H42" s="29" t="n">
        <v>0.63</v>
      </c>
      <c r="I42" s="29" t="n">
        <v>0.77</v>
      </c>
      <c r="J42" s="29" t="n">
        <v>0.78</v>
      </c>
      <c r="K42" s="29" t="n">
        <v>0.8</v>
      </c>
    </row>
    <row r="43">
      <c r="B43" s="7" t="inlineStr">
        <is>
          <t>Bull</t>
        </is>
      </c>
      <c r="G43" s="30" t="n">
        <v>0.55</v>
      </c>
      <c r="H43" s="30" t="n">
        <v>0.67</v>
      </c>
      <c r="I43" s="30" t="n">
        <v>0.8</v>
      </c>
      <c r="J43" s="30" t="n">
        <v>0.8100000000000001</v>
      </c>
      <c r="K43" s="30" t="n">
        <v>0.82</v>
      </c>
    </row>
    <row r="45">
      <c r="B45" s="9" t="inlineStr">
        <is>
          <t>R&amp;D — training compute ($M)</t>
        </is>
      </c>
      <c r="G45" s="31">
        <f>CHOOSE($D$7,G47,G48,G49)</f>
        <v/>
      </c>
      <c r="H45" s="31">
        <f>CHOOSE($D$7,H47,H48,H49)</f>
        <v/>
      </c>
      <c r="I45" s="31">
        <f>CHOOSE($D$7,I47,I48,I49)</f>
        <v/>
      </c>
      <c r="J45" s="31">
        <f>CHOOSE($D$7,J47,J48,J49)</f>
        <v/>
      </c>
      <c r="K45" s="31">
        <f>CHOOSE($D$7,K47,K48,K49)</f>
        <v/>
      </c>
    </row>
    <row r="47">
      <c r="B47" s="7" t="inlineStr">
        <is>
          <t>Bear</t>
        </is>
      </c>
      <c r="G47" s="32" t="n">
        <v>11000</v>
      </c>
      <c r="H47" s="32" t="n">
        <v>14000</v>
      </c>
      <c r="I47" s="32" t="n">
        <v>16000</v>
      </c>
      <c r="J47" s="32" t="n">
        <v>18000</v>
      </c>
      <c r="K47" s="32" t="n">
        <v>20000</v>
      </c>
    </row>
    <row r="48">
      <c r="B48" s="7" t="inlineStr">
        <is>
          <t>Base</t>
        </is>
      </c>
      <c r="G48" s="32" t="n">
        <v>13000</v>
      </c>
      <c r="H48" s="32" t="n">
        <v>22000</v>
      </c>
      <c r="I48" s="32" t="n">
        <v>30000</v>
      </c>
      <c r="J48" s="32" t="n">
        <v>38000</v>
      </c>
      <c r="K48" s="32" t="n">
        <v>45000</v>
      </c>
    </row>
    <row r="49">
      <c r="B49" s="7" t="inlineStr">
        <is>
          <t>Bull</t>
        </is>
      </c>
      <c r="G49" s="33" t="n">
        <v>15000</v>
      </c>
      <c r="H49" s="33" t="n">
        <v>28000</v>
      </c>
      <c r="I49" s="33" t="n">
        <v>40000</v>
      </c>
      <c r="J49" s="33" t="n">
        <v>52000</v>
      </c>
      <c r="K49" s="33" t="n">
        <v>65000</v>
      </c>
    </row>
    <row r="51">
      <c r="B51" s="9" t="inlineStr">
        <is>
          <t>R&amp;D — people &amp; other ($M)</t>
        </is>
      </c>
      <c r="G51" s="31">
        <f>CHOOSE($D$7,G53,G54,G55)</f>
        <v/>
      </c>
      <c r="H51" s="31">
        <f>CHOOSE($D$7,H53,H54,H55)</f>
        <v/>
      </c>
      <c r="I51" s="31">
        <f>CHOOSE($D$7,I53,I54,I55)</f>
        <v/>
      </c>
      <c r="J51" s="31">
        <f>CHOOSE($D$7,J53,J54,J55)</f>
        <v/>
      </c>
      <c r="K51" s="31">
        <f>CHOOSE($D$7,K53,K54,K55)</f>
        <v/>
      </c>
    </row>
    <row r="53">
      <c r="B53" s="7" t="inlineStr">
        <is>
          <t>Bear</t>
        </is>
      </c>
      <c r="G53" s="32" t="n">
        <v>2800</v>
      </c>
      <c r="H53" s="32" t="n">
        <v>4000</v>
      </c>
      <c r="I53" s="32" t="n">
        <v>5500</v>
      </c>
      <c r="J53" s="32" t="n">
        <v>7000</v>
      </c>
      <c r="K53" s="32" t="n">
        <v>8500</v>
      </c>
    </row>
    <row r="54">
      <c r="B54" s="7" t="inlineStr">
        <is>
          <t>Base</t>
        </is>
      </c>
      <c r="G54" s="32" t="n">
        <v>3000</v>
      </c>
      <c r="H54" s="32" t="n">
        <v>5000</v>
      </c>
      <c r="I54" s="32" t="n">
        <v>7000</v>
      </c>
      <c r="J54" s="32" t="n">
        <v>9000</v>
      </c>
      <c r="K54" s="32" t="n">
        <v>11000</v>
      </c>
    </row>
    <row r="55">
      <c r="B55" s="7" t="inlineStr">
        <is>
          <t>Bull</t>
        </is>
      </c>
      <c r="G55" s="33" t="n">
        <v>3200</v>
      </c>
      <c r="H55" s="33" t="n">
        <v>6000</v>
      </c>
      <c r="I55" s="33" t="n">
        <v>8500</v>
      </c>
      <c r="J55" s="33" t="n">
        <v>11000</v>
      </c>
      <c r="K55" s="33" t="n">
        <v>13500</v>
      </c>
    </row>
    <row r="57">
      <c r="B57" s="9" t="inlineStr">
        <is>
          <t>S&amp;M (% of revenue)</t>
        </is>
      </c>
      <c r="G57" s="28">
        <f>CHOOSE($D$7,G59,G60,G61)</f>
        <v/>
      </c>
      <c r="H57" s="28">
        <f>CHOOSE($D$7,H59,H60,H61)</f>
        <v/>
      </c>
      <c r="I57" s="28">
        <f>CHOOSE($D$7,I59,I60,I61)</f>
        <v/>
      </c>
      <c r="J57" s="28">
        <f>CHOOSE($D$7,J59,J60,J61)</f>
        <v/>
      </c>
      <c r="K57" s="28">
        <f>CHOOSE($D$7,K59,K60,K61)</f>
        <v/>
      </c>
    </row>
    <row r="59">
      <c r="B59" s="7" t="inlineStr">
        <is>
          <t>Bear</t>
        </is>
      </c>
      <c r="G59" s="29" t="n">
        <v>0.09</v>
      </c>
      <c r="H59" s="29" t="n">
        <v>0.08</v>
      </c>
      <c r="I59" s="29" t="n">
        <v>0.07000000000000001</v>
      </c>
      <c r="J59" s="29" t="n">
        <v>0.065</v>
      </c>
      <c r="K59" s="29" t="n">
        <v>0.06</v>
      </c>
    </row>
    <row r="60">
      <c r="B60" s="7" t="inlineStr">
        <is>
          <t>Base</t>
        </is>
      </c>
      <c r="G60" s="29" t="n">
        <v>0.08</v>
      </c>
      <c r="H60" s="29" t="n">
        <v>0.07000000000000001</v>
      </c>
      <c r="I60" s="29" t="n">
        <v>0.06</v>
      </c>
      <c r="J60" s="29" t="n">
        <v>0.055</v>
      </c>
      <c r="K60" s="29" t="n">
        <v>0.05</v>
      </c>
    </row>
    <row r="61">
      <c r="B61" s="7" t="inlineStr">
        <is>
          <t>Bull</t>
        </is>
      </c>
      <c r="G61" s="30" t="n">
        <v>0.07000000000000001</v>
      </c>
      <c r="H61" s="30" t="n">
        <v>0.06</v>
      </c>
      <c r="I61" s="30" t="n">
        <v>0.05</v>
      </c>
      <c r="J61" s="30" t="n">
        <v>0.045</v>
      </c>
      <c r="K61" s="30" t="n">
        <v>0.04</v>
      </c>
    </row>
    <row r="63">
      <c r="B63" s="9" t="inlineStr">
        <is>
          <t>G&amp;A (% of revenue)</t>
        </is>
      </c>
      <c r="G63" s="28">
        <f>CHOOSE($D$7,G65,G66,G67)</f>
        <v/>
      </c>
      <c r="H63" s="28">
        <f>CHOOSE($D$7,H65,H66,H67)</f>
        <v/>
      </c>
      <c r="I63" s="28">
        <f>CHOOSE($D$7,I65,I66,I67)</f>
        <v/>
      </c>
      <c r="J63" s="28">
        <f>CHOOSE($D$7,J65,J66,J67)</f>
        <v/>
      </c>
      <c r="K63" s="28">
        <f>CHOOSE($D$7,K65,K66,K67)</f>
        <v/>
      </c>
    </row>
    <row r="65">
      <c r="B65" s="7" t="inlineStr">
        <is>
          <t>Bear</t>
        </is>
      </c>
      <c r="G65" s="29" t="n">
        <v>0.035</v>
      </c>
      <c r="H65" s="29" t="n">
        <v>0.03</v>
      </c>
      <c r="I65" s="29" t="n">
        <v>0.025</v>
      </c>
      <c r="J65" s="29" t="n">
        <v>0.025</v>
      </c>
      <c r="K65" s="29" t="n">
        <v>0.025</v>
      </c>
    </row>
    <row r="66">
      <c r="B66" s="7" t="inlineStr">
        <is>
          <t>Base</t>
        </is>
      </c>
      <c r="G66" s="29" t="n">
        <v>0.03</v>
      </c>
      <c r="H66" s="29" t="n">
        <v>0.025</v>
      </c>
      <c r="I66" s="29" t="n">
        <v>0.02</v>
      </c>
      <c r="J66" s="29" t="n">
        <v>0.02</v>
      </c>
      <c r="K66" s="29" t="n">
        <v>0.02</v>
      </c>
    </row>
    <row r="67">
      <c r="B67" s="7" t="inlineStr">
        <is>
          <t>Bull</t>
        </is>
      </c>
      <c r="G67" s="30" t="n">
        <v>0.03</v>
      </c>
      <c r="H67" s="30" t="n">
        <v>0.025</v>
      </c>
      <c r="I67" s="30" t="n">
        <v>0.02</v>
      </c>
      <c r="J67" s="30" t="n">
        <v>0.018</v>
      </c>
      <c r="K67" s="30" t="n">
        <v>0.015</v>
      </c>
    </row>
    <row r="69">
      <c r="B69" s="9" t="inlineStr">
        <is>
          <t>Prepaid compute &amp; WC build (% of revenue)</t>
        </is>
      </c>
      <c r="G69" s="28">
        <f>CHOOSE($D$7,G71,G72,G73)</f>
        <v/>
      </c>
      <c r="H69" s="28">
        <f>CHOOSE($D$7,H71,H72,H73)</f>
        <v/>
      </c>
      <c r="I69" s="28">
        <f>CHOOSE($D$7,I71,I72,I73)</f>
        <v/>
      </c>
      <c r="J69" s="28">
        <f>CHOOSE($D$7,J71,J72,J73)</f>
        <v/>
      </c>
      <c r="K69" s="28">
        <f>CHOOSE($D$7,K71,K72,K73)</f>
        <v/>
      </c>
    </row>
    <row r="71">
      <c r="B71" s="7" t="inlineStr">
        <is>
          <t>Bear</t>
        </is>
      </c>
      <c r="G71" s="29" t="n">
        <v>0.12</v>
      </c>
      <c r="H71" s="29" t="n">
        <v>0.07000000000000001</v>
      </c>
      <c r="I71" s="29" t="n">
        <v>0.05</v>
      </c>
      <c r="J71" s="29" t="n">
        <v>0.045</v>
      </c>
      <c r="K71" s="29" t="n">
        <v>0.04</v>
      </c>
    </row>
    <row r="72">
      <c r="B72" s="7" t="inlineStr">
        <is>
          <t>Base</t>
        </is>
      </c>
      <c r="G72" s="29" t="n">
        <v>0.1</v>
      </c>
      <c r="H72" s="29" t="n">
        <v>0.05</v>
      </c>
      <c r="I72" s="29" t="n">
        <v>0.04</v>
      </c>
      <c r="J72" s="29" t="n">
        <v>0.035</v>
      </c>
      <c r="K72" s="29" t="n">
        <v>0.03</v>
      </c>
    </row>
    <row r="73">
      <c r="B73" s="7" t="inlineStr">
        <is>
          <t>Bull</t>
        </is>
      </c>
      <c r="G73" s="30" t="n">
        <v>0.08</v>
      </c>
      <c r="H73" s="30" t="n">
        <v>0.04</v>
      </c>
      <c r="I73" s="30" t="n">
        <v>0.03</v>
      </c>
      <c r="J73" s="30" t="n">
        <v>0.025</v>
      </c>
      <c r="K73" s="30" t="n">
        <v>0.02</v>
      </c>
    </row>
    <row r="75">
      <c r="B75" s="14" t="inlineStr">
        <is>
          <t>Base margin path 2027E 63% / 2028E 77% = company plan (T3, The Information). Blue = input · Black = formula · Bold driver row = active scenario via CHOOSE on D7.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3:L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34" customWidth="1" min="2" max="2"/>
    <col width="13" customWidth="1" min="3" max="3"/>
    <col width="8" customWidth="1" min="4" max="4"/>
    <col width="12" customWidth="1" min="5" max="5"/>
    <col width="26" customWidth="1" min="6" max="6"/>
    <col width="6" customWidth="1" min="7" max="7"/>
    <col width="18" customWidth="1" min="8" max="8"/>
    <col width="34" customWidth="1" min="9" max="9"/>
  </cols>
  <sheetData>
    <row r="3">
      <c r="A3" s="12" t="n"/>
      <c r="B3" s="13" t="inlineStr">
        <is>
          <t>Funding &amp; Marks (STABLE decay) — PB re-pulled 2026-08-19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34" t="inlineStr">
        <is>
          <t>Metric / Event</t>
        </is>
      </c>
      <c r="C5" s="34" t="inlineStr">
        <is>
          <t>Value</t>
        </is>
      </c>
      <c r="D5" s="34" t="inlineStr">
        <is>
          <t>Units</t>
        </is>
      </c>
      <c r="E5" s="34" t="inlineStr">
        <is>
          <t>As-of</t>
        </is>
      </c>
      <c r="F5" s="34" t="inlineStr">
        <is>
          <t>Basis / Round</t>
        </is>
      </c>
      <c r="G5" s="34" t="inlineStr">
        <is>
          <t>Tier</t>
        </is>
      </c>
      <c r="H5" s="34" t="inlineStr">
        <is>
          <t>Tag</t>
        </is>
      </c>
      <c r="I5" s="34" t="inlineStr">
        <is>
          <t>Source</t>
        </is>
      </c>
    </row>
    <row r="6">
      <c r="B6" s="2" t="inlineStr">
        <is>
          <t>Series A</t>
        </is>
      </c>
      <c r="C6" s="32" t="n">
        <v>124</v>
      </c>
      <c r="D6" s="35" t="inlineStr">
        <is>
          <t>$M</t>
        </is>
      </c>
      <c r="E6" s="35" t="inlineStr">
        <is>
          <t>2021-05-28</t>
        </is>
      </c>
      <c r="F6" s="35" t="inlineStr">
        <is>
          <t>post $461M</t>
        </is>
      </c>
      <c r="G6" s="36" t="inlineStr">
        <is>
          <t>T2</t>
        </is>
      </c>
      <c r="H6" s="35" t="inlineStr">
        <is>
          <t>CANONICAL</t>
        </is>
      </c>
      <c r="I6" s="35" t="inlineStr">
        <is>
          <t>PitchBook</t>
        </is>
      </c>
    </row>
    <row r="7">
      <c r="B7" s="2" t="inlineStr">
        <is>
          <t>Series D (Menlo)</t>
        </is>
      </c>
      <c r="C7" s="32" t="n">
        <v>1200</v>
      </c>
      <c r="D7" s="35" t="inlineStr">
        <is>
          <t>$M</t>
        </is>
      </c>
      <c r="E7" s="35" t="inlineStr">
        <is>
          <t>2024-07-01</t>
        </is>
      </c>
      <c r="F7" s="35" t="inlineStr">
        <is>
          <t>$19.8B pre → $21B post</t>
        </is>
      </c>
      <c r="G7" s="36" t="inlineStr">
        <is>
          <t>T2</t>
        </is>
      </c>
      <c r="H7" s="35" t="inlineStr">
        <is>
          <t>CANONICAL</t>
        </is>
      </c>
      <c r="I7" s="35" t="inlineStr">
        <is>
          <t>PitchBook</t>
        </is>
      </c>
    </row>
    <row r="8">
      <c r="B8" s="2" t="inlineStr">
        <is>
          <t>Amazon round</t>
        </is>
      </c>
      <c r="C8" s="32" t="n">
        <v>8000</v>
      </c>
      <c r="D8" s="35" t="inlineStr">
        <is>
          <t>$M</t>
        </is>
      </c>
      <c r="E8" s="35" t="inlineStr">
        <is>
          <t>2024-11-22</t>
        </is>
      </c>
      <c r="F8" s="35" t="inlineStr">
        <is>
          <t>$46B pre · $1.3B conv.</t>
        </is>
      </c>
      <c r="G8" s="36" t="inlineStr">
        <is>
          <t>T2</t>
        </is>
      </c>
      <c r="H8" s="35" t="inlineStr">
        <is>
          <t>CANONICAL</t>
        </is>
      </c>
      <c r="I8" s="35" t="inlineStr">
        <is>
          <t>PitchBook</t>
        </is>
      </c>
    </row>
    <row r="9">
      <c r="B9" s="2" t="inlineStr">
        <is>
          <t>Series E (Lightspeed)</t>
        </is>
      </c>
      <c r="C9" s="32" t="n">
        <v>3500</v>
      </c>
      <c r="D9" s="35" t="inlineStr">
        <is>
          <t>$M</t>
        </is>
      </c>
      <c r="E9" s="35" t="inlineStr">
        <is>
          <t>2025-03-03</t>
        </is>
      </c>
      <c r="F9" s="35" t="inlineStr">
        <is>
          <t>$58B pre → $61.5B post</t>
        </is>
      </c>
      <c r="G9" s="36" t="inlineStr">
        <is>
          <t>T2</t>
        </is>
      </c>
      <c r="H9" s="35" t="inlineStr">
        <is>
          <t>CANONICAL</t>
        </is>
      </c>
      <c r="I9" s="35" t="inlineStr">
        <is>
          <t>PitchBook</t>
        </is>
      </c>
    </row>
    <row r="10">
      <c r="B10" s="2" t="inlineStr">
        <is>
          <t>Revolver (debt)</t>
        </is>
      </c>
      <c r="C10" s="32" t="n">
        <v>2500</v>
      </c>
      <c r="D10" s="35" t="inlineStr">
        <is>
          <t>$M</t>
        </is>
      </c>
      <c r="E10" s="35" t="inlineStr">
        <is>
          <t>2025-05-16</t>
        </is>
      </c>
      <c r="F10" s="35" t="inlineStr">
        <is>
          <t>debt facility</t>
        </is>
      </c>
      <c r="G10" s="36" t="inlineStr">
        <is>
          <t>T2</t>
        </is>
      </c>
      <c r="H10" s="35" t="inlineStr">
        <is>
          <t>CANONICAL</t>
        </is>
      </c>
      <c r="I10" s="35" t="inlineStr">
        <is>
          <t>PB 295197-04T</t>
        </is>
      </c>
    </row>
    <row r="11">
      <c r="B11" s="2" t="inlineStr">
        <is>
          <t>Series F (Lightspeed/Fidelity/ICONIQ)</t>
        </is>
      </c>
      <c r="C11" s="32" t="n">
        <v>13000</v>
      </c>
      <c r="D11" s="35" t="inlineStr">
        <is>
          <t>$M</t>
        </is>
      </c>
      <c r="E11" s="35" t="inlineStr">
        <is>
          <t>2025-09-02</t>
        </is>
      </c>
      <c r="F11" s="35" t="inlineStr">
        <is>
          <t>$170B pre → $183B post</t>
        </is>
      </c>
      <c r="G11" s="36" t="inlineStr">
        <is>
          <t>T2</t>
        </is>
      </c>
      <c r="H11" s="35" t="inlineStr">
        <is>
          <t>CANONICAL</t>
        </is>
      </c>
      <c r="I11" s="35" t="inlineStr">
        <is>
          <t>PitchBook</t>
        </is>
      </c>
    </row>
    <row r="12">
      <c r="B12" s="2" t="inlineStr">
        <is>
          <t>Series G (Coatue/GIC/ICONIQ e.a.)</t>
        </is>
      </c>
      <c r="C12" s="32" t="n">
        <v>30000</v>
      </c>
      <c r="D12" s="35" t="inlineStr">
        <is>
          <t>$M</t>
        </is>
      </c>
      <c r="E12" s="35" t="inlineStr">
        <is>
          <t>2026-02-12</t>
        </is>
      </c>
      <c r="F12" s="35" t="inlineStr">
        <is>
          <t>$350B pre → $380B post</t>
        </is>
      </c>
      <c r="G12" s="36" t="inlineStr">
        <is>
          <t>T2</t>
        </is>
      </c>
      <c r="H12" s="35" t="inlineStr">
        <is>
          <t>CANONICAL</t>
        </is>
      </c>
      <c r="I12" s="35" t="inlineStr">
        <is>
          <t>PitchBook</t>
        </is>
      </c>
    </row>
    <row r="13">
      <c r="B13" s="2" t="inlineStr">
        <is>
          <t>Series H (Dragoneer/Sequoia e.a.)</t>
        </is>
      </c>
      <c r="C13" s="32" t="n">
        <v>65000</v>
      </c>
      <c r="D13" s="35" t="inlineStr">
        <is>
          <t>$M</t>
        </is>
      </c>
      <c r="E13" s="35" t="inlineStr">
        <is>
          <t>2026-05-28</t>
        </is>
      </c>
      <c r="F13" s="35" t="inlineStr">
        <is>
          <t>$900B pre → $965B post · $589.0095/sh</t>
        </is>
      </c>
      <c r="G13" s="36" t="inlineStr">
        <is>
          <t>T2</t>
        </is>
      </c>
      <c r="H13" s="35" t="inlineStr">
        <is>
          <t>CANONICAL</t>
        </is>
      </c>
      <c r="I13" s="35" t="inlineStr">
        <is>
          <t>PB 329489-02T</t>
        </is>
      </c>
    </row>
    <row r="14">
      <c r="B14" s="2" t="inlineStr">
        <is>
          <t>Chip bonds (debt)</t>
        </is>
      </c>
      <c r="C14" s="32" t="n">
        <v>34500</v>
      </c>
      <c r="D14" s="35" t="inlineStr">
        <is>
          <t>$M</t>
        </is>
      </c>
      <c r="E14" s="35" t="inlineStr">
        <is>
          <t>2026-06-09</t>
        </is>
      </c>
      <c r="F14" s="35" t="inlineStr">
        <is>
          <t>$6.0B SP / $24.0B 1L / $4.5B 2L · Alphabet chips</t>
        </is>
      </c>
      <c r="G14" s="36" t="inlineStr">
        <is>
          <t>T2</t>
        </is>
      </c>
      <c r="H14" s="35" t="inlineStr">
        <is>
          <t>CANONICAL</t>
        </is>
      </c>
      <c r="I14" s="35" t="inlineStr">
        <is>
          <t>PB 334763-02T</t>
        </is>
      </c>
    </row>
    <row r="15">
      <c r="B15" s="2" t="inlineStr">
        <is>
          <t>Total equity raised</t>
        </is>
      </c>
      <c r="C15" s="32" t="n">
        <v>124300</v>
      </c>
      <c r="D15" s="35" t="inlineStr">
        <is>
          <t>$M</t>
        </is>
      </c>
      <c r="E15" s="35" t="inlineStr">
        <is>
          <t>2026-07-02</t>
        </is>
      </c>
      <c r="F15" s="35" t="inlineStr">
        <is>
          <t>equity-only (Ruling 1)</t>
        </is>
      </c>
      <c r="G15" s="36" t="inlineStr">
        <is>
          <t>T2</t>
        </is>
      </c>
      <c r="H15" s="35" t="inlineStr">
        <is>
          <t>CANONICAL</t>
        </is>
      </c>
      <c r="I15" s="35" t="inlineStr">
        <is>
          <t>project-context v3.4 · PB tie</t>
        </is>
      </c>
    </row>
    <row r="16">
      <c r="B16" s="2" t="inlineStr">
        <is>
          <t>Total debt</t>
        </is>
      </c>
      <c r="C16" s="32" t="n">
        <v>37000</v>
      </c>
      <c r="D16" s="35" t="inlineStr">
        <is>
          <t>$M</t>
        </is>
      </c>
      <c r="E16" s="35" t="inlineStr">
        <is>
          <t>2026-07-02</t>
        </is>
      </c>
      <c r="F16" s="35" t="inlineStr">
        <is>
          <t>bonds + revolver</t>
        </is>
      </c>
      <c r="G16" s="36" t="inlineStr">
        <is>
          <t>T2</t>
        </is>
      </c>
      <c r="H16" s="35" t="inlineStr">
        <is>
          <t>CANONICAL</t>
        </is>
      </c>
      <c r="I16" s="35" t="inlineStr">
        <is>
          <t>project-context v3.4</t>
        </is>
      </c>
    </row>
    <row r="17">
      <c r="B17" s="2" t="inlineStr">
        <is>
          <t>Total raised (PB)</t>
        </is>
      </c>
      <c r="C17" s="32" t="n">
        <v>161254</v>
      </c>
      <c r="D17" s="35" t="inlineStr">
        <is>
          <t>$M</t>
        </is>
      </c>
      <c r="E17" s="35" t="inlineStr">
        <is>
          <t>2026-08-18</t>
        </is>
      </c>
      <c r="F17" s="35" t="inlineStr">
        <is>
          <t>equity + debt</t>
        </is>
      </c>
      <c r="G17" s="36" t="inlineStr">
        <is>
          <t>T2</t>
        </is>
      </c>
      <c r="H17" s="35" t="inlineStr">
        <is>
          <t>CANONICAL</t>
        </is>
      </c>
      <c r="I17" s="35" t="inlineStr">
        <is>
          <t>PB profile 466959-97</t>
        </is>
      </c>
    </row>
    <row r="19">
      <c r="A19" s="12" t="n"/>
      <c r="B19" s="13" t="inlineStr">
        <is>
          <t>Run-Rate Curve (VOLATILE decay) — annualized, GROSS basis</t>
        </is>
      </c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</row>
    <row r="21">
      <c r="B21" s="34" t="inlineStr">
        <is>
          <t>Metric / Event</t>
        </is>
      </c>
      <c r="C21" s="34" t="inlineStr">
        <is>
          <t>Value</t>
        </is>
      </c>
      <c r="D21" s="34" t="inlineStr">
        <is>
          <t>Units</t>
        </is>
      </c>
      <c r="E21" s="34" t="inlineStr">
        <is>
          <t>As-of</t>
        </is>
      </c>
      <c r="F21" s="34" t="inlineStr">
        <is>
          <t>Basis / Round</t>
        </is>
      </c>
      <c r="G21" s="34" t="inlineStr">
        <is>
          <t>Tier</t>
        </is>
      </c>
      <c r="H21" s="34" t="inlineStr">
        <is>
          <t>Tag</t>
        </is>
      </c>
      <c r="I21" s="34" t="inlineStr">
        <is>
          <t>Source</t>
        </is>
      </c>
    </row>
    <row r="22">
      <c r="B22" s="2" t="inlineStr">
        <is>
          <t>Run-rate — Dec 2024</t>
        </is>
      </c>
      <c r="C22" s="32" t="n">
        <v>1000</v>
      </c>
      <c r="D22" s="35" t="inlineStr">
        <is>
          <t>$M</t>
        </is>
      </c>
      <c r="E22" s="35" t="inlineStr">
        <is>
          <t>2024-12</t>
        </is>
      </c>
      <c r="F22" s="35" t="inlineStr">
        <is>
          <t>exit run-rate</t>
        </is>
      </c>
      <c r="G22" s="36" t="inlineStr">
        <is>
          <t>T2</t>
        </is>
      </c>
      <c r="H22" s="35" t="inlineStr">
        <is>
          <t>CANONICAL</t>
        </is>
      </c>
      <c r="I22" s="35" t="inlineStr">
        <is>
          <t>multi-outlet</t>
        </is>
      </c>
    </row>
    <row r="23">
      <c r="B23" s="2" t="inlineStr">
        <is>
          <t>Run-rate — Jul 2025</t>
        </is>
      </c>
      <c r="C23" s="32" t="n">
        <v>4000</v>
      </c>
      <c r="D23" s="35" t="inlineStr">
        <is>
          <t>$M</t>
        </is>
      </c>
      <c r="E23" s="35" t="inlineStr">
        <is>
          <t>2025-07</t>
        </is>
      </c>
      <c r="F23" s="35" t="inlineStr">
        <is>
          <t>run-rate</t>
        </is>
      </c>
      <c r="G23" s="36" t="inlineStr">
        <is>
          <t>T2/T3</t>
        </is>
      </c>
      <c r="H23" s="35" t="inlineStr">
        <is>
          <t>est.</t>
        </is>
      </c>
      <c r="I23" s="35" t="inlineStr">
        <is>
          <t>press</t>
        </is>
      </c>
    </row>
    <row r="24">
      <c r="B24" s="2" t="inlineStr">
        <is>
          <t>Run-rate — Dec 2025</t>
        </is>
      </c>
      <c r="C24" s="32" t="n">
        <v>9000</v>
      </c>
      <c r="D24" s="35" t="inlineStr">
        <is>
          <t>$M</t>
        </is>
      </c>
      <c r="E24" s="35" t="inlineStr">
        <is>
          <t>2025-12</t>
        </is>
      </c>
      <c r="F24" s="35" t="inlineStr">
        <is>
          <t>exit run-rate</t>
        </is>
      </c>
      <c r="G24" s="36" t="inlineStr">
        <is>
          <t>T2</t>
        </is>
      </c>
      <c r="H24" s="35" t="inlineStr">
        <is>
          <t>CANONICAL</t>
        </is>
      </c>
      <c r="I24" s="35" t="inlineStr">
        <is>
          <t>multi-outlet · PB FY25 field</t>
        </is>
      </c>
    </row>
    <row r="25">
      <c r="B25" s="2" t="inlineStr">
        <is>
          <t>Run-rate — Feb 2026</t>
        </is>
      </c>
      <c r="C25" s="32" t="n">
        <v>14000</v>
      </c>
      <c r="D25" s="35" t="inlineStr">
        <is>
          <t>$M</t>
        </is>
      </c>
      <c r="E25" s="35" t="inlineStr">
        <is>
          <t>2026-02</t>
        </is>
      </c>
      <c r="F25" s="35" t="inlineStr">
        <is>
          <t>run-rate</t>
        </is>
      </c>
      <c r="G25" s="36" t="inlineStr">
        <is>
          <t>T3</t>
        </is>
      </c>
      <c r="H25" s="35" t="inlineStr">
        <is>
          <t>est.</t>
        </is>
      </c>
      <c r="I25" s="35" t="inlineStr">
        <is>
          <t>press</t>
        </is>
      </c>
    </row>
    <row r="26">
      <c r="B26" s="2" t="inlineStr">
        <is>
          <t>Run-rate — ~Apr 2026</t>
        </is>
      </c>
      <c r="C26" s="32" t="n">
        <v>30000</v>
      </c>
      <c r="D26" s="35" t="inlineStr">
        <is>
          <t>$M</t>
        </is>
      </c>
      <c r="E26" s="35" t="inlineStr">
        <is>
          <t>2026-04</t>
        </is>
      </c>
      <c r="F26" s="35" t="inlineStr">
        <is>
          <t>run-rate ('80x growth')</t>
        </is>
      </c>
      <c r="G26" s="36" t="inlineStr">
        <is>
          <t>T2</t>
        </is>
      </c>
      <c r="H26" s="37" t="inlineStr">
        <is>
          <t>VERIFY date</t>
        </is>
      </c>
      <c r="I26" s="35" t="inlineStr">
        <is>
          <t>VentureBeat/company</t>
        </is>
      </c>
    </row>
    <row r="27">
      <c r="B27" s="2" t="inlineStr">
        <is>
          <t>Run-rate — May 2026</t>
        </is>
      </c>
      <c r="C27" s="32" t="n">
        <v>47000</v>
      </c>
      <c r="D27" s="35" t="inlineStr">
        <is>
          <t>$M</t>
        </is>
      </c>
      <c r="E27" s="35" t="inlineStr">
        <is>
          <t>2026-05</t>
        </is>
      </c>
      <c r="F27" s="35" t="inlineStr">
        <is>
          <t>run-rate (prior canonical)</t>
        </is>
      </c>
      <c r="G27" s="36" t="inlineStr">
        <is>
          <t>T2</t>
        </is>
      </c>
      <c r="H27" s="35" t="inlineStr">
        <is>
          <t>CANONICAL</t>
        </is>
      </c>
      <c r="I27" s="35" t="inlineStr">
        <is>
          <t>company</t>
        </is>
      </c>
    </row>
    <row r="28">
      <c r="B28" s="2" t="inlineStr">
        <is>
          <t>Run-rate — end-Jul 2026</t>
        </is>
      </c>
      <c r="C28" s="32" t="n">
        <v>65000</v>
      </c>
      <c r="D28" s="35" t="inlineStr">
        <is>
          <t>$M</t>
        </is>
      </c>
      <c r="E28" s="35" t="inlineStr">
        <is>
          <t>2026-08-17</t>
        </is>
      </c>
      <c r="F28" s="35" t="inlineStr">
        <is>
          <t>run-rate, company-to-investors</t>
        </is>
      </c>
      <c r="G28" s="36" t="inlineStr">
        <is>
          <t>T2</t>
        </is>
      </c>
      <c r="H28" s="35" t="inlineStr">
        <is>
          <t>PROPOSED CANONICAL</t>
        </is>
      </c>
      <c r="I28" s="35" t="inlineStr">
        <is>
          <t>CNBC·Bloomberg·Fortune·TechCrunch</t>
        </is>
      </c>
    </row>
    <row r="29">
      <c r="B29" s="2" t="inlineStr">
        <is>
          <t>YE-2026 run-rate, investor expectation</t>
        </is>
      </c>
      <c r="C29" s="32" t="n">
        <v>110000</v>
      </c>
      <c r="D29" s="35" t="inlineStr">
        <is>
          <t>$M</t>
        </is>
      </c>
      <c r="E29" s="35" t="inlineStr">
        <is>
          <t>2026-08-17</t>
        </is>
      </c>
      <c r="F29" s="35" t="inlineStr">
        <is>
          <t>midpoint of $100–120B range</t>
        </is>
      </c>
      <c r="G29" s="36" t="inlineStr">
        <is>
          <t>T3</t>
        </is>
      </c>
      <c r="H29" s="35" t="inlineStr">
        <is>
          <t>est.</t>
        </is>
      </c>
      <c r="I29" s="35" t="inlineStr">
        <is>
          <t>CNBC</t>
        </is>
      </c>
    </row>
    <row r="31">
      <c r="A31" s="12" t="n"/>
      <c r="B31" s="13" t="inlineStr">
        <is>
          <t>P&amp;L, Margins, Burn, Ops (QUARTERLY decay)</t>
        </is>
      </c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</row>
    <row r="33">
      <c r="B33" s="34" t="inlineStr">
        <is>
          <t>Metric / Event</t>
        </is>
      </c>
      <c r="C33" s="34" t="inlineStr">
        <is>
          <t>Value</t>
        </is>
      </c>
      <c r="D33" s="34" t="inlineStr">
        <is>
          <t>Units</t>
        </is>
      </c>
      <c r="E33" s="34" t="inlineStr">
        <is>
          <t>As-of</t>
        </is>
      </c>
      <c r="F33" s="34" t="inlineStr">
        <is>
          <t>Basis / Round</t>
        </is>
      </c>
      <c r="G33" s="34" t="inlineStr">
        <is>
          <t>Tier</t>
        </is>
      </c>
      <c r="H33" s="34" t="inlineStr">
        <is>
          <t>Tag</t>
        </is>
      </c>
      <c r="I33" s="34" t="inlineStr">
        <is>
          <t>Source</t>
        </is>
      </c>
    </row>
    <row r="34">
      <c r="B34" s="2" t="inlineStr">
        <is>
          <t>FY2024 revenue (PB)</t>
        </is>
      </c>
      <c r="C34" s="32" t="n">
        <v>1000</v>
      </c>
      <c r="D34" s="35" t="inlineStr">
        <is>
          <t>$M</t>
        </is>
      </c>
      <c r="E34" s="35" t="inlineStr">
        <is>
          <t>FY2024</t>
        </is>
      </c>
      <c r="F34" s="35" t="inlineStr">
        <is>
          <t>matches Dec-24 run-rate</t>
        </is>
      </c>
      <c r="G34" s="36" t="inlineStr">
        <is>
          <t>T2/T4</t>
        </is>
      </c>
      <c r="H34" s="37" t="inlineStr">
        <is>
          <t>DISPUTED basis</t>
        </is>
      </c>
      <c r="I34" s="35" t="inlineStr">
        <is>
          <t>PitchBook</t>
        </is>
      </c>
    </row>
    <row r="35">
      <c r="B35" s="2" t="inlineStr">
        <is>
          <t>FY2024 net loss (PB)</t>
        </is>
      </c>
      <c r="C35" s="32" t="n">
        <v>-5300</v>
      </c>
      <c r="D35" s="35" t="inlineStr">
        <is>
          <t>$M</t>
        </is>
      </c>
      <c r="E35" s="35" t="inlineStr">
        <is>
          <t>FY2024</t>
        </is>
      </c>
      <c r="F35" s="35" t="inlineStr">
        <is>
          <t>reported</t>
        </is>
      </c>
      <c r="G35" s="36" t="inlineStr">
        <is>
          <t>T2/T4</t>
        </is>
      </c>
      <c r="H35" s="35" t="inlineStr">
        <is>
          <t>CANONICAL</t>
        </is>
      </c>
      <c r="I35" s="35" t="inlineStr">
        <is>
          <t>PitchBook</t>
        </is>
      </c>
    </row>
    <row r="36">
      <c r="B36" s="2" t="inlineStr">
        <is>
          <t>FY2025 revenue (PB)</t>
        </is>
      </c>
      <c r="C36" s="32" t="n">
        <v>9000</v>
      </c>
      <c r="D36" s="35" t="inlineStr">
        <is>
          <t>$M</t>
        </is>
      </c>
      <c r="E36" s="35" t="inlineStr">
        <is>
          <t>FY2025</t>
        </is>
      </c>
      <c r="F36" s="35" t="inlineStr">
        <is>
          <t>matches Dec-25 run-rate; guide implies ~$4.5–6B recognized</t>
        </is>
      </c>
      <c r="G36" s="36" t="inlineStr">
        <is>
          <t>T2/T4</t>
        </is>
      </c>
      <c r="H36" s="37" t="inlineStr">
        <is>
          <t>DISPUTED basis</t>
        </is>
      </c>
      <c r="I36" s="35" t="inlineStr">
        <is>
          <t>PitchBook</t>
        </is>
      </c>
    </row>
    <row r="37">
      <c r="B37" s="2" t="inlineStr">
        <is>
          <t>Gross margin 2025</t>
        </is>
      </c>
      <c r="C37" s="29" t="n">
        <v>0.4</v>
      </c>
      <c r="D37" s="35" t="inlineStr">
        <is>
          <t>%</t>
        </is>
      </c>
      <c r="E37" s="35" t="inlineStr">
        <is>
          <t>FY2025</t>
        </is>
      </c>
      <c r="F37" s="35" t="inlineStr">
        <is>
          <t>lowered vs plan · gross-rev basis</t>
        </is>
      </c>
      <c r="G37" s="36" t="inlineStr">
        <is>
          <t>T3</t>
        </is>
      </c>
      <c r="H37" s="35" t="inlineStr">
        <is>
          <t>est.</t>
        </is>
      </c>
      <c r="I37" s="35" t="inlineStr">
        <is>
          <t>The Information</t>
        </is>
      </c>
    </row>
    <row r="38">
      <c r="B38" s="2" t="inlineStr">
        <is>
          <t>GM path 2027E / 2028E</t>
        </is>
      </c>
      <c r="C38" s="29" t="n">
        <v>0.63</v>
      </c>
      <c r="D38" s="35" t="inlineStr">
        <is>
          <t>%</t>
        </is>
      </c>
      <c r="E38" s="35" t="inlineStr">
        <is>
          <t>plan</t>
        </is>
      </c>
      <c r="F38" s="35" t="inlineStr">
        <is>
          <t>77% in 2028E · company plan</t>
        </is>
      </c>
      <c r="G38" s="36" t="inlineStr">
        <is>
          <t>T3</t>
        </is>
      </c>
      <c r="H38" s="35" t="inlineStr">
        <is>
          <t>CANONICAL path</t>
        </is>
      </c>
      <c r="I38" s="35" t="inlineStr">
        <is>
          <t>The Information / WSJ</t>
        </is>
      </c>
    </row>
    <row r="39">
      <c r="B39" s="2" t="inlineStr">
        <is>
          <t>Q2 2026 operating profit</t>
        </is>
      </c>
      <c r="C39" s="32" t="n">
        <v>559</v>
      </c>
      <c r="D39" s="35" t="inlineStr">
        <is>
          <t>$M</t>
        </is>
      </c>
      <c r="E39" s="35" t="inlineStr">
        <is>
          <t>Q2 2026</t>
        </is>
      </c>
      <c r="F39" s="35" t="inlineStr">
        <is>
          <t>first op profit</t>
        </is>
      </c>
      <c r="G39" s="36" t="inlineStr">
        <is>
          <t>T3</t>
        </is>
      </c>
      <c r="H39" s="35" t="inlineStr">
        <is>
          <t>unswept (FCF flag)</t>
        </is>
      </c>
      <c r="I39" s="35" t="inlineStr">
        <is>
          <t>CNBC</t>
        </is>
      </c>
    </row>
    <row r="40">
      <c r="B40" s="2" t="inlineStr">
        <is>
          <t>FY2025 cash burn</t>
        </is>
      </c>
      <c r="C40" s="32" t="n">
        <v>-5600</v>
      </c>
      <c r="D40" s="35" t="inlineStr">
        <is>
          <t>$M</t>
        </is>
      </c>
      <c r="E40" s="35" t="inlineStr">
        <is>
          <t>FY2025</t>
        </is>
      </c>
      <c r="F40" s="35" t="inlineStr">
        <is>
          <t>operating burn</t>
        </is>
      </c>
      <c r="G40" s="36" t="inlineStr">
        <is>
          <t>T3</t>
        </is>
      </c>
      <c r="H40" s="35" t="inlineStr">
        <is>
          <t>est.</t>
        </is>
      </c>
      <c r="I40" s="35" t="inlineStr">
        <is>
          <t>The Information</t>
        </is>
      </c>
    </row>
    <row r="41">
      <c r="B41" s="2" t="inlineStr">
        <is>
          <t>FY2026 planned burn</t>
        </is>
      </c>
      <c r="C41" s="32" t="n">
        <v>-3000</v>
      </c>
      <c r="D41" s="35" t="inlineStr">
        <is>
          <t>$M</t>
        </is>
      </c>
      <c r="E41" s="35" t="inlineStr">
        <is>
          <t>plan (pre-beat)</t>
        </is>
      </c>
      <c r="F41" s="35" t="inlineStr">
        <is>
          <t>vintage ~Jan-26</t>
        </is>
      </c>
      <c r="G41" s="36" t="inlineStr">
        <is>
          <t>T3</t>
        </is>
      </c>
      <c r="H41" s="35" t="inlineStr">
        <is>
          <t>superseded vintage</t>
        </is>
      </c>
      <c r="I41" s="35" t="inlineStr">
        <is>
          <t>The Information</t>
        </is>
      </c>
    </row>
    <row r="42">
      <c r="B42" s="2" t="inlineStr">
        <is>
          <t>WSJ FCF trough (2027, scenario)</t>
        </is>
      </c>
      <c r="C42" s="32" t="n">
        <v>-25000</v>
      </c>
      <c r="D42" s="35" t="inlineStr">
        <is>
          <t>$M</t>
        </is>
      </c>
      <c r="E42" s="35" t="inlineStr">
        <is>
          <t>2026-04-06</t>
        </is>
      </c>
      <c r="F42" s="35" t="inlineStr">
        <is>
          <t>incl.-training FCF basis</t>
        </is>
      </c>
      <c r="G42" s="36" t="inlineStr">
        <is>
          <t>T2</t>
        </is>
      </c>
      <c r="H42" s="37" t="inlineStr">
        <is>
          <t>DISPUTED vintage/defn</t>
        </is>
      </c>
      <c r="I42" s="35" t="inlineStr">
        <is>
          <t>WSJ investor docs</t>
        </is>
      </c>
    </row>
    <row r="43">
      <c r="B43" s="2" t="inlineStr">
        <is>
          <t>Net revenue retention</t>
        </is>
      </c>
      <c r="C43" s="29" t="n">
        <v>1.4</v>
      </c>
      <c r="D43" s="35" t="inlineStr">
        <is>
          <t>%</t>
        </is>
      </c>
      <c r="E43" s="35" t="inlineStr">
        <is>
          <t>2026</t>
        </is>
      </c>
      <c r="F43" s="35" t="inlineStr">
        <is>
          <t>140%+</t>
        </is>
      </c>
      <c r="G43" s="36" t="inlineStr">
        <is>
          <t>T2</t>
        </is>
      </c>
      <c r="H43" s="35" t="inlineStr">
        <is>
          <t>CANONICAL</t>
        </is>
      </c>
      <c r="I43" s="35" t="inlineStr">
        <is>
          <t>company</t>
        </is>
      </c>
    </row>
    <row r="44">
      <c r="B44" s="2" t="inlineStr">
        <is>
          <t>Enterprise share of revenue</t>
        </is>
      </c>
      <c r="C44" s="29" t="n">
        <v>0.8</v>
      </c>
      <c r="D44" s="35" t="inlineStr">
        <is>
          <t>%</t>
        </is>
      </c>
      <c r="E44" s="35" t="inlineStr">
        <is>
          <t>2026</t>
        </is>
      </c>
      <c r="F44" s="35" t="inlineStr"/>
      <c r="G44" s="36" t="inlineStr">
        <is>
          <t>T2</t>
        </is>
      </c>
      <c r="H44" s="35" t="inlineStr">
        <is>
          <t>CANONICAL</t>
        </is>
      </c>
      <c r="I44" s="35" t="inlineStr">
        <is>
          <t>company</t>
        </is>
      </c>
    </row>
    <row r="45">
      <c r="B45" s="2" t="inlineStr">
        <is>
          <t>Claude Code ARR</t>
        </is>
      </c>
      <c r="C45" s="32" t="n">
        <v>2500</v>
      </c>
      <c r="D45" s="35" t="inlineStr">
        <is>
          <t>$M</t>
        </is>
      </c>
      <c r="E45" s="35" t="inlineStr">
        <is>
          <t>2026-05</t>
        </is>
      </c>
      <c r="F45" s="35" t="inlineStr">
        <is>
          <t>54% coding share</t>
        </is>
      </c>
      <c r="G45" s="36" t="inlineStr">
        <is>
          <t>T2</t>
        </is>
      </c>
      <c r="H45" s="35" t="inlineStr">
        <is>
          <t>CANONICAL</t>
        </is>
      </c>
      <c r="I45" s="35" t="inlineStr">
        <is>
          <t>company</t>
        </is>
      </c>
    </row>
    <row r="46">
      <c r="B46" s="2" t="inlineStr">
        <is>
          <t>Employees</t>
        </is>
      </c>
      <c r="C46" s="32" t="n">
        <v>5000</v>
      </c>
      <c r="D46" s="35" t="inlineStr">
        <is>
          <t>count</t>
        </is>
      </c>
      <c r="E46" s="35" t="inlineStr">
        <is>
          <t>2026-04-21</t>
        </is>
      </c>
      <c r="F46" s="35" t="inlineStr"/>
      <c r="G46" s="36" t="inlineStr">
        <is>
          <t>T2</t>
        </is>
      </c>
      <c r="H46" s="35" t="inlineStr">
        <is>
          <t>CANONICAL</t>
        </is>
      </c>
      <c r="I46" s="35" t="inlineStr">
        <is>
          <t>PitchBook</t>
        </is>
      </c>
    </row>
    <row r="48">
      <c r="A48" s="12" t="n"/>
      <c r="B48" s="13" t="inlineStr">
        <is>
          <t>Forecast Vintages · Comps · Open Items</t>
        </is>
      </c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</row>
    <row r="50">
      <c r="B50" s="34" t="inlineStr">
        <is>
          <t>Metric / Event</t>
        </is>
      </c>
      <c r="C50" s="34" t="inlineStr">
        <is>
          <t>Value</t>
        </is>
      </c>
      <c r="D50" s="34" t="inlineStr">
        <is>
          <t>Units</t>
        </is>
      </c>
      <c r="E50" s="34" t="inlineStr">
        <is>
          <t>As-of</t>
        </is>
      </c>
      <c r="F50" s="34" t="inlineStr">
        <is>
          <t>Basis / Round</t>
        </is>
      </c>
      <c r="G50" s="34" t="inlineStr">
        <is>
          <t>Tier</t>
        </is>
      </c>
      <c r="H50" s="34" t="inlineStr">
        <is>
          <t>Tag</t>
        </is>
      </c>
      <c r="I50" s="34" t="inlineStr">
        <is>
          <t>Source</t>
        </is>
      </c>
    </row>
    <row r="51">
      <c r="B51" s="2" t="inlineStr">
        <is>
          <t>2026 company guide (hiked +20%)</t>
        </is>
      </c>
      <c r="C51" s="32" t="n">
        <v>18000</v>
      </c>
      <c r="D51" s="35" t="inlineStr">
        <is>
          <t>$M</t>
        </is>
      </c>
      <c r="E51" s="35" t="inlineStr">
        <is>
          <t>~Jan-26</t>
        </is>
      </c>
      <c r="F51" s="35" t="inlineStr">
        <is>
          <t>recognized-rev basis</t>
        </is>
      </c>
      <c r="G51" s="36" t="inlineStr">
        <is>
          <t>T3</t>
        </is>
      </c>
      <c r="H51" s="35" t="inlineStr">
        <is>
          <t>superseded by actuals</t>
        </is>
      </c>
      <c r="I51" s="35" t="inlineStr">
        <is>
          <t>The Information</t>
        </is>
      </c>
    </row>
    <row r="52">
      <c r="B52" s="2" t="inlineStr">
        <is>
          <t>2027 optimistic case</t>
        </is>
      </c>
      <c r="C52" s="32" t="n">
        <v>55000</v>
      </c>
      <c r="D52" s="35" t="inlineStr">
        <is>
          <t>$M</t>
        </is>
      </c>
      <c r="E52" s="35" t="inlineStr">
        <is>
          <t>~Jan-26</t>
        </is>
      </c>
      <c r="F52" s="35" t="inlineStr">
        <is>
          <t>already below Jul-26 run-rate</t>
        </is>
      </c>
      <c r="G52" s="36" t="inlineStr">
        <is>
          <t>T3</t>
        </is>
      </c>
      <c r="H52" s="35" t="inlineStr">
        <is>
          <t>superseded</t>
        </is>
      </c>
      <c r="I52" s="35" t="inlineStr">
        <is>
          <t>The Information</t>
        </is>
      </c>
    </row>
    <row r="53">
      <c r="B53" s="2" t="inlineStr">
        <is>
          <t>2029 optimistic case</t>
        </is>
      </c>
      <c r="C53" s="32" t="n">
        <v>148000</v>
      </c>
      <c r="D53" s="35" t="inlineStr">
        <is>
          <t>$M</t>
        </is>
      </c>
      <c r="E53" s="35" t="inlineStr">
        <is>
          <t>~Jan-26</t>
        </is>
      </c>
      <c r="F53" s="35" t="inlineStr"/>
      <c r="G53" s="36" t="inlineStr">
        <is>
          <t>T3</t>
        </is>
      </c>
      <c r="H53" s="35" t="inlineStr">
        <is>
          <t>stale vintage</t>
        </is>
      </c>
      <c r="I53" s="35" t="inlineStr">
        <is>
          <t>The Information</t>
        </is>
      </c>
    </row>
    <row r="54">
      <c r="B54" s="2" t="inlineStr">
        <is>
          <t>PB revenue field — TRAP</t>
        </is>
      </c>
      <c r="C54" s="32" t="n">
        <v>71000</v>
      </c>
      <c r="D54" s="35" t="inlineStr">
        <is>
          <t>$M</t>
        </is>
      </c>
      <c r="E54" s="35" t="inlineStr">
        <is>
          <t>2026-08-18</t>
        </is>
      </c>
      <c r="F54" s="35" t="inlineStr">
        <is>
          <t>TTM 4Q2027 = FORWARD projection (Ruling 4, 3rd firing)</t>
        </is>
      </c>
      <c r="G54" s="36" t="inlineStr">
        <is>
          <t>T4</t>
        </is>
      </c>
      <c r="H54" s="37" t="inlineStr">
        <is>
          <t>DISPUTED — never cite as current</t>
        </is>
      </c>
      <c r="I54" s="35" t="inlineStr">
        <is>
          <t>PitchBook</t>
        </is>
      </c>
    </row>
    <row r="55">
      <c r="B55" s="2" t="inlineStr">
        <is>
          <t>OpenAI mark</t>
        </is>
      </c>
      <c r="C55" s="32" t="n">
        <v>852000</v>
      </c>
      <c r="D55" s="35" t="inlineStr">
        <is>
          <t>$M</t>
        </is>
      </c>
      <c r="E55" s="35" t="inlineStr">
        <is>
          <t>2026-03-31</t>
        </is>
      </c>
      <c r="F55" s="35" t="inlineStr">
        <is>
          <t>$122B round</t>
        </is>
      </c>
      <c r="G55" s="36" t="inlineStr">
        <is>
          <t>T2</t>
        </is>
      </c>
      <c r="H55" s="35" t="inlineStr">
        <is>
          <t>CANONICAL</t>
        </is>
      </c>
      <c r="I55" s="35" t="inlineStr">
        <is>
          <t>PitchBook</t>
        </is>
      </c>
    </row>
    <row r="56">
      <c r="B56" s="2" t="inlineStr">
        <is>
          <t>OpenAI net ARR</t>
        </is>
      </c>
      <c r="C56" s="32" t="n">
        <v>25000</v>
      </c>
      <c r="D56" s="35" t="inlineStr">
        <is>
          <t>$M</t>
        </is>
      </c>
      <c r="E56" s="35" t="inlineStr">
        <is>
          <t>~2026-06</t>
        </is>
      </c>
      <c r="F56" s="35" t="inlineStr">
        <is>
          <t>NET basis</t>
        </is>
      </c>
      <c r="G56" s="36" t="inlineStr">
        <is>
          <t>T3</t>
        </is>
      </c>
      <c r="H56" s="37" t="inlineStr">
        <is>
          <t>STALE — re-pull</t>
        </is>
      </c>
      <c r="I56" s="35" t="inlineStr">
        <is>
          <t>project-context</t>
        </is>
      </c>
    </row>
    <row r="57">
      <c r="B57" s="2" t="inlineStr">
        <is>
          <t>Databricks mark</t>
        </is>
      </c>
      <c r="C57" s="32" t="n">
        <v>134000</v>
      </c>
      <c r="D57" s="35" t="inlineStr">
        <is>
          <t>$M</t>
        </is>
      </c>
      <c r="E57" s="35" t="inlineStr">
        <is>
          <t>2026-02-09</t>
        </is>
      </c>
      <c r="F57" s="35" t="inlineStr">
        <is>
          <t>Series L</t>
        </is>
      </c>
      <c r="G57" s="36" t="inlineStr">
        <is>
          <t>T2</t>
        </is>
      </c>
      <c r="H57" s="37" t="inlineStr">
        <is>
          <t>STALE — re-pull</t>
        </is>
      </c>
      <c r="I57" s="35" t="inlineStr">
        <is>
          <t>PitchBook</t>
        </is>
      </c>
    </row>
    <row r="58">
      <c r="B58" s="2" t="inlineStr">
        <is>
          <t>SPCX Q2 print (Aug 6)</t>
        </is>
      </c>
      <c r="C58" s="32" t="n">
        <v>0</v>
      </c>
      <c r="D58" s="35" t="inlineStr">
        <is>
          <t>—</t>
        </is>
      </c>
      <c r="E58" s="35" t="inlineStr">
        <is>
          <t>2026-08-06</t>
        </is>
      </c>
      <c r="F58" s="35" t="inlineStr">
        <is>
          <t>Basis Trade falsifier window</t>
        </is>
      </c>
      <c r="G58" s="36" t="inlineStr">
        <is>
          <t>—</t>
        </is>
      </c>
      <c r="H58" s="37" t="inlineStr">
        <is>
          <t>VERIFY — unpulled</t>
        </is>
      </c>
      <c r="I58" s="35" t="inlineStr">
        <is>
          <t>—</t>
        </is>
      </c>
    </row>
    <row r="59">
      <c r="B59" s="2" t="inlineStr">
        <is>
          <t>AMD round (11th, upcoming)</t>
        </is>
      </c>
      <c r="C59" s="32" t="n">
        <v>0</v>
      </c>
      <c r="D59" s="35" t="inlineStr">
        <is>
          <t>—</t>
        </is>
      </c>
      <c r="E59" s="35" t="inlineStr">
        <is>
          <t>2026-07-22</t>
        </is>
      </c>
      <c r="F59" s="35" t="inlineStr">
        <is>
          <t>'reportedly seeking'</t>
        </is>
      </c>
      <c r="G59" s="36" t="inlineStr">
        <is>
          <t>T5</t>
        </is>
      </c>
      <c r="H59" s="37" t="inlineStr">
        <is>
          <t>rumor — do not model</t>
        </is>
      </c>
      <c r="I59" s="35" t="inlineStr">
        <is>
          <t>PB note</t>
        </is>
      </c>
    </row>
    <row r="60">
      <c r="B60" s="2" t="inlineStr">
        <is>
          <t>Decart acquisition (~$6B)</t>
        </is>
      </c>
      <c r="C60" s="32" t="n">
        <v>6000</v>
      </c>
      <c r="D60" s="35" t="inlineStr">
        <is>
          <t>$M</t>
        </is>
      </c>
      <c r="E60" s="35" t="inlineStr">
        <is>
          <t>2026-08-13</t>
        </is>
      </c>
      <c r="F60" s="35" t="inlineStr">
        <is>
          <t>status Rumor/Speculation</t>
        </is>
      </c>
      <c r="G60" s="36" t="inlineStr">
        <is>
          <t>T5</t>
        </is>
      </c>
      <c r="H60" s="37" t="inlineStr">
        <is>
          <t>rumor — do not model</t>
        </is>
      </c>
      <c r="I60" s="35" t="inlineStr">
        <is>
          <t>PB</t>
        </is>
      </c>
    </row>
    <row r="62">
      <c r="B62" s="14" t="inlineStr">
        <is>
          <t>Facts only — every model input traces here or to a stated estimate. Tiers per validation spine (T1 primary → T5 rumor).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3:M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  <col width="70" customWidth="1" min="13" max="13"/>
  </cols>
  <sheetData>
    <row r="3">
      <c r="A3" s="12" t="n"/>
      <c r="B3" s="13" t="inlineStr">
        <is>
          <t>Run-Rate Curve — annual exits (GROSS basis)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All figures in USD millions unless stated</t>
        </is>
      </c>
    </row>
    <row r="7">
      <c r="D7" s="18">
        <f>'00_Assumptions'!D$10</f>
        <v/>
      </c>
      <c r="E7" s="18">
        <f>'00_Assumptions'!E$10</f>
        <v/>
      </c>
      <c r="F7" s="18">
        <f>'00_Assumptions'!F$10</f>
        <v/>
      </c>
      <c r="G7" s="19">
        <f>'00_Assumptions'!G$10</f>
        <v/>
      </c>
      <c r="H7" s="19">
        <f>'00_Assumptions'!H$10</f>
        <v/>
      </c>
      <c r="I7" s="19">
        <f>'00_Assumptions'!I$10</f>
        <v/>
      </c>
      <c r="J7" s="19">
        <f>'00_Assumptions'!J$10</f>
        <v/>
      </c>
      <c r="K7" s="19">
        <f>'00_Assumptions'!K$10</f>
        <v/>
      </c>
    </row>
    <row r="9">
      <c r="B9" s="9" t="inlineStr">
        <is>
          <t>Exit run-rate — gross ($M)</t>
        </is>
      </c>
      <c r="D9" s="32" t="n">
        <v>200</v>
      </c>
      <c r="E9" s="38">
        <f>'01_Data'!$C$22</f>
        <v/>
      </c>
      <c r="F9" s="38">
        <f>'01_Data'!$C$24</f>
        <v/>
      </c>
      <c r="G9" s="31">
        <f>'00_Assumptions'!$G$16</f>
        <v/>
      </c>
      <c r="H9" s="31">
        <f>G9*(1+'00_Assumptions'!H$33)</f>
        <v/>
      </c>
      <c r="I9" s="31">
        <f>H9*(1+'00_Assumptions'!I$33)</f>
        <v/>
      </c>
      <c r="J9" s="31">
        <f>I9*(1+'00_Assumptions'!J$33)</f>
        <v/>
      </c>
      <c r="K9" s="31">
        <f>J9*(1+'00_Assumptions'!K$33)</f>
        <v/>
      </c>
      <c r="M9" s="27" t="inlineStr">
        <is>
          <t>2023 exit = est. · 2024/2025 link 01_Data · 2026E = scenario scalar · 2027E+ = growth driver</t>
        </is>
      </c>
    </row>
    <row r="10">
      <c r="B10" s="39" t="inlineStr">
        <is>
          <t xml:space="preserve">   YoY growth</t>
        </is>
      </c>
      <c r="E10" s="40">
        <f>E9/D9-1</f>
        <v/>
      </c>
      <c r="F10" s="40">
        <f>F9/E9-1</f>
        <v/>
      </c>
      <c r="G10" s="40">
        <f>G9/F9-1</f>
        <v/>
      </c>
      <c r="H10" s="40">
        <f>H9/G9-1</f>
        <v/>
      </c>
      <c r="I10" s="40">
        <f>I9/H9-1</f>
        <v/>
      </c>
      <c r="J10" s="40">
        <f>J9/I9-1</f>
        <v/>
      </c>
      <c r="K10" s="40">
        <f>K9/J9-1</f>
        <v/>
      </c>
    </row>
    <row r="11">
      <c r="B11" s="2" t="inlineStr">
        <is>
          <t>Exit run-rate — net equalized ($M)</t>
        </is>
      </c>
      <c r="D11" s="38">
        <f>D9*'00_Assumptions'!$D$22</f>
        <v/>
      </c>
      <c r="E11" s="38">
        <f>E9*'00_Assumptions'!$D$22</f>
        <v/>
      </c>
      <c r="F11" s="38">
        <f>F9*'00_Assumptions'!$D$22</f>
        <v/>
      </c>
      <c r="G11" s="38">
        <f>G9*'00_Assumptions'!$D$22</f>
        <v/>
      </c>
      <c r="H11" s="38">
        <f>H9*'00_Assumptions'!$D$22</f>
        <v/>
      </c>
      <c r="I11" s="38">
        <f>I9*'00_Assumptions'!$D$22</f>
        <v/>
      </c>
      <c r="J11" s="38">
        <f>J9*'00_Assumptions'!$D$22</f>
        <v/>
      </c>
      <c r="K11" s="38">
        <f>K9*'00_Assumptions'!$D$22</f>
        <v/>
      </c>
    </row>
    <row r="13">
      <c r="A13" s="12" t="n"/>
      <c r="B13" s="13" t="inlineStr">
        <is>
          <t>Recognized Revenue — derived (log-mean integration of the exit curve)</t>
        </is>
      </c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</row>
    <row r="15">
      <c r="B15" s="14" t="inlineStr">
        <is>
          <t>All figures in USD millions unless stated</t>
        </is>
      </c>
    </row>
    <row r="16">
      <c r="D16" s="18">
        <f>'00_Assumptions'!D$10</f>
        <v/>
      </c>
      <c r="E16" s="18">
        <f>'00_Assumptions'!E$10</f>
        <v/>
      </c>
      <c r="F16" s="18">
        <f>'00_Assumptions'!F$10</f>
        <v/>
      </c>
      <c r="G16" s="19">
        <f>'00_Assumptions'!G$10</f>
        <v/>
      </c>
      <c r="H16" s="19">
        <f>'00_Assumptions'!H$10</f>
        <v/>
      </c>
      <c r="I16" s="19">
        <f>'00_Assumptions'!I$10</f>
        <v/>
      </c>
      <c r="J16" s="19">
        <f>'00_Assumptions'!J$10</f>
        <v/>
      </c>
      <c r="K16" s="19">
        <f>'00_Assumptions'!K$10</f>
        <v/>
      </c>
    </row>
    <row r="17">
      <c r="B17" s="9" t="inlineStr">
        <is>
          <t>Recognized revenue — gross ($M)</t>
        </is>
      </c>
      <c r="D17" s="41" t="n">
        <v>100</v>
      </c>
      <c r="E17" s="31">
        <f>IFERROR((E9-D9)/LN(E9/D9),(E9+D9)/2)</f>
        <v/>
      </c>
      <c r="F17" s="31">
        <f>IFERROR((F9-E9)/LN(F9/E9),(F9+E9)/2)</f>
        <v/>
      </c>
      <c r="G17" s="31">
        <f>IFERROR((G9-F9)/LN(G9/F9),(G9+F9)/2)</f>
        <v/>
      </c>
      <c r="H17" s="31">
        <f>IFERROR((H9-G9)/LN(H9/G9),(H9+G9)/2)</f>
        <v/>
      </c>
      <c r="I17" s="31">
        <f>IFERROR((I9-H9)/LN(I9/H9),(I9+H9)/2)</f>
        <v/>
      </c>
      <c r="J17" s="31">
        <f>IFERROR((J9-I9)/LN(J9/I9),(J9+I9)/2)</f>
        <v/>
      </c>
      <c r="K17" s="31">
        <f>IFERROR((K9-J9)/LN(K9/J9),(K9+J9)/2)</f>
        <v/>
      </c>
      <c r="M17" s="27" t="inlineStr">
        <is>
          <t>Recognized_t = (RR_t − RR_t-1)/ln(RR_t/RR_t-1) — exact integral of smooth exponential growth between exits</t>
        </is>
      </c>
    </row>
    <row r="18">
      <c r="B18" s="39" t="inlineStr">
        <is>
          <t xml:space="preserve">   YoY growth</t>
        </is>
      </c>
      <c r="E18" s="40">
        <f>E17/D17-1</f>
        <v/>
      </c>
      <c r="F18" s="40">
        <f>F17/E17-1</f>
        <v/>
      </c>
      <c r="G18" s="40">
        <f>G17/F17-1</f>
        <v/>
      </c>
      <c r="H18" s="40">
        <f>H17/G17-1</f>
        <v/>
      </c>
      <c r="I18" s="40">
        <f>I17/H17-1</f>
        <v/>
      </c>
      <c r="J18" s="40">
        <f>J17/I17-1</f>
        <v/>
      </c>
      <c r="K18" s="40">
        <f>K17/J17-1</f>
        <v/>
      </c>
    </row>
    <row r="19">
      <c r="B19" s="2" t="inlineStr">
        <is>
          <t>Recognized revenue — net equalized ($M)</t>
        </is>
      </c>
      <c r="D19" s="38">
        <f>D17*'00_Assumptions'!$D$22</f>
        <v/>
      </c>
      <c r="E19" s="38">
        <f>E17*'00_Assumptions'!$D$22</f>
        <v/>
      </c>
      <c r="F19" s="38">
        <f>F17*'00_Assumptions'!$D$22</f>
        <v/>
      </c>
      <c r="G19" s="38">
        <f>G17*'00_Assumptions'!$D$22</f>
        <v/>
      </c>
      <c r="H19" s="38">
        <f>H17*'00_Assumptions'!$D$22</f>
        <v/>
      </c>
      <c r="I19" s="38">
        <f>I17*'00_Assumptions'!$D$22</f>
        <v/>
      </c>
      <c r="J19" s="38">
        <f>J17*'00_Assumptions'!$D$22</f>
        <v/>
      </c>
      <c r="K19" s="38">
        <f>K17*'00_Assumptions'!$D$22</f>
        <v/>
      </c>
    </row>
    <row r="21">
      <c r="B21" s="42" t="inlineStr">
        <is>
          <t>PB reference: FY2024 $1.0B · FY2025 $9.0B — [DISPUTED basis: PB carries exit run-rates as fiscal revenue; see 01_Data rows 34/36]</t>
        </is>
      </c>
    </row>
    <row r="23">
      <c r="B23" s="14" t="inlineStr">
        <is>
          <t>Derived 2025 recognized ≈ $3.6B vs $4.5–6B implied by the Jan-26 guide — gap is curve-shape uncertainty; both far below the $9.0B run-rate-as-fiscal print.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3:M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  <col width="70" customWidth="1" min="13" max="13"/>
  </cols>
  <sheetData>
    <row r="3">
      <c r="A3" s="12" t="n"/>
      <c r="B3" s="13" t="inlineStr">
        <is>
          <t>Gross Margin &amp; COGS (inference compute + cloud rev-share)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All figures in USD millions unless stated</t>
        </is>
      </c>
    </row>
    <row r="7">
      <c r="D7" s="18">
        <f>'00_Assumptions'!D$10</f>
        <v/>
      </c>
      <c r="E7" s="18">
        <f>'00_Assumptions'!E$10</f>
        <v/>
      </c>
      <c r="F7" s="18">
        <f>'00_Assumptions'!F$10</f>
        <v/>
      </c>
      <c r="G7" s="19">
        <f>'00_Assumptions'!G$10</f>
        <v/>
      </c>
      <c r="H7" s="19">
        <f>'00_Assumptions'!H$10</f>
        <v/>
      </c>
      <c r="I7" s="19">
        <f>'00_Assumptions'!I$10</f>
        <v/>
      </c>
      <c r="J7" s="19">
        <f>'00_Assumptions'!J$10</f>
        <v/>
      </c>
      <c r="K7" s="19">
        <f>'00_Assumptions'!K$10</f>
        <v/>
      </c>
    </row>
    <row r="9">
      <c r="B9" s="9" t="inlineStr">
        <is>
          <t>Gross margin % (gross-revenue basis)</t>
        </is>
      </c>
      <c r="D9" s="29" t="n">
        <v>-1.2</v>
      </c>
      <c r="E9" s="29" t="n">
        <v>-0.9399999999999999</v>
      </c>
      <c r="F9" s="29" t="n">
        <v>0.4</v>
      </c>
      <c r="G9" s="43">
        <f>'00_Assumptions'!G39</f>
        <v/>
      </c>
      <c r="H9" s="43">
        <f>'00_Assumptions'!H39</f>
        <v/>
      </c>
      <c r="I9" s="43">
        <f>'00_Assumptions'!I39</f>
        <v/>
      </c>
      <c r="J9" s="43">
        <f>'00_Assumptions'!J39</f>
        <v/>
      </c>
      <c r="K9" s="43">
        <f>'00_Assumptions'!K39</f>
        <v/>
      </c>
      <c r="M9" s="27" t="inlineStr">
        <is>
          <t>2023 est. · 2024 −94% [CANONICAL] · 2025 40% (T3) · forecast = scenario driver</t>
        </is>
      </c>
    </row>
    <row r="10">
      <c r="B10" s="2" t="inlineStr">
        <is>
          <t>Revenue — gross ($M)</t>
        </is>
      </c>
      <c r="D10" s="38">
        <f>'02_Revenue'!D17</f>
        <v/>
      </c>
      <c r="E10" s="38">
        <f>'02_Revenue'!E17</f>
        <v/>
      </c>
      <c r="F10" s="38">
        <f>'02_Revenue'!F17</f>
        <v/>
      </c>
      <c r="G10" s="38">
        <f>'02_Revenue'!G17</f>
        <v/>
      </c>
      <c r="H10" s="38">
        <f>'02_Revenue'!H17</f>
        <v/>
      </c>
      <c r="I10" s="38">
        <f>'02_Revenue'!I17</f>
        <v/>
      </c>
      <c r="J10" s="38">
        <f>'02_Revenue'!J17</f>
        <v/>
      </c>
      <c r="K10" s="38">
        <f>'02_Revenue'!K17</f>
        <v/>
      </c>
    </row>
    <row r="11">
      <c r="B11" s="2" t="inlineStr">
        <is>
          <t>COGS ($M)</t>
        </is>
      </c>
      <c r="D11" s="38">
        <f>D10*(1-D9)</f>
        <v/>
      </c>
      <c r="E11" s="38">
        <f>E10*(1-E9)</f>
        <v/>
      </c>
      <c r="F11" s="38">
        <f>F10*(1-F9)</f>
        <v/>
      </c>
      <c r="G11" s="38">
        <f>G10*(1-G9)</f>
        <v/>
      </c>
      <c r="H11" s="38">
        <f>H10*(1-H9)</f>
        <v/>
      </c>
      <c r="I11" s="38">
        <f>I10*(1-I9)</f>
        <v/>
      </c>
      <c r="J11" s="38">
        <f>J10*(1-J9)</f>
        <v/>
      </c>
      <c r="K11" s="38">
        <f>K10*(1-K9)</f>
        <v/>
      </c>
    </row>
    <row r="12">
      <c r="B12" s="9" t="inlineStr">
        <is>
          <t>Gross profit ($M)</t>
        </is>
      </c>
      <c r="D12" s="31">
        <f>D10-D11</f>
        <v/>
      </c>
      <c r="E12" s="31">
        <f>E10-E11</f>
        <v/>
      </c>
      <c r="F12" s="31">
        <f>F10-F11</f>
        <v/>
      </c>
      <c r="G12" s="31">
        <f>G10-G11</f>
        <v/>
      </c>
      <c r="H12" s="31">
        <f>H10-H11</f>
        <v/>
      </c>
      <c r="I12" s="31">
        <f>I10-I11</f>
        <v/>
      </c>
      <c r="J12" s="31">
        <f>J10-J11</f>
        <v/>
      </c>
      <c r="K12" s="31">
        <f>K10-K11</f>
        <v/>
      </c>
    </row>
    <row r="15">
      <c r="A15" s="12" t="n"/>
      <c r="B15" s="13" t="inlineStr">
        <is>
          <t>Operating Expenses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7">
      <c r="B17" s="14" t="inlineStr">
        <is>
          <t>All figures in USD millions unless stated</t>
        </is>
      </c>
    </row>
    <row r="18">
      <c r="D18" s="18">
        <f>'00_Assumptions'!D$10</f>
        <v/>
      </c>
      <c r="E18" s="18">
        <f>'00_Assumptions'!E$10</f>
        <v/>
      </c>
      <c r="F18" s="18">
        <f>'00_Assumptions'!F$10</f>
        <v/>
      </c>
      <c r="G18" s="19">
        <f>'00_Assumptions'!G$10</f>
        <v/>
      </c>
      <c r="H18" s="19">
        <f>'00_Assumptions'!H$10</f>
        <v/>
      </c>
      <c r="I18" s="19">
        <f>'00_Assumptions'!I$10</f>
        <v/>
      </c>
      <c r="J18" s="19">
        <f>'00_Assumptions'!J$10</f>
        <v/>
      </c>
      <c r="K18" s="19">
        <f>'00_Assumptions'!K$10</f>
        <v/>
      </c>
    </row>
    <row r="20">
      <c r="B20" s="2" t="inlineStr">
        <is>
          <t>R&amp;D — training compute ($M)</t>
        </is>
      </c>
      <c r="D20" s="32" t="n">
        <v>1200</v>
      </c>
      <c r="E20" s="32" t="n">
        <v>4000</v>
      </c>
      <c r="F20" s="32" t="n">
        <v>6000</v>
      </c>
      <c r="G20" s="38">
        <f>'00_Assumptions'!G45</f>
        <v/>
      </c>
      <c r="H20" s="38">
        <f>'00_Assumptions'!H45</f>
        <v/>
      </c>
      <c r="I20" s="38">
        <f>'00_Assumptions'!I45</f>
        <v/>
      </c>
      <c r="J20" s="38">
        <f>'00_Assumptions'!J45</f>
        <v/>
      </c>
      <c r="K20" s="38">
        <f>'00_Assumptions'!K45</f>
        <v/>
      </c>
      <c r="M20" s="27" t="inlineStr">
        <is>
          <t>hist. est. (calibrated to PB FY24 loss + WSJ dual-P&amp;L) · forecast = driver · expensed, never capitalized</t>
        </is>
      </c>
    </row>
    <row r="21">
      <c r="B21" s="2" t="inlineStr">
        <is>
          <t>R&amp;D — people &amp; other ($M)</t>
        </is>
      </c>
      <c r="D21" s="32" t="n">
        <v>400</v>
      </c>
      <c r="E21" s="32" t="n">
        <v>800</v>
      </c>
      <c r="F21" s="32" t="n">
        <v>1500</v>
      </c>
      <c r="G21" s="38">
        <f>'00_Assumptions'!G51</f>
        <v/>
      </c>
      <c r="H21" s="38">
        <f>'00_Assumptions'!H51</f>
        <v/>
      </c>
      <c r="I21" s="38">
        <f>'00_Assumptions'!I51</f>
        <v/>
      </c>
      <c r="J21" s="38">
        <f>'00_Assumptions'!J51</f>
        <v/>
      </c>
      <c r="K21" s="38">
        <f>'00_Assumptions'!K51</f>
        <v/>
      </c>
    </row>
    <row r="22">
      <c r="B22" s="2" t="inlineStr">
        <is>
          <t>S&amp;M ($M)</t>
        </is>
      </c>
      <c r="D22" s="32" t="n">
        <v>50</v>
      </c>
      <c r="E22" s="32" t="n">
        <v>150</v>
      </c>
      <c r="F22" s="32" t="n">
        <v>400</v>
      </c>
      <c r="G22" s="38">
        <f>'00_Assumptions'!G57*'02_Revenue'!G17</f>
        <v/>
      </c>
      <c r="H22" s="38">
        <f>'00_Assumptions'!H57*'02_Revenue'!H17</f>
        <v/>
      </c>
      <c r="I22" s="38">
        <f>'00_Assumptions'!I57*'02_Revenue'!I17</f>
        <v/>
      </c>
      <c r="J22" s="38">
        <f>'00_Assumptions'!J57*'02_Revenue'!J17</f>
        <v/>
      </c>
      <c r="K22" s="38">
        <f>'00_Assumptions'!K57*'02_Revenue'!K17</f>
        <v/>
      </c>
    </row>
    <row r="23">
      <c r="B23" s="2" t="inlineStr">
        <is>
          <t>G&amp;A ($M)</t>
        </is>
      </c>
      <c r="D23" s="32" t="n">
        <v>50</v>
      </c>
      <c r="E23" s="32" t="n">
        <v>100</v>
      </c>
      <c r="F23" s="32" t="n">
        <v>250</v>
      </c>
      <c r="G23" s="38">
        <f>'00_Assumptions'!G63*'02_Revenue'!G17</f>
        <v/>
      </c>
      <c r="H23" s="38">
        <f>'00_Assumptions'!H63*'02_Revenue'!H17</f>
        <v/>
      </c>
      <c r="I23" s="38">
        <f>'00_Assumptions'!I63*'02_Revenue'!I17</f>
        <v/>
      </c>
      <c r="J23" s="38">
        <f>'00_Assumptions'!J63*'02_Revenue'!J17</f>
        <v/>
      </c>
      <c r="K23" s="38">
        <f>'00_Assumptions'!K63*'02_Revenue'!K17</f>
        <v/>
      </c>
    </row>
    <row r="24">
      <c r="B24" s="9" t="inlineStr">
        <is>
          <t>Total opex ($M)</t>
        </is>
      </c>
      <c r="D24" s="44">
        <f>SUM(D20:D23)</f>
        <v/>
      </c>
      <c r="E24" s="44">
        <f>SUM(E20:E23)</f>
        <v/>
      </c>
      <c r="F24" s="44">
        <f>SUM(F20:F23)</f>
        <v/>
      </c>
      <c r="G24" s="44">
        <f>SUM(G20:G23)</f>
        <v/>
      </c>
      <c r="H24" s="44">
        <f>SUM(H20:H23)</f>
        <v/>
      </c>
      <c r="I24" s="44">
        <f>SUM(I20:I23)</f>
        <v/>
      </c>
      <c r="J24" s="44">
        <f>SUM(J20:J23)</f>
        <v/>
      </c>
      <c r="K24" s="44">
        <f>SUM(K20:K23)</f>
        <v/>
      </c>
    </row>
    <row r="26">
      <c r="B26" s="14" t="inlineStr">
        <is>
          <t>Training compute sits in R&amp;D and is expensed in full (GAAP) — the dual-basis EBIT on 04_PL separates it, per the WSJ investor-doc framework.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3:M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  <col width="70" customWidth="1" min="13" max="13"/>
  </cols>
  <sheetData>
    <row r="3">
      <c r="A3" s="12" t="n"/>
      <c r="B3" s="13" t="inlineStr">
        <is>
          <t>P&amp;L — Consolidated (GROSS revenue basis)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All figures in USD millions unless stated</t>
        </is>
      </c>
    </row>
    <row r="7">
      <c r="D7" s="18">
        <f>'00_Assumptions'!D$10</f>
        <v/>
      </c>
      <c r="E7" s="18">
        <f>'00_Assumptions'!E$10</f>
        <v/>
      </c>
      <c r="F7" s="18">
        <f>'00_Assumptions'!F$10</f>
        <v/>
      </c>
      <c r="G7" s="19">
        <f>'00_Assumptions'!G$10</f>
        <v/>
      </c>
      <c r="H7" s="19">
        <f>'00_Assumptions'!H$10</f>
        <v/>
      </c>
      <c r="I7" s="19">
        <f>'00_Assumptions'!I$10</f>
        <v/>
      </c>
      <c r="J7" s="19">
        <f>'00_Assumptions'!J$10</f>
        <v/>
      </c>
      <c r="K7" s="19">
        <f>'00_Assumptions'!K$10</f>
        <v/>
      </c>
    </row>
    <row r="9">
      <c r="B9" s="9" t="inlineStr">
        <is>
          <t>Revenue — gross ($M)</t>
        </is>
      </c>
      <c r="D9" s="45">
        <f>'02_Revenue'!D17</f>
        <v/>
      </c>
      <c r="E9" s="45">
        <f>'02_Revenue'!E17</f>
        <v/>
      </c>
      <c r="F9" s="45">
        <f>'02_Revenue'!F17</f>
        <v/>
      </c>
      <c r="G9" s="45">
        <f>'02_Revenue'!G17</f>
        <v/>
      </c>
      <c r="H9" s="45">
        <f>'02_Revenue'!H17</f>
        <v/>
      </c>
      <c r="I9" s="45">
        <f>'02_Revenue'!I17</f>
        <v/>
      </c>
      <c r="J9" s="45">
        <f>'02_Revenue'!J17</f>
        <v/>
      </c>
      <c r="K9" s="45">
        <f>'02_Revenue'!K17</f>
        <v/>
      </c>
    </row>
    <row r="10">
      <c r="B10" s="2" t="inlineStr">
        <is>
          <t>COGS</t>
        </is>
      </c>
      <c r="D10" s="38">
        <f>'03_Costs'!D11</f>
        <v/>
      </c>
      <c r="E10" s="38">
        <f>'03_Costs'!E11</f>
        <v/>
      </c>
      <c r="F10" s="38">
        <f>'03_Costs'!F11</f>
        <v/>
      </c>
      <c r="G10" s="38">
        <f>'03_Costs'!G11</f>
        <v/>
      </c>
      <c r="H10" s="38">
        <f>'03_Costs'!H11</f>
        <v/>
      </c>
      <c r="I10" s="38">
        <f>'03_Costs'!I11</f>
        <v/>
      </c>
      <c r="J10" s="38">
        <f>'03_Costs'!J11</f>
        <v/>
      </c>
      <c r="K10" s="38">
        <f>'03_Costs'!K11</f>
        <v/>
      </c>
    </row>
    <row r="11">
      <c r="B11" s="9" t="inlineStr">
        <is>
          <t>Gross profit</t>
        </is>
      </c>
      <c r="D11" s="44">
        <f>D9-D10</f>
        <v/>
      </c>
      <c r="E11" s="44">
        <f>E9-E10</f>
        <v/>
      </c>
      <c r="F11" s="44">
        <f>F9-F10</f>
        <v/>
      </c>
      <c r="G11" s="44">
        <f>G9-G10</f>
        <v/>
      </c>
      <c r="H11" s="44">
        <f>H9-H10</f>
        <v/>
      </c>
      <c r="I11" s="44">
        <f>I9-I10</f>
        <v/>
      </c>
      <c r="J11" s="44">
        <f>J9-J10</f>
        <v/>
      </c>
      <c r="K11" s="44">
        <f>K9-K10</f>
        <v/>
      </c>
    </row>
    <row r="12">
      <c r="B12" s="39" t="inlineStr">
        <is>
          <t xml:space="preserve">   Gross margin</t>
        </is>
      </c>
      <c r="D12" s="40">
        <f>D11/D9</f>
        <v/>
      </c>
      <c r="E12" s="40">
        <f>E11/E9</f>
        <v/>
      </c>
      <c r="F12" s="40">
        <f>F11/F9</f>
        <v/>
      </c>
      <c r="G12" s="40">
        <f>G11/G9</f>
        <v/>
      </c>
      <c r="H12" s="40">
        <f>H11/H9</f>
        <v/>
      </c>
      <c r="I12" s="40">
        <f>I11/I9</f>
        <v/>
      </c>
      <c r="J12" s="40">
        <f>J11/J9</f>
        <v/>
      </c>
      <c r="K12" s="40">
        <f>K11/K9</f>
        <v/>
      </c>
    </row>
    <row r="14">
      <c r="B14" s="2" t="inlineStr">
        <is>
          <t>R&amp;D — training compute</t>
        </is>
      </c>
      <c r="D14" s="38">
        <f>'03_Costs'!D20</f>
        <v/>
      </c>
      <c r="E14" s="38">
        <f>'03_Costs'!E20</f>
        <v/>
      </c>
      <c r="F14" s="38">
        <f>'03_Costs'!F20</f>
        <v/>
      </c>
      <c r="G14" s="38">
        <f>'03_Costs'!G20</f>
        <v/>
      </c>
      <c r="H14" s="38">
        <f>'03_Costs'!H20</f>
        <v/>
      </c>
      <c r="I14" s="38">
        <f>'03_Costs'!I20</f>
        <v/>
      </c>
      <c r="J14" s="38">
        <f>'03_Costs'!J20</f>
        <v/>
      </c>
      <c r="K14" s="38">
        <f>'03_Costs'!K20</f>
        <v/>
      </c>
    </row>
    <row r="15">
      <c r="B15" s="2" t="inlineStr">
        <is>
          <t>R&amp;D — people &amp; other</t>
        </is>
      </c>
      <c r="D15" s="38">
        <f>'03_Costs'!D21</f>
        <v/>
      </c>
      <c r="E15" s="38">
        <f>'03_Costs'!E21</f>
        <v/>
      </c>
      <c r="F15" s="38">
        <f>'03_Costs'!F21</f>
        <v/>
      </c>
      <c r="G15" s="38">
        <f>'03_Costs'!G21</f>
        <v/>
      </c>
      <c r="H15" s="38">
        <f>'03_Costs'!H21</f>
        <v/>
      </c>
      <c r="I15" s="38">
        <f>'03_Costs'!I21</f>
        <v/>
      </c>
      <c r="J15" s="38">
        <f>'03_Costs'!J21</f>
        <v/>
      </c>
      <c r="K15" s="38">
        <f>'03_Costs'!K21</f>
        <v/>
      </c>
    </row>
    <row r="16">
      <c r="B16" s="2" t="inlineStr">
        <is>
          <t>S&amp;M</t>
        </is>
      </c>
      <c r="D16" s="38">
        <f>'03_Costs'!D22</f>
        <v/>
      </c>
      <c r="E16" s="38">
        <f>'03_Costs'!E22</f>
        <v/>
      </c>
      <c r="F16" s="38">
        <f>'03_Costs'!F22</f>
        <v/>
      </c>
      <c r="G16" s="38">
        <f>'03_Costs'!G22</f>
        <v/>
      </c>
      <c r="H16" s="38">
        <f>'03_Costs'!H22</f>
        <v/>
      </c>
      <c r="I16" s="38">
        <f>'03_Costs'!I22</f>
        <v/>
      </c>
      <c r="J16" s="38">
        <f>'03_Costs'!J22</f>
        <v/>
      </c>
      <c r="K16" s="38">
        <f>'03_Costs'!K22</f>
        <v/>
      </c>
    </row>
    <row r="17">
      <c r="B17" s="2" t="inlineStr">
        <is>
          <t>G&amp;A</t>
        </is>
      </c>
      <c r="D17" s="38">
        <f>'03_Costs'!D23</f>
        <v/>
      </c>
      <c r="E17" s="38">
        <f>'03_Costs'!E23</f>
        <v/>
      </c>
      <c r="F17" s="38">
        <f>'03_Costs'!F23</f>
        <v/>
      </c>
      <c r="G17" s="38">
        <f>'03_Costs'!G23</f>
        <v/>
      </c>
      <c r="H17" s="38">
        <f>'03_Costs'!H23</f>
        <v/>
      </c>
      <c r="I17" s="38">
        <f>'03_Costs'!I23</f>
        <v/>
      </c>
      <c r="J17" s="38">
        <f>'03_Costs'!J23</f>
        <v/>
      </c>
      <c r="K17" s="38">
        <f>'03_Costs'!K23</f>
        <v/>
      </c>
    </row>
    <row r="18">
      <c r="B18" s="9" t="inlineStr">
        <is>
          <t>Total opex</t>
        </is>
      </c>
      <c r="D18" s="44">
        <f>SUM(D14:D17)</f>
        <v/>
      </c>
      <c r="E18" s="44">
        <f>SUM(E14:E17)</f>
        <v/>
      </c>
      <c r="F18" s="44">
        <f>SUM(F14:F17)</f>
        <v/>
      </c>
      <c r="G18" s="44">
        <f>SUM(G14:G17)</f>
        <v/>
      </c>
      <c r="H18" s="44">
        <f>SUM(H14:H17)</f>
        <v/>
      </c>
      <c r="I18" s="44">
        <f>SUM(I14:I17)</f>
        <v/>
      </c>
      <c r="J18" s="44">
        <f>SUM(J14:J17)</f>
        <v/>
      </c>
      <c r="K18" s="44">
        <f>SUM(K14:K17)</f>
        <v/>
      </c>
    </row>
    <row r="20">
      <c r="B20" s="9" t="inlineStr">
        <is>
          <t>EBIT</t>
        </is>
      </c>
      <c r="D20" s="31">
        <f>D11-D18</f>
        <v/>
      </c>
      <c r="E20" s="31">
        <f>E11-E18</f>
        <v/>
      </c>
      <c r="F20" s="31">
        <f>F11-F18</f>
        <v/>
      </c>
      <c r="G20" s="31">
        <f>G11-G18</f>
        <v/>
      </c>
      <c r="H20" s="31">
        <f>H11-H18</f>
        <v/>
      </c>
      <c r="I20" s="31">
        <f>I11-I18</f>
        <v/>
      </c>
      <c r="J20" s="31">
        <f>J11-J18</f>
        <v/>
      </c>
      <c r="K20" s="31">
        <f>K11-K18</f>
        <v/>
      </c>
    </row>
    <row r="21">
      <c r="B21" s="39" t="inlineStr">
        <is>
          <t xml:space="preserve">   EBIT margin</t>
        </is>
      </c>
      <c r="D21" s="40">
        <f>D20/D9</f>
        <v/>
      </c>
      <c r="E21" s="40">
        <f>E20/E9</f>
        <v/>
      </c>
      <c r="F21" s="40">
        <f>F20/F9</f>
        <v/>
      </c>
      <c r="G21" s="40">
        <f>G20/G9</f>
        <v/>
      </c>
      <c r="H21" s="40">
        <f>H20/H9</f>
        <v/>
      </c>
      <c r="I21" s="40">
        <f>I20/I9</f>
        <v/>
      </c>
      <c r="J21" s="40">
        <f>J20/J9</f>
        <v/>
      </c>
      <c r="K21" s="40">
        <f>K20/K9</f>
        <v/>
      </c>
    </row>
    <row r="22">
      <c r="B22" s="2" t="inlineStr">
        <is>
          <t>EBIT excl. training compute</t>
        </is>
      </c>
      <c r="D22" s="38">
        <f>D20+D14</f>
        <v/>
      </c>
      <c r="E22" s="38">
        <f>E20+E14</f>
        <v/>
      </c>
      <c r="F22" s="38">
        <f>F20+F14</f>
        <v/>
      </c>
      <c r="G22" s="38">
        <f>G20+G14</f>
        <v/>
      </c>
      <c r="H22" s="38">
        <f>H20+H14</f>
        <v/>
      </c>
      <c r="I22" s="38">
        <f>I20+I14</f>
        <v/>
      </c>
      <c r="J22" s="38">
        <f>J20+J14</f>
        <v/>
      </c>
      <c r="K22" s="38">
        <f>K20+K14</f>
        <v/>
      </c>
      <c r="M22" s="27" t="inlineStr">
        <is>
          <t>WSJ dual-basis: excl-training breakeven 2025, incl-training 2028 (Apr-26 vintage) — actuals beat plan (Q2-26 op profit $559M, T3)</t>
        </is>
      </c>
    </row>
    <row r="24">
      <c r="B24" s="2" t="inlineStr">
        <is>
          <t>Interest income</t>
        </is>
      </c>
      <c r="D24" s="38">
        <f>'05_Cash_Fund'!D24*'00_Assumptions'!$D$25</f>
        <v/>
      </c>
      <c r="E24" s="38">
        <f>'05_Cash_Fund'!E24*'00_Assumptions'!$D$25</f>
        <v/>
      </c>
      <c r="F24" s="38">
        <f>'05_Cash_Fund'!F24*'00_Assumptions'!$D$25</f>
        <v/>
      </c>
      <c r="G24" s="38">
        <f>'05_Cash_Fund'!G24*'00_Assumptions'!$D$25</f>
        <v/>
      </c>
      <c r="H24" s="38">
        <f>'05_Cash_Fund'!H24*'00_Assumptions'!$D$25</f>
        <v/>
      </c>
      <c r="I24" s="38">
        <f>'05_Cash_Fund'!I24*'00_Assumptions'!$D$25</f>
        <v/>
      </c>
      <c r="J24" s="38">
        <f>'05_Cash_Fund'!J24*'00_Assumptions'!$D$25</f>
        <v/>
      </c>
      <c r="K24" s="38">
        <f>'05_Cash_Fund'!K24*'00_Assumptions'!$D$25</f>
        <v/>
      </c>
      <c r="M24" s="27" t="inlineStr">
        <is>
          <t>beginning-of-year cash × yield — avoids circularity</t>
        </is>
      </c>
    </row>
    <row r="25">
      <c r="B25" s="2" t="inlineStr">
        <is>
          <t>Interest expense</t>
        </is>
      </c>
      <c r="D25" s="38">
        <f>('05_Cash_Fund'!D23/2)*'00_Assumptions'!$D$24</f>
        <v/>
      </c>
      <c r="E25" s="38">
        <f>(('05_Cash_Fund'!D23+'05_Cash_Fund'!E23)/2)*'00_Assumptions'!$D$24</f>
        <v/>
      </c>
      <c r="F25" s="38">
        <f>(('05_Cash_Fund'!E23+'05_Cash_Fund'!F23)/2)*'00_Assumptions'!$D$24</f>
        <v/>
      </c>
      <c r="G25" s="38">
        <f>(('05_Cash_Fund'!F23+'05_Cash_Fund'!G23)/2)*'00_Assumptions'!$D$24</f>
        <v/>
      </c>
      <c r="H25" s="38">
        <f>(('05_Cash_Fund'!G23+'05_Cash_Fund'!H23)/2)*'00_Assumptions'!$D$24</f>
        <v/>
      </c>
      <c r="I25" s="38">
        <f>(('05_Cash_Fund'!H23+'05_Cash_Fund'!I23)/2)*'00_Assumptions'!$D$24</f>
        <v/>
      </c>
      <c r="J25" s="38">
        <f>(('05_Cash_Fund'!I23+'05_Cash_Fund'!J23)/2)*'00_Assumptions'!$D$24</f>
        <v/>
      </c>
      <c r="K25" s="38">
        <f>(('05_Cash_Fund'!J23+'05_Cash_Fund'!K23)/2)*'00_Assumptions'!$D$24</f>
        <v/>
      </c>
    </row>
    <row r="26">
      <c r="B26" s="9" t="inlineStr">
        <is>
          <t>EBT</t>
        </is>
      </c>
      <c r="D26" s="44">
        <f>D20+D24-D25</f>
        <v/>
      </c>
      <c r="E26" s="44">
        <f>E20+E24-E25</f>
        <v/>
      </c>
      <c r="F26" s="44">
        <f>F20+F24-F25</f>
        <v/>
      </c>
      <c r="G26" s="44">
        <f>G20+G24-G25</f>
        <v/>
      </c>
      <c r="H26" s="44">
        <f>H20+H24-H25</f>
        <v/>
      </c>
      <c r="I26" s="44">
        <f>I20+I24-I25</f>
        <v/>
      </c>
      <c r="J26" s="44">
        <f>J20+J24-J25</f>
        <v/>
      </c>
      <c r="K26" s="44">
        <f>K20+K24-K25</f>
        <v/>
      </c>
    </row>
    <row r="28">
      <c r="B28" s="2" t="inlineStr">
        <is>
          <t>NOL balance (BoY)</t>
        </is>
      </c>
      <c r="D28" s="32" t="n">
        <v>700</v>
      </c>
      <c r="E28" s="38">
        <f>D28+MAX(0,-D26)-D29</f>
        <v/>
      </c>
      <c r="F28" s="38">
        <f>E28+MAX(0,-E26)-E29</f>
        <v/>
      </c>
      <c r="G28" s="38">
        <f>F28+MAX(0,-F26)-F29</f>
        <v/>
      </c>
      <c r="H28" s="38">
        <f>G28+MAX(0,-G26)-G29</f>
        <v/>
      </c>
      <c r="I28" s="38">
        <f>H28+MAX(0,-H26)-H29</f>
        <v/>
      </c>
      <c r="J28" s="38">
        <f>I28+MAX(0,-I26)-I29</f>
        <v/>
      </c>
      <c r="K28" s="38">
        <f>J28+MAX(0,-J26)-J29</f>
        <v/>
      </c>
      <c r="M28" s="27" t="inlineStr">
        <is>
          <t>pre-2023 accumulated losses est. $0.7B — schedule accretes losses, burns against profits</t>
        </is>
      </c>
    </row>
    <row r="29">
      <c r="B29" s="2" t="inlineStr">
        <is>
          <t>NOL used</t>
        </is>
      </c>
      <c r="D29" s="38">
        <f>MIN(D28,MAX(0,D26))</f>
        <v/>
      </c>
      <c r="E29" s="38">
        <f>MIN(E28,MAX(0,E26))</f>
        <v/>
      </c>
      <c r="F29" s="38">
        <f>MIN(F28,MAX(0,F26))</f>
        <v/>
      </c>
      <c r="G29" s="38">
        <f>MIN(G28,MAX(0,G26))</f>
        <v/>
      </c>
      <c r="H29" s="38">
        <f>MIN(H28,MAX(0,H26))</f>
        <v/>
      </c>
      <c r="I29" s="38">
        <f>MIN(I28,MAX(0,I26))</f>
        <v/>
      </c>
      <c r="J29" s="38">
        <f>MIN(J28,MAX(0,J26))</f>
        <v/>
      </c>
      <c r="K29" s="38">
        <f>MIN(K28,MAX(0,K26))</f>
        <v/>
      </c>
    </row>
    <row r="30">
      <c r="B30" s="2" t="inlineStr">
        <is>
          <t>Taxable income</t>
        </is>
      </c>
      <c r="D30" s="38">
        <f>MAX(0,D26-D29)</f>
        <v/>
      </c>
      <c r="E30" s="38">
        <f>MAX(0,E26-E29)</f>
        <v/>
      </c>
      <c r="F30" s="38">
        <f>MAX(0,F26-F29)</f>
        <v/>
      </c>
      <c r="G30" s="38">
        <f>MAX(0,G26-G29)</f>
        <v/>
      </c>
      <c r="H30" s="38">
        <f>MAX(0,H26-H29)</f>
        <v/>
      </c>
      <c r="I30" s="38">
        <f>MAX(0,I26-I29)</f>
        <v/>
      </c>
      <c r="J30" s="38">
        <f>MAX(0,J26-J29)</f>
        <v/>
      </c>
      <c r="K30" s="38">
        <f>MAX(0,K26-K29)</f>
        <v/>
      </c>
    </row>
    <row r="31">
      <c r="B31" s="2" t="inlineStr">
        <is>
          <t>Tax expense</t>
        </is>
      </c>
      <c r="D31" s="38">
        <f>D30*'00_Assumptions'!$D$23</f>
        <v/>
      </c>
      <c r="E31" s="38">
        <f>E30*'00_Assumptions'!$D$23</f>
        <v/>
      </c>
      <c r="F31" s="38">
        <f>F30*'00_Assumptions'!$D$23</f>
        <v/>
      </c>
      <c r="G31" s="38">
        <f>G30*'00_Assumptions'!$D$23</f>
        <v/>
      </c>
      <c r="H31" s="38">
        <f>H30*'00_Assumptions'!$D$23</f>
        <v/>
      </c>
      <c r="I31" s="38">
        <f>I30*'00_Assumptions'!$D$23</f>
        <v/>
      </c>
      <c r="J31" s="38">
        <f>J30*'00_Assumptions'!$D$23</f>
        <v/>
      </c>
      <c r="K31" s="38">
        <f>K30*'00_Assumptions'!$D$23</f>
        <v/>
      </c>
    </row>
    <row r="33">
      <c r="B33" s="9" t="inlineStr">
        <is>
          <t>Net income</t>
        </is>
      </c>
      <c r="D33" s="46">
        <f>D26-D31</f>
        <v/>
      </c>
      <c r="E33" s="46">
        <f>E26-E31</f>
        <v/>
      </c>
      <c r="F33" s="46">
        <f>F26-F31</f>
        <v/>
      </c>
      <c r="G33" s="46">
        <f>G26-G31</f>
        <v/>
      </c>
      <c r="H33" s="46">
        <f>H26-H31</f>
        <v/>
      </c>
      <c r="I33" s="46">
        <f>I26-I31</f>
        <v/>
      </c>
      <c r="J33" s="46">
        <f>J26-J31</f>
        <v/>
      </c>
      <c r="K33" s="46">
        <f>K26-K31</f>
        <v/>
      </c>
    </row>
    <row r="34">
      <c r="B34" s="39" t="inlineStr">
        <is>
          <t xml:space="preserve">   Net margin</t>
        </is>
      </c>
      <c r="D34" s="40">
        <f>D33/D9</f>
        <v/>
      </c>
      <c r="E34" s="40">
        <f>E33/E9</f>
        <v/>
      </c>
      <c r="F34" s="40">
        <f>F33/F9</f>
        <v/>
      </c>
      <c r="G34" s="40">
        <f>G33/G9</f>
        <v/>
      </c>
      <c r="H34" s="40">
        <f>H33/H9</f>
        <v/>
      </c>
      <c r="I34" s="40">
        <f>I33/I9</f>
        <v/>
      </c>
      <c r="J34" s="40">
        <f>J33/J9</f>
        <v/>
      </c>
      <c r="K34" s="40">
        <f>K33/K9</f>
        <v/>
      </c>
    </row>
    <row r="36">
      <c r="B36" s="14" t="inlineStr">
        <is>
          <t>No D&amp;A line: compute is rented/prepaid (opex), owned-infra capex is small — see 05_Cash_Fund. SBC not separable pre-S-1 (private); flag for the T1 upgrade.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3:M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2" customWidth="1" min="2" max="2"/>
    <col width="13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  <col width="70" customWidth="1" min="13" max="13"/>
  </cols>
  <sheetData>
    <row r="3">
      <c r="A3" s="12" t="n"/>
      <c r="B3" s="13" t="inlineStr">
        <is>
          <t>Free Cash Flow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All figures in USD millions unless stated</t>
        </is>
      </c>
    </row>
    <row r="7">
      <c r="D7" s="18">
        <f>'00_Assumptions'!D$10</f>
        <v/>
      </c>
      <c r="E7" s="18">
        <f>'00_Assumptions'!E$10</f>
        <v/>
      </c>
      <c r="F7" s="18">
        <f>'00_Assumptions'!F$10</f>
        <v/>
      </c>
      <c r="G7" s="19">
        <f>'00_Assumptions'!G$10</f>
        <v/>
      </c>
      <c r="H7" s="19">
        <f>'00_Assumptions'!H$10</f>
        <v/>
      </c>
      <c r="I7" s="19">
        <f>'00_Assumptions'!I$10</f>
        <v/>
      </c>
      <c r="J7" s="19">
        <f>'00_Assumptions'!J$10</f>
        <v/>
      </c>
      <c r="K7" s="19">
        <f>'00_Assumptions'!K$10</f>
        <v/>
      </c>
    </row>
    <row r="9">
      <c r="B9" s="2" t="inlineStr">
        <is>
          <t>Net income</t>
        </is>
      </c>
      <c r="D9" s="38">
        <f>'04_PL'!D33</f>
        <v/>
      </c>
      <c r="E9" s="38">
        <f>'04_PL'!E33</f>
        <v/>
      </c>
      <c r="F9" s="38">
        <f>'04_PL'!F33</f>
        <v/>
      </c>
      <c r="G9" s="38">
        <f>'04_PL'!G33</f>
        <v/>
      </c>
      <c r="H9" s="38">
        <f>'04_PL'!H33</f>
        <v/>
      </c>
      <c r="I9" s="38">
        <f>'04_PL'!I33</f>
        <v/>
      </c>
      <c r="J9" s="38">
        <f>'04_PL'!J33</f>
        <v/>
      </c>
      <c r="K9" s="38">
        <f>'04_PL'!K33</f>
        <v/>
      </c>
    </row>
    <row r="10">
      <c r="B10" s="2" t="inlineStr">
        <is>
          <t>Prepaid compute &amp; WC build</t>
        </is>
      </c>
      <c r="D10" s="32" t="n">
        <v>0</v>
      </c>
      <c r="E10" s="32" t="n">
        <v>0</v>
      </c>
      <c r="F10" s="32" t="n">
        <v>0</v>
      </c>
      <c r="G10" s="38">
        <f>-('00_Assumptions'!G69*'02_Revenue'!G17)</f>
        <v/>
      </c>
      <c r="H10" s="38">
        <f>-('00_Assumptions'!H69*'02_Revenue'!H17)</f>
        <v/>
      </c>
      <c r="I10" s="38">
        <f>-('00_Assumptions'!I69*'02_Revenue'!I17)</f>
        <v/>
      </c>
      <c r="J10" s="38">
        <f>-('00_Assumptions'!J69*'02_Revenue'!J17)</f>
        <v/>
      </c>
      <c r="K10" s="38">
        <f>-('00_Assumptions'!K69*'02_Revenue'!K17)</f>
        <v/>
      </c>
    </row>
    <row r="11">
      <c r="B11" s="2" t="inlineStr">
        <is>
          <t>Owned-infra capex</t>
        </is>
      </c>
      <c r="D11" s="32" t="n">
        <v>0</v>
      </c>
      <c r="E11" s="32" t="n">
        <v>0</v>
      </c>
      <c r="F11" s="32" t="n">
        <v>0</v>
      </c>
      <c r="G11" s="38">
        <f>-('00_Assumptions'!$D$26*'02_Revenue'!G17)</f>
        <v/>
      </c>
      <c r="H11" s="38">
        <f>-('00_Assumptions'!$D$26*'02_Revenue'!H17)</f>
        <v/>
      </c>
      <c r="I11" s="38">
        <f>-('00_Assumptions'!$D$26*'02_Revenue'!I17)</f>
        <v/>
      </c>
      <c r="J11" s="38">
        <f>-('00_Assumptions'!$D$26*'02_Revenue'!J17)</f>
        <v/>
      </c>
      <c r="K11" s="38">
        <f>-('00_Assumptions'!$D$26*'02_Revenue'!K17)</f>
        <v/>
      </c>
    </row>
    <row r="13">
      <c r="B13" s="9" t="inlineStr">
        <is>
          <t>Free cash flow</t>
        </is>
      </c>
      <c r="D13" s="31">
        <f>SUM(D9:D11)</f>
        <v/>
      </c>
      <c r="E13" s="31">
        <f>SUM(E9:E11)</f>
        <v/>
      </c>
      <c r="F13" s="31">
        <f>SUM(F9:F11)</f>
        <v/>
      </c>
      <c r="G13" s="31">
        <f>SUM(G9:G11)</f>
        <v/>
      </c>
      <c r="H13" s="31">
        <f>SUM(H9:H11)</f>
        <v/>
      </c>
      <c r="I13" s="31">
        <f>SUM(I9:I11)</f>
        <v/>
      </c>
      <c r="J13" s="31">
        <f>SUM(J9:J11)</f>
        <v/>
      </c>
      <c r="K13" s="31">
        <f>SUM(K9:K11)</f>
        <v/>
      </c>
    </row>
    <row r="14">
      <c r="B14" s="14" t="inlineStr">
        <is>
          <t>Reported burn: FY2025 −$5.6B (T3) vs derived — triangulation gap documented on 01_Data row 40. Hist. prepay/capex set to 0 (est.).</t>
        </is>
      </c>
    </row>
    <row r="16">
      <c r="A16" s="12" t="n"/>
      <c r="B16" s="13" t="inlineStr">
        <is>
          <t>Financing &amp; Cash Walk</t>
        </is>
      </c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8">
      <c r="B18" s="14" t="inlineStr">
        <is>
          <t>All figures in USD millions unless stated</t>
        </is>
      </c>
    </row>
    <row r="19">
      <c r="D19" s="18">
        <f>'00_Assumptions'!D$10</f>
        <v/>
      </c>
      <c r="E19" s="18">
        <f>'00_Assumptions'!E$10</f>
        <v/>
      </c>
      <c r="F19" s="18">
        <f>'00_Assumptions'!F$10</f>
        <v/>
      </c>
      <c r="G19" s="19">
        <f>'00_Assumptions'!G$10</f>
        <v/>
      </c>
      <c r="H19" s="19">
        <f>'00_Assumptions'!H$10</f>
        <v/>
      </c>
      <c r="I19" s="19">
        <f>'00_Assumptions'!I$10</f>
        <v/>
      </c>
      <c r="J19" s="19">
        <f>'00_Assumptions'!J$10</f>
        <v/>
      </c>
      <c r="K19" s="19">
        <f>'00_Assumptions'!K$10</f>
        <v/>
      </c>
    </row>
    <row r="21">
      <c r="B21" s="2" t="inlineStr">
        <is>
          <t>Equity raised ($M)</t>
        </is>
      </c>
      <c r="D21" s="32" t="n">
        <v>2000</v>
      </c>
      <c r="E21" s="32" t="n">
        <v>9200</v>
      </c>
      <c r="F21" s="32" t="n">
        <v>16500</v>
      </c>
      <c r="G21" s="32" t="n">
        <v>95000</v>
      </c>
      <c r="H21" s="32" t="n">
        <v>0</v>
      </c>
      <c r="I21" s="32" t="n">
        <v>0</v>
      </c>
      <c r="J21" s="32" t="n">
        <v>0</v>
      </c>
      <c r="K21" s="32" t="n">
        <v>0</v>
      </c>
      <c r="M21" s="27" t="inlineStr">
        <is>
          <t>2026 = Series G $30B + Series H $65B · pre-2023 $1.6B sits in opening cash · est. year-split, tied to $124.3B [CANONICAL] via check</t>
        </is>
      </c>
    </row>
    <row r="22">
      <c r="B22" s="2" t="inlineStr">
        <is>
          <t>Debt raised ($M)</t>
        </is>
      </c>
      <c r="D22" s="32" t="n">
        <v>0</v>
      </c>
      <c r="E22" s="32" t="n">
        <v>0</v>
      </c>
      <c r="F22" s="32" t="n">
        <v>2500</v>
      </c>
      <c r="G22" s="32" t="n">
        <v>34500</v>
      </c>
      <c r="H22" s="32" t="n">
        <v>0</v>
      </c>
      <c r="I22" s="32" t="n">
        <v>0</v>
      </c>
      <c r="J22" s="32" t="n">
        <v>0</v>
      </c>
      <c r="K22" s="32" t="n">
        <v>0</v>
      </c>
    </row>
    <row r="23">
      <c r="B23" s="2" t="inlineStr">
        <is>
          <t>Debt balance (EoY)</t>
        </is>
      </c>
      <c r="D23" s="38">
        <f>D22</f>
        <v/>
      </c>
      <c r="E23" s="38">
        <f>D23+E22</f>
        <v/>
      </c>
      <c r="F23" s="38">
        <f>E23+F22</f>
        <v/>
      </c>
      <c r="G23" s="38">
        <f>F23+G22</f>
        <v/>
      </c>
      <c r="H23" s="38">
        <f>G23+H22</f>
        <v/>
      </c>
      <c r="I23" s="38">
        <f>H23+I22</f>
        <v/>
      </c>
      <c r="J23" s="38">
        <f>I23+J22</f>
        <v/>
      </c>
      <c r="K23" s="38">
        <f>J23+K22</f>
        <v/>
      </c>
    </row>
    <row r="24">
      <c r="B24" s="2" t="inlineStr">
        <is>
          <t>Cash — BoY</t>
        </is>
      </c>
      <c r="D24" s="32" t="n">
        <v>700</v>
      </c>
      <c r="E24" s="38">
        <f>D25</f>
        <v/>
      </c>
      <c r="F24" s="38">
        <f>E25</f>
        <v/>
      </c>
      <c r="G24" s="38">
        <f>F25</f>
        <v/>
      </c>
      <c r="H24" s="38">
        <f>G25</f>
        <v/>
      </c>
      <c r="I24" s="38">
        <f>H25</f>
        <v/>
      </c>
      <c r="J24" s="38">
        <f>I25</f>
        <v/>
      </c>
      <c r="K24" s="38">
        <f>J25</f>
        <v/>
      </c>
      <c r="M24" s="27" t="inlineStr">
        <is>
          <t>opening cash = pre-2023 raises net of pre-2023 burn (est.)</t>
        </is>
      </c>
    </row>
    <row r="25">
      <c r="B25" s="9" t="inlineStr">
        <is>
          <t>Cash — EoY</t>
        </is>
      </c>
      <c r="D25" s="31">
        <f>D24+D21+D22+D13</f>
        <v/>
      </c>
      <c r="E25" s="31">
        <f>E24+E21+E22+E13</f>
        <v/>
      </c>
      <c r="F25" s="31">
        <f>F24+F21+F22+F13</f>
        <v/>
      </c>
      <c r="G25" s="31">
        <f>G24+G21+G22+G13</f>
        <v/>
      </c>
      <c r="H25" s="31">
        <f>H24+H21+H22+H13</f>
        <v/>
      </c>
      <c r="I25" s="31">
        <f>I24+I21+I22+I13</f>
        <v/>
      </c>
      <c r="J25" s="31">
        <f>J24+J21+J22+J13</f>
        <v/>
      </c>
      <c r="K25" s="31">
        <f>K24+K21+K22+K13</f>
        <v/>
      </c>
    </row>
    <row r="27">
      <c r="B27" s="2" t="inlineStr">
        <is>
          <t>Check: cum. equity − $124.3B [CANONICAL]</t>
        </is>
      </c>
      <c r="D27" s="47">
        <f>1600+SUM(D21:K21)-124300</f>
        <v/>
      </c>
      <c r="F27" s="27" t="inlineStr">
        <is>
          <t>(0 = ties · red = broken)</t>
        </is>
      </c>
    </row>
    <row r="29">
      <c r="A29" s="12" t="n"/>
      <c r="B29" s="13" t="inlineStr">
        <is>
          <t>Capitalization &amp; Efficiency</t>
        </is>
      </c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</row>
    <row r="31">
      <c r="B31" s="9" t="inlineStr">
        <is>
          <t>Total equity raised (cum., $M)</t>
        </is>
      </c>
      <c r="C31" s="45">
        <f>1600+SUM(D21:K21)</f>
        <v/>
      </c>
      <c r="E31" s="27" t="inlineStr">
        <is>
          <t>Ruling 1 denominator</t>
        </is>
      </c>
    </row>
    <row r="32">
      <c r="B32" s="2" t="inlineStr">
        <is>
          <t>Total debt ($M)</t>
        </is>
      </c>
      <c r="C32" s="45">
        <f>K23</f>
        <v/>
      </c>
      <c r="E32" s="27" t="inlineStr">
        <is>
          <t>chip bonds + revolver</t>
        </is>
      </c>
    </row>
    <row r="33">
      <c r="B33" s="9" t="inlineStr">
        <is>
          <t>Net cash — EoY 2026E ($M)</t>
        </is>
      </c>
      <c r="C33" s="45">
        <f>G25-G23</f>
        <v/>
      </c>
      <c r="E33" s="27" t="inlineStr">
        <is>
          <t>feeds the DCF bridge</t>
        </is>
      </c>
    </row>
    <row r="34">
      <c r="B34" s="2" t="inlineStr">
        <is>
          <t>CE — Jul-26 run-rate ÷ equity</t>
        </is>
      </c>
      <c r="C34" s="48">
        <f>'01_Data'!C28/C31</f>
        <v/>
      </c>
      <c r="E34" s="27" t="inlineStr">
        <is>
          <t>gross basis (Ruling 1)</t>
        </is>
      </c>
    </row>
    <row r="35">
      <c r="B35" s="2" t="inlineStr">
        <is>
          <t>CE — equalized net ÷ equity</t>
        </is>
      </c>
      <c r="C35" s="48">
        <f>('01_Data'!C28*'00_Assumptions'!$D$22)/C31</f>
        <v/>
      </c>
      <c r="E35" s="27" t="inlineStr">
        <is>
          <t>comparable to OpenAI 0.138x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3:L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0" customWidth="1" min="2" max="2"/>
    <col width="13" customWidth="1" min="3" max="3"/>
    <col width="11" customWidth="1" min="4" max="4"/>
    <col width="11" customWidth="1" min="5" max="5"/>
    <col width="9" customWidth="1" min="6" max="6"/>
    <col width="26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  <col width="70" customWidth="1" min="13" max="13"/>
  </cols>
  <sheetData>
    <row r="3">
      <c r="A3" s="12" t="n"/>
      <c r="B3" s="13" t="inlineStr">
        <is>
          <t>Marks Ladder — what each round paid per $ of run-rate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USD millions · multiples on GROSS run-rate unless noted</t>
        </is>
      </c>
    </row>
    <row r="7">
      <c r="B7" s="34" t="inlineStr">
        <is>
          <t>Round</t>
        </is>
      </c>
      <c r="C7" s="34" t="inlineStr">
        <is>
          <t>Date</t>
        </is>
      </c>
      <c r="D7" s="34" t="inlineStr">
        <is>
          <t>Post-money</t>
        </is>
      </c>
      <c r="E7" s="34" t="inlineStr">
        <is>
          <t>RR at mark</t>
        </is>
      </c>
      <c r="F7" s="34" t="inlineStr">
        <is>
          <t>EV / RR</t>
        </is>
      </c>
      <c r="G7" s="34" t="inlineStr">
        <is>
          <t>Note</t>
        </is>
      </c>
    </row>
    <row r="8">
      <c r="B8" s="2" t="inlineStr">
        <is>
          <t>Series E</t>
        </is>
      </c>
      <c r="C8" s="35" t="inlineStr">
        <is>
          <t>Mar-25</t>
        </is>
      </c>
      <c r="D8" s="32" t="n">
        <v>61500</v>
      </c>
      <c r="E8" s="32" t="n">
        <v>2000</v>
      </c>
      <c r="F8" s="49">
        <f>D8/E8</f>
        <v/>
      </c>
      <c r="G8" s="27" t="inlineStr">
        <is>
          <t>RR est. (T3)</t>
        </is>
      </c>
    </row>
    <row r="9">
      <c r="B9" s="2" t="inlineStr">
        <is>
          <t>Series F</t>
        </is>
      </c>
      <c r="C9" s="35" t="inlineStr">
        <is>
          <t>Sep-25</t>
        </is>
      </c>
      <c r="D9" s="32" t="n">
        <v>183000</v>
      </c>
      <c r="E9" s="32" t="n">
        <v>5000</v>
      </c>
      <c r="F9" s="49">
        <f>D9/E9</f>
        <v/>
      </c>
      <c r="G9" s="27" t="inlineStr">
        <is>
          <t>RR ~Aug-25 (T2)</t>
        </is>
      </c>
    </row>
    <row r="10">
      <c r="B10" s="2" t="inlineStr">
        <is>
          <t>Series G</t>
        </is>
      </c>
      <c r="C10" s="35" t="inlineStr">
        <is>
          <t>Feb-26</t>
        </is>
      </c>
      <c r="D10" s="32" t="n">
        <v>380000</v>
      </c>
      <c r="E10" s="32" t="n">
        <v>14000</v>
      </c>
      <c r="F10" s="49">
        <f>D10/E10</f>
        <v/>
      </c>
      <c r="G10" s="27" t="inlineStr">
        <is>
          <t>RR Feb-26 (T3)</t>
        </is>
      </c>
    </row>
    <row r="11">
      <c r="B11" s="2" t="inlineStr">
        <is>
          <t>Series H</t>
        </is>
      </c>
      <c r="C11" s="35" t="inlineStr">
        <is>
          <t>May-26</t>
        </is>
      </c>
      <c r="D11" s="32" t="n">
        <v>965000</v>
      </c>
      <c r="E11" s="32" t="n">
        <v>47000</v>
      </c>
      <c r="F11" s="49">
        <f>D11/E11</f>
        <v/>
      </c>
      <c r="G11" s="27" t="inlineStr">
        <is>
          <t>RR May-26 (T2)</t>
        </is>
      </c>
    </row>
    <row r="12">
      <c r="B12" s="9" t="inlineStr">
        <is>
          <t>Series H mark vs Jul-26 RR</t>
        </is>
      </c>
      <c r="C12" s="35" t="inlineStr">
        <is>
          <t>Aug-26</t>
        </is>
      </c>
      <c r="D12" s="45">
        <f>D11</f>
        <v/>
      </c>
      <c r="E12" s="45">
        <f>'01_Data'!C28</f>
        <v/>
      </c>
      <c r="F12" s="50">
        <f>D12/E12</f>
        <v/>
      </c>
      <c r="G12" s="27" t="inlineStr">
        <is>
          <t>compression on growth alone</t>
        </is>
      </c>
    </row>
    <row r="13">
      <c r="B13" s="39" t="inlineStr">
        <is>
          <t xml:space="preserve">   same, equalized NET (Ruling 5)</t>
        </is>
      </c>
      <c r="E13" s="38">
        <f>E12*'00_Assumptions'!$D$22</f>
        <v/>
      </c>
      <c r="F13" s="48">
        <f>D12/E13</f>
        <v/>
      </c>
      <c r="G13" s="27" t="inlineStr">
        <is>
          <t>was 34.1x at the May close</t>
        </is>
      </c>
    </row>
    <row r="15">
      <c r="A15" s="12" t="n"/>
      <c r="B15" s="13" t="inlineStr">
        <is>
          <t>Comps — equalized basis only (Ruling 5: never gross vs net)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7">
      <c r="B17" s="34" t="inlineStr">
        <is>
          <t>Company</t>
        </is>
      </c>
      <c r="C17" s="34" t="inlineStr"/>
      <c r="D17" s="34" t="inlineStr">
        <is>
          <t>EV / mark</t>
        </is>
      </c>
      <c r="E17" s="34" t="inlineStr">
        <is>
          <t>Net RR</t>
        </is>
      </c>
      <c r="F17" s="34" t="inlineStr">
        <is>
          <t>EV / net RR</t>
        </is>
      </c>
      <c r="G17" s="34" t="inlineStr">
        <is>
          <t>Note</t>
        </is>
      </c>
    </row>
    <row r="18">
      <c r="B18" s="2" t="inlineStr">
        <is>
          <t>OpenAI</t>
        </is>
      </c>
      <c r="D18" s="32" t="n">
        <v>852000</v>
      </c>
      <c r="E18" s="32" t="n">
        <v>25000</v>
      </c>
      <c r="F18" s="49">
        <f>D18/E18</f>
        <v/>
      </c>
      <c r="G18" s="51" t="inlineStr">
        <is>
          <t>[STALE — Mar-26 mark, ~Jun-26 ARR · re-pull]</t>
        </is>
      </c>
    </row>
    <row r="19">
      <c r="B19" s="2" t="inlineStr">
        <is>
          <t>Anthropic (equalized)</t>
        </is>
      </c>
      <c r="D19" s="38">
        <f>D12</f>
        <v/>
      </c>
      <c r="E19" s="38">
        <f>E13</f>
        <v/>
      </c>
      <c r="F19" s="48">
        <f>D19/E19</f>
        <v/>
      </c>
      <c r="G19" s="27" t="inlineStr">
        <is>
          <t>identical basis to OpenAI row</t>
        </is>
      </c>
    </row>
    <row r="20">
      <c r="B20" s="2" t="inlineStr">
        <is>
          <t>Databricks</t>
        </is>
      </c>
      <c r="D20" s="32" t="n">
        <v>134000</v>
      </c>
      <c r="E20" s="32" t="n">
        <v>5400</v>
      </c>
      <c r="F20" s="49">
        <f>D20/E20</f>
        <v/>
      </c>
      <c r="G20" s="51" t="inlineStr">
        <is>
          <t>[STALE — Feb-26 · reports net]</t>
        </is>
      </c>
    </row>
    <row r="21">
      <c r="B21" s="42" t="inlineStr">
        <is>
          <t>xAI-in-SPCX: SOTP stale, Q2 printed Aug-6 [VERIFY] — excluded until re-pulled</t>
        </is>
      </c>
    </row>
    <row r="23">
      <c r="A23" s="12" t="n"/>
      <c r="B23" s="13" t="inlineStr">
        <is>
          <t>DCF — valuation date 31-Dec-2026 · active scenario</t>
        </is>
      </c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</row>
    <row r="25">
      <c r="B25" s="14" t="inlineStr">
        <is>
          <t>All figures in USD millions unless stated</t>
        </is>
      </c>
    </row>
    <row r="26">
      <c r="D26" s="18">
        <f>'00_Assumptions'!D$10</f>
        <v/>
      </c>
      <c r="E26" s="18">
        <f>'00_Assumptions'!E$10</f>
        <v/>
      </c>
      <c r="F26" s="18">
        <f>'00_Assumptions'!F$10</f>
        <v/>
      </c>
      <c r="G26" s="19">
        <f>'00_Assumptions'!G$10</f>
        <v/>
      </c>
      <c r="H26" s="19">
        <f>'00_Assumptions'!H$10</f>
        <v/>
      </c>
      <c r="I26" s="19">
        <f>'00_Assumptions'!I$10</f>
        <v/>
      </c>
      <c r="J26" s="19">
        <f>'00_Assumptions'!J$10</f>
        <v/>
      </c>
      <c r="K26" s="19">
        <f>'00_Assumptions'!K$10</f>
        <v/>
      </c>
    </row>
    <row r="28">
      <c r="B28" s="2" t="inlineStr">
        <is>
          <t>Free cash flow ($M)</t>
        </is>
      </c>
      <c r="D28" s="38">
        <f>'05_Cash_Fund'!D13</f>
        <v/>
      </c>
      <c r="E28" s="38">
        <f>'05_Cash_Fund'!E13</f>
        <v/>
      </c>
      <c r="F28" s="38">
        <f>'05_Cash_Fund'!F13</f>
        <v/>
      </c>
      <c r="G28" s="38">
        <f>'05_Cash_Fund'!G13</f>
        <v/>
      </c>
      <c r="H28" s="38">
        <f>'05_Cash_Fund'!H13</f>
        <v/>
      </c>
      <c r="I28" s="38">
        <f>'05_Cash_Fund'!I13</f>
        <v/>
      </c>
      <c r="J28" s="38">
        <f>'05_Cash_Fund'!J13</f>
        <v/>
      </c>
      <c r="K28" s="38">
        <f>'05_Cash_Fund'!K13</f>
        <v/>
      </c>
    </row>
    <row r="29">
      <c r="B29" s="2" t="inlineStr">
        <is>
          <t>Discount period (yrs)</t>
        </is>
      </c>
      <c r="H29" s="15" t="n">
        <v>1</v>
      </c>
      <c r="I29" s="15" t="n">
        <v>2</v>
      </c>
      <c r="J29" s="15" t="n">
        <v>3</v>
      </c>
      <c r="K29" s="15" t="n">
        <v>4</v>
      </c>
    </row>
    <row r="30">
      <c r="B30" s="2" t="inlineStr">
        <is>
          <t>PV of FCF</t>
        </is>
      </c>
      <c r="H30" s="38">
        <f>H28/(1+'00_Assumptions'!$G$17)^H29</f>
        <v/>
      </c>
      <c r="I30" s="38">
        <f>I28/(1+'00_Assumptions'!$G$17)^I29</f>
        <v/>
      </c>
      <c r="J30" s="38">
        <f>J28/(1+'00_Assumptions'!$G$17)^J29</f>
        <v/>
      </c>
      <c r="K30" s="38">
        <f>K28/(1+'00_Assumptions'!$G$17)^K29</f>
        <v/>
      </c>
    </row>
    <row r="32">
      <c r="B32" s="9" t="inlineStr">
        <is>
          <t>PV of explicit FCF 2027E–2030E</t>
        </is>
      </c>
      <c r="C32" s="45">
        <f>SUM(H30:K30)</f>
        <v/>
      </c>
    </row>
    <row r="33">
      <c r="B33" s="2" t="inlineStr">
        <is>
          <t>Terminal value — Gordon</t>
        </is>
      </c>
      <c r="C33" s="38">
        <f>K28*(1+'00_Assumptions'!$G$18)/('00_Assumptions'!$G$17-'00_Assumptions'!$G$18)</f>
        <v/>
      </c>
    </row>
    <row r="34">
      <c r="B34" s="2" t="inlineStr">
        <is>
          <t xml:space="preserve">   PV of terminal (Gordon)</t>
        </is>
      </c>
      <c r="C34" s="38">
        <f>C33/(1+'00_Assumptions'!$G$17)^4</f>
        <v/>
      </c>
    </row>
    <row r="35">
      <c r="B35" s="2" t="inlineStr">
        <is>
          <t>Terminal value — exit multiple</t>
        </is>
      </c>
      <c r="C35" s="38">
        <f>K28*'00_Assumptions'!$G$19</f>
        <v/>
      </c>
    </row>
    <row r="36">
      <c r="B36" s="2" t="inlineStr">
        <is>
          <t xml:space="preserve">   PV of terminal (multiple)</t>
        </is>
      </c>
      <c r="C36" s="38">
        <f>C35/(1+'00_Assumptions'!$G$17)^4</f>
        <v/>
      </c>
    </row>
    <row r="37">
      <c r="B37" s="2" t="inlineStr">
        <is>
          <t>Net cash — EoY 2026E</t>
        </is>
      </c>
      <c r="C37" s="38">
        <f>'05_Cash_Fund'!C33</f>
        <v/>
      </c>
    </row>
    <row r="39">
      <c r="B39" s="9" t="inlineStr">
        <is>
          <t>Equity value — Gordon ($M)</t>
        </is>
      </c>
      <c r="C39" s="31">
        <f>C32+C34+C37</f>
        <v/>
      </c>
    </row>
    <row r="40">
      <c r="B40" s="9" t="inlineStr">
        <is>
          <t>Equity value — exit multiple ($M)</t>
        </is>
      </c>
      <c r="C40" s="31">
        <f>C32+C36+C37</f>
        <v/>
      </c>
    </row>
    <row r="42">
      <c r="B42" s="2" t="inlineStr">
        <is>
          <t>Terminal as % of operating EV (Gordon)</t>
        </is>
      </c>
      <c r="C42" s="43">
        <f>C34/(C32+C34)</f>
        <v/>
      </c>
    </row>
    <row r="43">
      <c r="B43" s="9" t="inlineStr">
        <is>
          <t>vs Series H $965B — Gordon</t>
        </is>
      </c>
      <c r="C43" s="52">
        <f>C39/965000-1</f>
        <v/>
      </c>
    </row>
    <row r="44">
      <c r="B44" s="9" t="inlineStr">
        <is>
          <t>vs Series H $965B — exit multiple</t>
        </is>
      </c>
      <c r="C44" s="52">
        <f>C40/965000-1</f>
        <v/>
      </c>
    </row>
    <row r="46">
      <c r="B46" s="9" t="inlineStr">
        <is>
          <t>Reverse-DCF: implied 2030E FCF multiple at $965B</t>
        </is>
      </c>
      <c r="C46" s="48">
        <f>(965000-C37-C32)*(1+'00_Assumptions'!$G$17)^4/K28</f>
        <v/>
      </c>
    </row>
    <row r="48">
      <c r="B48" s="14" t="inlineStr">
        <is>
          <t>FCF is basis-invariant: gross vs net revenue presentation changes multiples, never cash. 4-yr explicit window ⇒ terminal dominates — Gordon at ~3% understates a business still compounding double-digit into 2030; the exit multiple carries persistence. The two bracket the question.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3:L2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13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3" customWidth="1" min="8" max="8"/>
    <col width="40" customWidth="1" min="9" max="9"/>
  </cols>
  <sheetData>
    <row r="3">
      <c r="A3" s="12" t="n"/>
      <c r="B3" s="13" t="inlineStr">
        <is>
          <t>Equity Value ($B) — Discount Rate × Terminal Growth (Gordon)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Rebuilds the DCF at each (r, g) from the active-scenario FCF stream + net cash</t>
        </is>
      </c>
    </row>
    <row r="7">
      <c r="B7" s="20" t="inlineStr">
        <is>
          <t>r \ g</t>
        </is>
      </c>
      <c r="C7" s="53" t="n">
        <v>0.02</v>
      </c>
      <c r="D7" s="53" t="n">
        <v>0.025</v>
      </c>
      <c r="E7" s="53" t="n">
        <v>0.03</v>
      </c>
      <c r="F7" s="53" t="n">
        <v>0.035</v>
      </c>
      <c r="G7" s="53" t="n">
        <v>0.04</v>
      </c>
    </row>
    <row r="8">
      <c r="B8" s="54" t="n">
        <v>0.14</v>
      </c>
      <c r="C8" s="38">
        <f>('06_Valuation'!$H$28/(1+$B8)^1+'06_Valuation'!$I$28/(1+$B8)^2+'06_Valuation'!$J$28/(1+$B8)^3+'06_Valuation'!$K$28/(1+$B8)^4+('06_Valuation'!$K$28*(1+C$7)/($B8-C$7))/(1+$B8)^4+'06_Valuation'!$C$37)/1000</f>
        <v/>
      </c>
      <c r="D8" s="38">
        <f>('06_Valuation'!$H$28/(1+$B8)^1+'06_Valuation'!$I$28/(1+$B8)^2+'06_Valuation'!$J$28/(1+$B8)^3+'06_Valuation'!$K$28/(1+$B8)^4+('06_Valuation'!$K$28*(1+D$7)/($B8-D$7))/(1+$B8)^4+'06_Valuation'!$C$37)/1000</f>
        <v/>
      </c>
      <c r="E8" s="38">
        <f>('06_Valuation'!$H$28/(1+$B8)^1+'06_Valuation'!$I$28/(1+$B8)^2+'06_Valuation'!$J$28/(1+$B8)^3+'06_Valuation'!$K$28/(1+$B8)^4+('06_Valuation'!$K$28*(1+E$7)/($B8-E$7))/(1+$B8)^4+'06_Valuation'!$C$37)/1000</f>
        <v/>
      </c>
      <c r="F8" s="38">
        <f>('06_Valuation'!$H$28/(1+$B8)^1+'06_Valuation'!$I$28/(1+$B8)^2+'06_Valuation'!$J$28/(1+$B8)^3+'06_Valuation'!$K$28/(1+$B8)^4+('06_Valuation'!$K$28*(1+F$7)/($B8-F$7))/(1+$B8)^4+'06_Valuation'!$C$37)/1000</f>
        <v/>
      </c>
      <c r="G8" s="38">
        <f>('06_Valuation'!$H$28/(1+$B8)^1+'06_Valuation'!$I$28/(1+$B8)^2+'06_Valuation'!$J$28/(1+$B8)^3+'06_Valuation'!$K$28/(1+$B8)^4+('06_Valuation'!$K$28*(1+G$7)/($B8-G$7))/(1+$B8)^4+'06_Valuation'!$C$37)/1000</f>
        <v/>
      </c>
      <c r="I8" s="14" t="inlineStr">
        <is>
          <t>Base cell: r 18.0% × g 3.0% (Base scenario)</t>
        </is>
      </c>
    </row>
    <row r="9">
      <c r="B9" s="54" t="n">
        <v>0.16</v>
      </c>
      <c r="C9" s="38">
        <f>('06_Valuation'!$H$28/(1+$B9)^1+'06_Valuation'!$I$28/(1+$B9)^2+'06_Valuation'!$J$28/(1+$B9)^3+'06_Valuation'!$K$28/(1+$B9)^4+('06_Valuation'!$K$28*(1+C$7)/($B9-C$7))/(1+$B9)^4+'06_Valuation'!$C$37)/1000</f>
        <v/>
      </c>
      <c r="D9" s="38">
        <f>('06_Valuation'!$H$28/(1+$B9)^1+'06_Valuation'!$I$28/(1+$B9)^2+'06_Valuation'!$J$28/(1+$B9)^3+'06_Valuation'!$K$28/(1+$B9)^4+('06_Valuation'!$K$28*(1+D$7)/($B9-D$7))/(1+$B9)^4+'06_Valuation'!$C$37)/1000</f>
        <v/>
      </c>
      <c r="E9" s="38">
        <f>('06_Valuation'!$H$28/(1+$B9)^1+'06_Valuation'!$I$28/(1+$B9)^2+'06_Valuation'!$J$28/(1+$B9)^3+'06_Valuation'!$K$28/(1+$B9)^4+('06_Valuation'!$K$28*(1+E$7)/($B9-E$7))/(1+$B9)^4+'06_Valuation'!$C$37)/1000</f>
        <v/>
      </c>
      <c r="F9" s="38">
        <f>('06_Valuation'!$H$28/(1+$B9)^1+'06_Valuation'!$I$28/(1+$B9)^2+'06_Valuation'!$J$28/(1+$B9)^3+'06_Valuation'!$K$28/(1+$B9)^4+('06_Valuation'!$K$28*(1+F$7)/($B9-F$7))/(1+$B9)^4+'06_Valuation'!$C$37)/1000</f>
        <v/>
      </c>
      <c r="G9" s="38">
        <f>('06_Valuation'!$H$28/(1+$B9)^1+'06_Valuation'!$I$28/(1+$B9)^2+'06_Valuation'!$J$28/(1+$B9)^3+'06_Valuation'!$K$28/(1+$B9)^4+('06_Valuation'!$K$28*(1+G$7)/($B9-G$7))/(1+$B9)^4+'06_Valuation'!$C$37)/1000</f>
        <v/>
      </c>
      <c r="I9" s="14" t="inlineStr">
        <is>
          <t>$965B mark = Series H, May-26</t>
        </is>
      </c>
    </row>
    <row r="10">
      <c r="B10" s="54" t="n">
        <v>0.18</v>
      </c>
      <c r="C10" s="38">
        <f>('06_Valuation'!$H$28/(1+$B10)^1+'06_Valuation'!$I$28/(1+$B10)^2+'06_Valuation'!$J$28/(1+$B10)^3+'06_Valuation'!$K$28/(1+$B10)^4+('06_Valuation'!$K$28*(1+C$7)/($B10-C$7))/(1+$B10)^4+'06_Valuation'!$C$37)/1000</f>
        <v/>
      </c>
      <c r="D10" s="38">
        <f>('06_Valuation'!$H$28/(1+$B10)^1+'06_Valuation'!$I$28/(1+$B10)^2+'06_Valuation'!$J$28/(1+$B10)^3+'06_Valuation'!$K$28/(1+$B10)^4+('06_Valuation'!$K$28*(1+D$7)/($B10-D$7))/(1+$B10)^4+'06_Valuation'!$C$37)/1000</f>
        <v/>
      </c>
      <c r="E10" s="38">
        <f>('06_Valuation'!$H$28/(1+$B10)^1+'06_Valuation'!$I$28/(1+$B10)^2+'06_Valuation'!$J$28/(1+$B10)^3+'06_Valuation'!$K$28/(1+$B10)^4+('06_Valuation'!$K$28*(1+E$7)/($B10-E$7))/(1+$B10)^4+'06_Valuation'!$C$37)/1000</f>
        <v/>
      </c>
      <c r="F10" s="38">
        <f>('06_Valuation'!$H$28/(1+$B10)^1+'06_Valuation'!$I$28/(1+$B10)^2+'06_Valuation'!$J$28/(1+$B10)^3+'06_Valuation'!$K$28/(1+$B10)^4+('06_Valuation'!$K$28*(1+F$7)/($B10-F$7))/(1+$B10)^4+'06_Valuation'!$C$37)/1000</f>
        <v/>
      </c>
      <c r="G10" s="38">
        <f>('06_Valuation'!$H$28/(1+$B10)^1+'06_Valuation'!$I$28/(1+$B10)^2+'06_Valuation'!$J$28/(1+$B10)^3+'06_Valuation'!$K$28/(1+$B10)^4+('06_Valuation'!$K$28*(1+G$7)/($B10-G$7))/(1+$B10)^4+'06_Valuation'!$C$37)/1000</f>
        <v/>
      </c>
    </row>
    <row r="11">
      <c r="B11" s="54" t="n">
        <v>0.2</v>
      </c>
      <c r="C11" s="38">
        <f>('06_Valuation'!$H$28/(1+$B11)^1+'06_Valuation'!$I$28/(1+$B11)^2+'06_Valuation'!$J$28/(1+$B11)^3+'06_Valuation'!$K$28/(1+$B11)^4+('06_Valuation'!$K$28*(1+C$7)/($B11-C$7))/(1+$B11)^4+'06_Valuation'!$C$37)/1000</f>
        <v/>
      </c>
      <c r="D11" s="38">
        <f>('06_Valuation'!$H$28/(1+$B11)^1+'06_Valuation'!$I$28/(1+$B11)^2+'06_Valuation'!$J$28/(1+$B11)^3+'06_Valuation'!$K$28/(1+$B11)^4+('06_Valuation'!$K$28*(1+D$7)/($B11-D$7))/(1+$B11)^4+'06_Valuation'!$C$37)/1000</f>
        <v/>
      </c>
      <c r="E11" s="38">
        <f>('06_Valuation'!$H$28/(1+$B11)^1+'06_Valuation'!$I$28/(1+$B11)^2+'06_Valuation'!$J$28/(1+$B11)^3+'06_Valuation'!$K$28/(1+$B11)^4+('06_Valuation'!$K$28*(1+E$7)/($B11-E$7))/(1+$B11)^4+'06_Valuation'!$C$37)/1000</f>
        <v/>
      </c>
      <c r="F11" s="38">
        <f>('06_Valuation'!$H$28/(1+$B11)^1+'06_Valuation'!$I$28/(1+$B11)^2+'06_Valuation'!$J$28/(1+$B11)^3+'06_Valuation'!$K$28/(1+$B11)^4+('06_Valuation'!$K$28*(1+F$7)/($B11-F$7))/(1+$B11)^4+'06_Valuation'!$C$37)/1000</f>
        <v/>
      </c>
      <c r="G11" s="38">
        <f>('06_Valuation'!$H$28/(1+$B11)^1+'06_Valuation'!$I$28/(1+$B11)^2+'06_Valuation'!$J$28/(1+$B11)^3+'06_Valuation'!$K$28/(1+$B11)^4+('06_Valuation'!$K$28*(1+G$7)/($B11-G$7))/(1+$B11)^4+'06_Valuation'!$C$37)/1000</f>
        <v/>
      </c>
    </row>
    <row r="12">
      <c r="B12" s="54" t="n">
        <v>0.22</v>
      </c>
      <c r="C12" s="38">
        <f>('06_Valuation'!$H$28/(1+$B12)^1+'06_Valuation'!$I$28/(1+$B12)^2+'06_Valuation'!$J$28/(1+$B12)^3+'06_Valuation'!$K$28/(1+$B12)^4+('06_Valuation'!$K$28*(1+C$7)/($B12-C$7))/(1+$B12)^4+'06_Valuation'!$C$37)/1000</f>
        <v/>
      </c>
      <c r="D12" s="38">
        <f>('06_Valuation'!$H$28/(1+$B12)^1+'06_Valuation'!$I$28/(1+$B12)^2+'06_Valuation'!$J$28/(1+$B12)^3+'06_Valuation'!$K$28/(1+$B12)^4+('06_Valuation'!$K$28*(1+D$7)/($B12-D$7))/(1+$B12)^4+'06_Valuation'!$C$37)/1000</f>
        <v/>
      </c>
      <c r="E12" s="38">
        <f>('06_Valuation'!$H$28/(1+$B12)^1+'06_Valuation'!$I$28/(1+$B12)^2+'06_Valuation'!$J$28/(1+$B12)^3+'06_Valuation'!$K$28/(1+$B12)^4+('06_Valuation'!$K$28*(1+E$7)/($B12-E$7))/(1+$B12)^4+'06_Valuation'!$C$37)/1000</f>
        <v/>
      </c>
      <c r="F12" s="38">
        <f>('06_Valuation'!$H$28/(1+$B12)^1+'06_Valuation'!$I$28/(1+$B12)^2+'06_Valuation'!$J$28/(1+$B12)^3+'06_Valuation'!$K$28/(1+$B12)^4+('06_Valuation'!$K$28*(1+F$7)/($B12-F$7))/(1+$B12)^4+'06_Valuation'!$C$37)/1000</f>
        <v/>
      </c>
      <c r="G12" s="38">
        <f>('06_Valuation'!$H$28/(1+$B12)^1+'06_Valuation'!$I$28/(1+$B12)^2+'06_Valuation'!$J$28/(1+$B12)^3+'06_Valuation'!$K$28/(1+$B12)^4+('06_Valuation'!$K$28*(1+G$7)/($B12-G$7))/(1+$B12)^4+'06_Valuation'!$C$37)/1000</f>
        <v/>
      </c>
    </row>
    <row r="15">
      <c r="A15" s="12" t="n"/>
      <c r="B15" s="13" t="inlineStr">
        <is>
          <t>Equity Value ($B) — Multiple × 2027E Net Revenue</t>
        </is>
      </c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</row>
    <row r="17">
      <c r="B17" s="20" t="inlineStr">
        <is>
          <t>x \ $B</t>
        </is>
      </c>
      <c r="C17" s="55" t="n">
        <v>50</v>
      </c>
      <c r="D17" s="55" t="n">
        <v>70</v>
      </c>
      <c r="E17" s="55" t="n">
        <v>90</v>
      </c>
      <c r="F17" s="55" t="n">
        <v>110</v>
      </c>
      <c r="G17" s="55" t="n">
        <v>130</v>
      </c>
    </row>
    <row r="18">
      <c r="B18" s="56" t="n">
        <v>10</v>
      </c>
      <c r="C18" s="38">
        <f>(C$17*1000*$B18+'06_Valuation'!$C$37)/1000</f>
        <v/>
      </c>
      <c r="D18" s="38">
        <f>(D$17*1000*$B18+'06_Valuation'!$C$37)/1000</f>
        <v/>
      </c>
      <c r="E18" s="38">
        <f>(E$17*1000*$B18+'06_Valuation'!$C$37)/1000</f>
        <v/>
      </c>
      <c r="F18" s="38">
        <f>(F$17*1000*$B18+'06_Valuation'!$C$37)/1000</f>
        <v/>
      </c>
      <c r="G18" s="38">
        <f>(G$17*1000*$B18+'06_Valuation'!$C$37)/1000</f>
        <v/>
      </c>
    </row>
    <row r="19">
      <c r="B19" s="56" t="n">
        <v>15</v>
      </c>
      <c r="C19" s="38">
        <f>(C$17*1000*$B19+'06_Valuation'!$C$37)/1000</f>
        <v/>
      </c>
      <c r="D19" s="38">
        <f>(D$17*1000*$B19+'06_Valuation'!$C$37)/1000</f>
        <v/>
      </c>
      <c r="E19" s="38">
        <f>(E$17*1000*$B19+'06_Valuation'!$C$37)/1000</f>
        <v/>
      </c>
      <c r="F19" s="38">
        <f>(F$17*1000*$B19+'06_Valuation'!$C$37)/1000</f>
        <v/>
      </c>
      <c r="G19" s="38">
        <f>(G$17*1000*$B19+'06_Valuation'!$C$37)/1000</f>
        <v/>
      </c>
    </row>
    <row r="20">
      <c r="B20" s="56" t="n">
        <v>20</v>
      </c>
      <c r="C20" s="38">
        <f>(C$17*1000*$B20+'06_Valuation'!$C$37)/1000</f>
        <v/>
      </c>
      <c r="D20" s="38">
        <f>(D$17*1000*$B20+'06_Valuation'!$C$37)/1000</f>
        <v/>
      </c>
      <c r="E20" s="38">
        <f>(E$17*1000*$B20+'06_Valuation'!$C$37)/1000</f>
        <v/>
      </c>
      <c r="F20" s="38">
        <f>(F$17*1000*$B20+'06_Valuation'!$C$37)/1000</f>
        <v/>
      </c>
      <c r="G20" s="38">
        <f>(G$17*1000*$B20+'06_Valuation'!$C$37)/1000</f>
        <v/>
      </c>
    </row>
    <row r="21">
      <c r="B21" s="56" t="n">
        <v>25</v>
      </c>
      <c r="C21" s="38">
        <f>(C$17*1000*$B21+'06_Valuation'!$C$37)/1000</f>
        <v/>
      </c>
      <c r="D21" s="38">
        <f>(D$17*1000*$B21+'06_Valuation'!$C$37)/1000</f>
        <v/>
      </c>
      <c r="E21" s="38">
        <f>(E$17*1000*$B21+'06_Valuation'!$C$37)/1000</f>
        <v/>
      </c>
      <c r="F21" s="38">
        <f>(F$17*1000*$B21+'06_Valuation'!$C$37)/1000</f>
        <v/>
      </c>
      <c r="G21" s="38">
        <f>(G$17*1000*$B21+'06_Valuation'!$C$37)/1000</f>
        <v/>
      </c>
    </row>
    <row r="22">
      <c r="B22" s="56" t="n">
        <v>30</v>
      </c>
      <c r="C22" s="38">
        <f>(C$17*1000*$B22+'06_Valuation'!$C$37)/1000</f>
        <v/>
      </c>
      <c r="D22" s="38">
        <f>(D$17*1000*$B22+'06_Valuation'!$C$37)/1000</f>
        <v/>
      </c>
      <c r="E22" s="38">
        <f>(E$17*1000*$B22+'06_Valuation'!$C$37)/1000</f>
        <v/>
      </c>
      <c r="F22" s="38">
        <f>(F$17*1000*$B22+'06_Valuation'!$C$37)/1000</f>
        <v/>
      </c>
      <c r="G22" s="38">
        <f>(G$17*1000*$B22+'06_Valuation'!$C$37)/1000</f>
        <v/>
      </c>
    </row>
    <row r="24">
      <c r="B24" s="39" t="inlineStr">
        <is>
          <t>Model 2027E net revenue (active scenario, $B):</t>
        </is>
      </c>
      <c r="D24" s="45">
        <f>'02_Revenue'!H19/1000</f>
        <v/>
      </c>
    </row>
    <row r="26">
      <c r="B26" s="14" t="inlineStr">
        <is>
          <t>The model computes one scenario at a time — flip 00_Assumptions!D7 to compare. Grids above are scenario-invariant only through the FCF stream they reference.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3:L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.5" customWidth="1" min="1" max="1"/>
    <col width="40" customWidth="1" min="2" max="2"/>
    <col width="3" customWidth="1" min="3" max="3"/>
    <col width="13" customWidth="1" min="4" max="4"/>
    <col width="13" customWidth="1" min="5" max="5"/>
    <col width="40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2.5" customWidth="1" min="12" max="12"/>
  </cols>
  <sheetData>
    <row r="3">
      <c r="A3" s="12" t="n"/>
      <c r="B3" s="13" t="inlineStr">
        <is>
          <t>Dashboard — What Must Be True for $965B?</t>
        </is>
      </c>
      <c r="C3" s="12" t="n"/>
      <c r="D3" s="12" t="n"/>
      <c r="E3" s="12" t="n"/>
      <c r="F3" s="12" t="n"/>
      <c r="G3" s="12" t="n"/>
      <c r="H3" s="12" t="n"/>
      <c r="I3" s="12" t="n"/>
      <c r="J3" s="12" t="n"/>
      <c r="K3" s="12" t="n"/>
      <c r="L3" s="12" t="n"/>
    </row>
    <row r="5">
      <c r="B5" s="14" t="inlineStr">
        <is>
          <t>USD millions unless noted · active scenario:</t>
        </is>
      </c>
      <c r="D5" s="57">
        <f>'00_Assumptions'!D8</f>
        <v/>
      </c>
    </row>
    <row r="7">
      <c r="B7" s="9" t="inlineStr">
        <is>
          <t>Run-rate — end-Jul 2026 (gross)</t>
        </is>
      </c>
      <c r="D7" s="45">
        <f>'01_Data'!C28</f>
        <v/>
      </c>
      <c r="F7" s="27" t="inlineStr">
        <is>
          <t>T2 · CNBC/Bloomberg/Fortune, Aug 17–18</t>
        </is>
      </c>
    </row>
    <row r="8">
      <c r="B8" s="9" t="inlineStr">
        <is>
          <t>Mark ÷ run-rate — gross / equalized</t>
        </is>
      </c>
      <c r="D8" s="48">
        <f>'06_Valuation'!F12</f>
        <v/>
      </c>
      <c r="E8" s="48">
        <f>'06_Valuation'!F13</f>
        <v/>
      </c>
      <c r="F8" s="27" t="inlineStr">
        <is>
          <t>equalized in E — was 20.5x / 34.1x in May</t>
        </is>
      </c>
    </row>
    <row r="9">
      <c r="B9" s="9" t="inlineStr">
        <is>
          <t>2026E recognized revenue</t>
        </is>
      </c>
      <c r="D9" s="45">
        <f>'02_Revenue'!G17</f>
        <v/>
      </c>
      <c r="F9" s="27" t="inlineStr">
        <is>
          <t>derived, log-mean of the exit curve</t>
        </is>
      </c>
    </row>
    <row r="10">
      <c r="B10" s="9" t="inlineStr">
        <is>
          <t>2027E recognized revenue</t>
        </is>
      </c>
      <c r="D10" s="45">
        <f>'02_Revenue'!H17</f>
        <v/>
      </c>
      <c r="F10" s="27" t="inlineStr">
        <is>
          <t>every scenario floors high — usage momentum</t>
        </is>
      </c>
    </row>
    <row r="11">
      <c r="B11" s="9" t="inlineStr">
        <is>
          <t>EBIT 2027E</t>
        </is>
      </c>
      <c r="D11" s="45">
        <f>'04_PL'!H20</f>
        <v/>
      </c>
      <c r="F11" s="27" t="inlineStr">
        <is>
          <t>margin plan 63% doing the lifting</t>
        </is>
      </c>
    </row>
    <row r="12">
      <c r="B12" s="9" t="inlineStr">
        <is>
          <t>FCF 2027E</t>
        </is>
      </c>
      <c r="D12" s="45">
        <f>'05_Cash_Fund'!H13</f>
        <v/>
      </c>
      <c r="F12" s="27" t="inlineStr">
        <is>
          <t>vs WSJ −$25B trough (Apr-26 vintage) — re-based</t>
        </is>
      </c>
    </row>
    <row r="13">
      <c r="B13" s="9" t="inlineStr">
        <is>
          <t>Equity value — Gordon</t>
        </is>
      </c>
      <c r="D13" s="45">
        <f>'06_Valuation'!C39</f>
        <v/>
      </c>
      <c r="F13" s="27" t="inlineStr">
        <is>
          <t>floor-ish: terminal ignores post-2030 compounding</t>
        </is>
      </c>
    </row>
    <row r="14">
      <c r="B14" s="9" t="inlineStr">
        <is>
          <t>Equity value — exit multiple</t>
        </is>
      </c>
      <c r="D14" s="45">
        <f>'06_Valuation'!C40</f>
        <v/>
      </c>
      <c r="F14" s="27" t="inlineStr">
        <is>
          <t>growth-persistence case</t>
        </is>
      </c>
    </row>
    <row r="15">
      <c r="B15" s="9" t="inlineStr">
        <is>
          <t>vs $965B — Gordon / exit multiple</t>
        </is>
      </c>
      <c r="D15" s="52">
        <f>'06_Valuation'!C43</f>
        <v/>
      </c>
      <c r="E15" s="52">
        <f>'06_Valuation'!C44</f>
        <v/>
      </c>
      <c r="F15" s="27" t="inlineStr">
        <is>
          <t>exit-multiple case in E</t>
        </is>
      </c>
    </row>
    <row r="16">
      <c r="B16" s="9" t="inlineStr">
        <is>
          <t>Reverse-DCF: implied 2030E FCF multiple</t>
        </is>
      </c>
      <c r="D16" s="48">
        <f>'06_Valuation'!C46</f>
        <v/>
      </c>
      <c r="F16" s="27" t="inlineStr">
        <is>
          <t>what the mark actually requires</t>
        </is>
      </c>
    </row>
    <row r="17">
      <c r="B17" s="9" t="inlineStr">
        <is>
          <t>CE — equalized net RR ÷ equity</t>
        </is>
      </c>
      <c r="D17" s="48">
        <f>'05_Cash_Fund'!C35</f>
        <v/>
      </c>
      <c r="F17" s="27" t="inlineStr">
        <is>
          <t>OpenAI comp: 0.138x (Ruling 1)</t>
        </is>
      </c>
    </row>
    <row r="19">
      <c r="B19" s="35" t="inlineStr">
        <is>
          <t>1 · GROWTH — YE-26 exit ~$110B, then +50/+32/+22/+15% (Base). Usage revenue is not contracted ARR: durability is the bet.</t>
        </is>
      </c>
    </row>
    <row r="20">
      <c r="B20" s="35" t="inlineStr">
        <is>
          <t>2 · MARGINS — 40% (2025A) → 77% (2028E company plan) against price deflation, cloud rev-share, and inference-cost curves.</t>
        </is>
      </c>
    </row>
    <row r="21">
      <c r="B21" s="35" t="inlineStr">
        <is>
          <t>3 · COMPUTE — training spend scales to ~$45B/yr by 2030E and operating leverage still shows through.</t>
        </is>
      </c>
    </row>
    <row r="22">
      <c r="B22" s="35" t="inlineStr">
        <is>
          <t>4 · BASIS — a gross→net SEC restatement (Ruling 5: ×60.25%) moves multiples ~40%, and cash not at all.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2026-08-19T20:29:37Z</dcterms:created>
  <dcterms:modified xsi:type="dcterms:W3CDTF">2026-08-19T20:29:37Z</dcterms:modified>
</cp:coreProperties>
</file>